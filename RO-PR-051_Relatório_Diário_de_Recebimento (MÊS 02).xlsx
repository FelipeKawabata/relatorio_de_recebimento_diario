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361903C5-BB6B-462A-916E-C9E9FF17E2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-PR-051" sheetId="1" r:id="rId1"/>
    <sheet name="DADOS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'FORM-PR-051'!$A$6:$Z$1870</definedName>
    <definedName name="_xlnm.Print_Area" localSheetId="0">'FORM-PR-051'!$A$1:$Z$312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26" i="1" l="1"/>
  <c r="K311" i="1"/>
  <c r="K310" i="1"/>
  <c r="K529" i="1"/>
  <c r="K124" i="1"/>
  <c r="K644" i="1"/>
  <c r="K604" i="1"/>
  <c r="K603" i="1"/>
  <c r="K602" i="1"/>
  <c r="K170" i="1"/>
  <c r="K43" i="1"/>
  <c r="K60" i="1"/>
  <c r="K59" i="1"/>
  <c r="K58" i="1"/>
  <c r="K42" i="1"/>
  <c r="K55" i="1"/>
  <c r="K56" i="1"/>
  <c r="K57" i="1"/>
  <c r="K54" i="1"/>
  <c r="K53" i="1"/>
  <c r="K651" i="1"/>
  <c r="K650" i="1"/>
  <c r="K287" i="1"/>
  <c r="K288" i="1"/>
  <c r="K73" i="1"/>
  <c r="K72" i="1"/>
  <c r="K798" i="1"/>
  <c r="K409" i="1"/>
  <c r="K408" i="1"/>
  <c r="K298" i="1"/>
  <c r="K296" i="1"/>
  <c r="K297" i="1"/>
  <c r="K595" i="1"/>
  <c r="K596" i="1"/>
  <c r="K512" i="1"/>
  <c r="K594" i="1"/>
  <c r="K453" i="1"/>
  <c r="K41" i="1"/>
  <c r="K250" i="1"/>
  <c r="K249" i="1"/>
  <c r="K248" i="1"/>
  <c r="K247" i="1"/>
  <c r="K246" i="1"/>
  <c r="K245" i="1"/>
  <c r="K524" i="1"/>
  <c r="K527" i="1"/>
  <c r="K528" i="1"/>
  <c r="K526" i="1"/>
  <c r="K525" i="1"/>
  <c r="K309" i="1"/>
  <c r="K308" i="1"/>
  <c r="K738" i="1"/>
  <c r="K737" i="1"/>
  <c r="K477" i="1"/>
  <c r="K476" i="1"/>
  <c r="K475" i="1"/>
  <c r="K474" i="1"/>
  <c r="K355" i="1"/>
  <c r="K354" i="1"/>
  <c r="K353" i="1"/>
  <c r="K295" i="1"/>
  <c r="K294" i="1"/>
  <c r="K293" i="1"/>
  <c r="K292" i="1"/>
  <c r="K291" i="1"/>
  <c r="K352" i="1"/>
  <c r="K351" i="1"/>
  <c r="K350" i="1"/>
  <c r="K349" i="1"/>
  <c r="K670" i="1"/>
  <c r="K531" i="1"/>
  <c r="K530" i="1"/>
  <c r="K523" i="1"/>
  <c r="K40" i="1" l="1"/>
  <c r="K39" i="1"/>
  <c r="K36" i="1"/>
  <c r="K35" i="1"/>
  <c r="K37" i="1"/>
  <c r="K38" i="1"/>
  <c r="K452" i="1"/>
  <c r="K451" i="1"/>
  <c r="K450" i="1"/>
  <c r="K449" i="1"/>
  <c r="K448" i="1"/>
  <c r="K447" i="1"/>
  <c r="K446" i="1"/>
  <c r="K445" i="1"/>
  <c r="K343" i="1"/>
  <c r="K342" i="1"/>
  <c r="K61" i="1"/>
  <c r="K139" i="1"/>
  <c r="K138" i="1"/>
  <c r="K137" i="1"/>
  <c r="K136" i="1"/>
  <c r="K135" i="1"/>
  <c r="K134" i="1"/>
  <c r="K133" i="1"/>
  <c r="K132" i="1"/>
  <c r="K307" i="1"/>
  <c r="K305" i="1"/>
  <c r="K306" i="1"/>
  <c r="K702" i="1"/>
  <c r="K701" i="1"/>
  <c r="K700" i="1"/>
  <c r="K229" i="1"/>
  <c r="K228" i="1"/>
  <c r="K227" i="1"/>
  <c r="K226" i="1"/>
  <c r="K225" i="1"/>
  <c r="K224" i="1"/>
  <c r="K673" i="1"/>
  <c r="K672" i="1"/>
  <c r="K290" i="1"/>
  <c r="K289" i="1"/>
  <c r="K696" i="1"/>
  <c r="K695" i="1"/>
  <c r="K584" i="1"/>
  <c r="K583" i="1"/>
  <c r="K820" i="1"/>
  <c r="K819" i="1"/>
  <c r="K832" i="1"/>
  <c r="K831" i="1"/>
  <c r="K830" i="1"/>
  <c r="K829" i="1"/>
  <c r="K828" i="1"/>
  <c r="K827" i="1"/>
  <c r="K826" i="1"/>
  <c r="K825" i="1"/>
  <c r="K694" i="1"/>
  <c r="K667" i="1"/>
  <c r="K666" i="1" l="1"/>
  <c r="K665" i="1"/>
  <c r="K664" i="1"/>
  <c r="K622" i="1"/>
  <c r="K621" i="1"/>
  <c r="K620" i="1"/>
  <c r="K619" i="1"/>
  <c r="K618" i="1"/>
  <c r="K617" i="1"/>
  <c r="K616" i="1"/>
  <c r="K549" i="1"/>
  <c r="K548" i="1"/>
  <c r="K547" i="1"/>
  <c r="K484" i="1"/>
  <c r="K483" i="1"/>
  <c r="K482" i="1"/>
  <c r="K481" i="1"/>
  <c r="K480" i="1"/>
  <c r="K479" i="1"/>
  <c r="K454" i="1"/>
  <c r="K444" i="1"/>
  <c r="K443" i="1"/>
  <c r="K365" i="1"/>
  <c r="K364" i="1"/>
  <c r="K340" i="1"/>
  <c r="K339" i="1"/>
  <c r="K338" i="1"/>
  <c r="K337" i="1"/>
  <c r="K336" i="1"/>
  <c r="K335" i="1"/>
  <c r="K334" i="1"/>
  <c r="K333" i="1"/>
  <c r="K332" i="1"/>
  <c r="K331" i="1"/>
  <c r="K300" i="1"/>
  <c r="K299" i="1"/>
  <c r="K286" i="1"/>
  <c r="K285" i="1"/>
  <c r="K284" i="1"/>
  <c r="K283" i="1"/>
  <c r="K282" i="1"/>
  <c r="K281" i="1"/>
  <c r="K232" i="1"/>
  <c r="K231" i="1"/>
  <c r="K230" i="1"/>
  <c r="K223" i="1"/>
  <c r="K222" i="1"/>
  <c r="K221" i="1"/>
  <c r="K220" i="1"/>
  <c r="K166" i="1"/>
  <c r="K44" i="1"/>
  <c r="K34" i="1"/>
  <c r="K33" i="1"/>
  <c r="K32" i="1"/>
  <c r="K31" i="1"/>
  <c r="K30" i="1"/>
  <c r="K29" i="1"/>
  <c r="K28" i="1"/>
  <c r="K27" i="1"/>
  <c r="K26" i="1"/>
  <c r="K25" i="1"/>
  <c r="K24" i="1"/>
  <c r="K71" i="1"/>
  <c r="K70" i="1"/>
  <c r="K169" i="1"/>
  <c r="K168" i="1"/>
  <c r="K167" i="1"/>
  <c r="K119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118" i="1"/>
  <c r="K117" i="1"/>
  <c r="K116" i="1"/>
  <c r="K115" i="1"/>
  <c r="K114" i="1"/>
  <c r="K113" i="1"/>
  <c r="K112" i="1"/>
  <c r="K111" i="1"/>
  <c r="K592" i="1"/>
  <c r="K593" i="1"/>
  <c r="K110" i="1"/>
  <c r="K109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589" i="1"/>
  <c r="K588" i="1"/>
  <c r="K587" i="1"/>
  <c r="K745" i="1"/>
  <c r="K744" i="1"/>
  <c r="K743" i="1"/>
  <c r="K742" i="1"/>
  <c r="K741" i="1"/>
  <c r="K740" i="1"/>
  <c r="K739" i="1"/>
  <c r="K693" i="1"/>
  <c r="K692" i="1"/>
  <c r="K691" i="1"/>
  <c r="K586" i="1"/>
  <c r="K585" i="1"/>
  <c r="K522" i="1"/>
  <c r="K521" i="1"/>
  <c r="K415" i="1"/>
  <c r="K414" i="1"/>
  <c r="K413" i="1"/>
  <c r="K412" i="1"/>
  <c r="K411" i="1"/>
  <c r="K410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85" i="1"/>
  <c r="K84" i="1"/>
  <c r="K83" i="1"/>
  <c r="K82" i="1"/>
  <c r="K81" i="1"/>
  <c r="K775" i="1"/>
  <c r="K774" i="1"/>
  <c r="K773" i="1"/>
  <c r="K772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785" i="1"/>
  <c r="K784" i="1"/>
  <c r="K348" i="1"/>
  <c r="K347" i="1"/>
  <c r="K392" i="1"/>
  <c r="K215" i="1"/>
  <c r="K214" i="1"/>
  <c r="K213" i="1"/>
  <c r="K212" i="1"/>
  <c r="K211" i="1"/>
  <c r="K210" i="1"/>
  <c r="K206" i="1"/>
  <c r="K209" i="1"/>
  <c r="K207" i="1"/>
  <c r="K208" i="1"/>
  <c r="K205" i="1"/>
  <c r="K391" i="1"/>
  <c r="K390" i="1"/>
  <c r="K346" i="1"/>
  <c r="K345" i="1" l="1"/>
  <c r="K534" i="1"/>
  <c r="K797" i="1"/>
  <c r="K219" i="1"/>
  <c r="K423" i="1"/>
  <c r="K643" i="1"/>
  <c r="K642" i="1" l="1"/>
  <c r="K641" i="1"/>
  <c r="K69" i="1" l="1"/>
  <c r="K663" i="1"/>
  <c r="K662" i="1"/>
  <c r="K735" i="1" l="1"/>
  <c r="K736" i="1"/>
  <c r="K734" i="1"/>
  <c r="K733" i="1"/>
  <c r="K732" i="1"/>
  <c r="K731" i="1"/>
  <c r="K157" i="1" l="1"/>
  <c r="K156" i="1"/>
  <c r="K155" i="1"/>
  <c r="K154" i="1"/>
  <c r="K146" i="1" l="1"/>
  <c r="K145" i="1"/>
  <c r="K144" i="1"/>
  <c r="K143" i="1"/>
  <c r="K142" i="1"/>
  <c r="K140" i="1"/>
  <c r="K141" i="1"/>
  <c r="K147" i="1"/>
  <c r="K148" i="1"/>
  <c r="K149" i="1"/>
  <c r="K150" i="1"/>
  <c r="K151" i="1"/>
  <c r="K152" i="1"/>
  <c r="K153" i="1"/>
  <c r="K158" i="1"/>
  <c r="K159" i="1"/>
  <c r="K160" i="1"/>
  <c r="K161" i="1"/>
  <c r="K162" i="1"/>
  <c r="K163" i="1"/>
  <c r="K164" i="1"/>
  <c r="K439" i="1" l="1"/>
  <c r="K440" i="1"/>
  <c r="K441" i="1"/>
  <c r="K442" i="1"/>
  <c r="K438" i="1" l="1"/>
  <c r="K437" i="1"/>
  <c r="K280" i="1" l="1"/>
  <c r="K165" i="1"/>
  <c r="K106" i="1"/>
  <c r="K65" i="1"/>
  <c r="K66" i="1"/>
  <c r="K67" i="1"/>
  <c r="K68" i="1"/>
  <c r="K796" i="1"/>
  <c r="K795" i="1"/>
  <c r="K794" i="1"/>
  <c r="K793" i="1"/>
  <c r="K792" i="1"/>
  <c r="K791" i="1"/>
  <c r="K790" i="1"/>
  <c r="K789" i="1"/>
  <c r="K788" i="1"/>
  <c r="K787" i="1"/>
  <c r="K786" i="1"/>
  <c r="K422" i="1" l="1"/>
  <c r="K421" i="1"/>
  <c r="K420" i="1"/>
  <c r="K419" i="1"/>
  <c r="K418" i="1"/>
  <c r="K783" i="1"/>
  <c r="K782" i="1"/>
  <c r="K609" i="1"/>
  <c r="K610" i="1"/>
  <c r="K611" i="1"/>
  <c r="K612" i="1"/>
  <c r="K613" i="1"/>
  <c r="K614" i="1"/>
  <c r="K615" i="1"/>
  <c r="K605" i="1"/>
  <c r="K606" i="1"/>
  <c r="K607" i="1"/>
  <c r="K608" i="1"/>
  <c r="K256" i="1" l="1"/>
  <c r="K255" i="1"/>
  <c r="K257" i="1"/>
  <c r="K258" i="1"/>
  <c r="K485" i="1"/>
  <c r="K486" i="1"/>
  <c r="K821" i="1"/>
  <c r="K634" i="1"/>
  <c r="K218" i="1"/>
  <c r="K723" i="1"/>
  <c r="K566" i="1"/>
  <c r="K567" i="1"/>
  <c r="K565" i="1"/>
  <c r="K564" i="1"/>
  <c r="K561" i="1"/>
  <c r="K562" i="1"/>
  <c r="K563" i="1"/>
  <c r="K559" i="1"/>
  <c r="K560" i="1"/>
  <c r="K557" i="1"/>
  <c r="K558" i="1"/>
  <c r="K553" i="1"/>
  <c r="K554" i="1"/>
  <c r="K555" i="1"/>
  <c r="K556" i="1"/>
  <c r="K552" i="1"/>
  <c r="K551" i="1"/>
  <c r="K550" i="1"/>
  <c r="K722" i="1"/>
  <c r="K721" i="1"/>
  <c r="K720" i="1"/>
  <c r="K719" i="1"/>
  <c r="K718" i="1"/>
  <c r="K717" i="1"/>
  <c r="K716" i="1"/>
  <c r="K715" i="1"/>
  <c r="K714" i="1"/>
  <c r="K713" i="1"/>
  <c r="K818" i="1"/>
  <c r="K712" i="1" l="1"/>
  <c r="K711" i="1"/>
  <c r="K709" i="1"/>
  <c r="K710" i="1"/>
  <c r="K708" i="1"/>
  <c r="K344" i="1" l="1"/>
  <c r="K647" i="1"/>
  <c r="K648" i="1"/>
  <c r="K649" i="1"/>
  <c r="K728" i="1"/>
  <c r="K729" i="1"/>
  <c r="K730" i="1"/>
  <c r="K726" i="1"/>
  <c r="K727" i="1"/>
  <c r="K725" i="1"/>
  <c r="K724" i="1"/>
  <c r="K645" i="1"/>
  <c r="K646" i="1"/>
  <c r="K601" i="1"/>
  <c r="K386" i="1"/>
  <c r="K387" i="1"/>
  <c r="K388" i="1"/>
  <c r="K389" i="1"/>
  <c r="K385" i="1"/>
  <c r="K706" i="1"/>
  <c r="K707" i="1"/>
  <c r="K705" i="1"/>
  <c r="K704" i="1"/>
  <c r="K703" i="1"/>
  <c r="K532" i="1" l="1"/>
  <c r="K533" i="1"/>
  <c r="K519" i="1"/>
  <c r="K520" i="1"/>
  <c r="K435" i="1"/>
  <c r="K432" i="1"/>
  <c r="K433" i="1"/>
  <c r="K434" i="1"/>
  <c r="K690" i="1"/>
  <c r="K217" i="1"/>
  <c r="K216" i="1"/>
  <c r="K631" i="1"/>
  <c r="K652" i="1"/>
  <c r="K600" i="1"/>
  <c r="K599" i="1"/>
  <c r="K638" i="1"/>
  <c r="K639" i="1"/>
  <c r="K640" i="1"/>
  <c r="K688" i="1"/>
  <c r="K689" i="1"/>
  <c r="K635" i="1"/>
  <c r="K636" i="1"/>
  <c r="K637" i="1"/>
  <c r="K430" i="1" l="1"/>
  <c r="K431" i="1"/>
  <c r="K598" i="1"/>
  <c r="K518" i="1"/>
  <c r="K516" i="1"/>
  <c r="K517" i="1"/>
  <c r="K514" i="1"/>
  <c r="K515" i="1"/>
  <c r="K668" i="1"/>
  <c r="K633" i="1"/>
  <c r="K632" i="1"/>
  <c r="K436" i="1"/>
  <c r="K384" i="1"/>
  <c r="K131" i="1"/>
  <c r="K362" i="1"/>
  <c r="K361" i="1"/>
  <c r="K544" i="1"/>
  <c r="K545" i="1"/>
  <c r="K546" i="1"/>
  <c r="K478" i="1"/>
  <c r="K371" i="1" l="1"/>
  <c r="K372" i="1"/>
  <c r="K373" i="1"/>
  <c r="K374" i="1"/>
  <c r="K375" i="1"/>
  <c r="K536" i="1" l="1"/>
  <c r="K366" i="1" l="1"/>
  <c r="K367" i="1"/>
  <c r="K368" i="1"/>
  <c r="K369" i="1"/>
  <c r="K370" i="1"/>
  <c r="K357" i="1"/>
  <c r="K358" i="1"/>
  <c r="K359" i="1"/>
  <c r="K360" i="1"/>
  <c r="K321" i="1"/>
  <c r="K103" i="1" l="1"/>
  <c r="K253" i="1"/>
  <c r="K51" i="1"/>
  <c r="K52" i="1"/>
  <c r="K105" i="1" l="1"/>
  <c r="K123" i="1"/>
  <c r="K102" i="1"/>
  <c r="K101" i="1"/>
  <c r="K100" i="1"/>
  <c r="K99" i="1"/>
  <c r="K98" i="1"/>
  <c r="K97" i="1"/>
  <c r="K94" i="1"/>
  <c r="K95" i="1"/>
  <c r="K96" i="1"/>
  <c r="K91" i="1"/>
  <c r="K92" i="1"/>
  <c r="K93" i="1"/>
  <c r="K89" i="1"/>
  <c r="K90" i="1"/>
  <c r="K88" i="1"/>
  <c r="K104" i="1"/>
  <c r="K63" i="1"/>
  <c r="K64" i="1"/>
  <c r="K86" i="1" l="1"/>
  <c r="K87" i="1"/>
  <c r="K49" i="1" l="1"/>
  <c r="K48" i="1"/>
  <c r="K47" i="1"/>
  <c r="K46" i="1"/>
  <c r="K45" i="1"/>
  <c r="K11" i="1"/>
  <c r="K978" i="1"/>
  <c r="K979" i="1"/>
  <c r="K980" i="1"/>
  <c r="K675" i="1"/>
  <c r="K844" i="1"/>
  <c r="K687" i="1" l="1"/>
  <c r="K697" i="1"/>
  <c r="K698" i="1"/>
  <c r="K921" i="1" l="1"/>
  <c r="K914" i="1" l="1"/>
  <c r="K967" i="1"/>
  <c r="K969" i="1"/>
  <c r="K968" i="1"/>
  <c r="K957" i="1"/>
  <c r="K958" i="1"/>
  <c r="K959" i="1"/>
  <c r="K954" i="1"/>
  <c r="K955" i="1"/>
  <c r="K956" i="1"/>
  <c r="K952" i="1"/>
  <c r="K953" i="1"/>
  <c r="K948" i="1"/>
  <c r="K949" i="1"/>
  <c r="K950" i="1"/>
  <c r="K951" i="1"/>
  <c r="K913" i="1"/>
  <c r="K929" i="1"/>
  <c r="K928" i="1"/>
  <c r="K927" i="1"/>
  <c r="K926" i="1"/>
  <c r="K925" i="1"/>
  <c r="K924" i="1"/>
  <c r="K923" i="1"/>
  <c r="K922" i="1"/>
  <c r="K918" i="1" l="1"/>
  <c r="K919" i="1"/>
  <c r="K920" i="1"/>
  <c r="K195" i="1"/>
  <c r="K196" i="1"/>
  <c r="K915" i="1"/>
  <c r="K916" i="1"/>
  <c r="K917" i="1"/>
  <c r="K904" i="1"/>
  <c r="K903" i="1"/>
  <c r="K947" i="1"/>
  <c r="K946" i="1"/>
  <c r="K945" i="1"/>
  <c r="K944" i="1"/>
  <c r="K943" i="1"/>
  <c r="K766" i="1"/>
  <c r="K767" i="1"/>
  <c r="K765" i="1"/>
  <c r="K902" i="1"/>
  <c r="K901" i="1"/>
  <c r="K899" i="1"/>
  <c r="K900" i="1"/>
  <c r="K843" i="1" l="1"/>
  <c r="K780" i="1" l="1"/>
  <c r="K781" i="1"/>
  <c r="K799" i="1"/>
  <c r="K800" i="1"/>
  <c r="K801" i="1"/>
  <c r="K779" i="1"/>
  <c r="K778" i="1"/>
  <c r="K776" i="1"/>
  <c r="K777" i="1"/>
  <c r="K771" i="1"/>
  <c r="K770" i="1"/>
  <c r="K768" i="1"/>
  <c r="K769" i="1"/>
  <c r="K898" i="1"/>
  <c r="K891" i="1"/>
  <c r="K882" i="1"/>
  <c r="K883" i="1"/>
  <c r="K884" i="1"/>
  <c r="K885" i="1"/>
  <c r="K886" i="1"/>
  <c r="K887" i="1"/>
  <c r="K888" i="1"/>
  <c r="K889" i="1"/>
  <c r="K890" i="1"/>
  <c r="K881" i="1"/>
  <c r="K909" i="1"/>
  <c r="K674" i="1"/>
  <c r="K669" i="1"/>
  <c r="K378" i="1"/>
  <c r="K686" i="1"/>
  <c r="K455" i="1"/>
  <c r="K868" i="1"/>
  <c r="K869" i="1"/>
  <c r="K870" i="1"/>
  <c r="K871" i="1"/>
  <c r="K872" i="1"/>
  <c r="K873" i="1"/>
  <c r="K864" i="1"/>
  <c r="K865" i="1"/>
  <c r="K866" i="1"/>
  <c r="K867" i="1"/>
  <c r="K854" i="1"/>
  <c r="K855" i="1"/>
  <c r="K856" i="1"/>
  <c r="K857" i="1"/>
  <c r="K858" i="1"/>
  <c r="K859" i="1"/>
  <c r="K860" i="1"/>
  <c r="K861" i="1"/>
  <c r="K862" i="1"/>
  <c r="K863" i="1"/>
  <c r="K853" i="1"/>
  <c r="K852" i="1"/>
  <c r="K875" i="1"/>
  <c r="K874" i="1"/>
  <c r="K851" i="1"/>
  <c r="K850" i="1"/>
  <c r="K849" i="1"/>
  <c r="K847" i="1"/>
  <c r="K848" i="1"/>
  <c r="K840" i="1" l="1"/>
  <c r="K841" i="1"/>
  <c r="K842" i="1"/>
  <c r="K680" i="1"/>
  <c r="K699" i="1"/>
  <c r="K802" i="1"/>
  <c r="K803" i="1"/>
  <c r="K660" i="1" l="1"/>
  <c r="K653" i="1"/>
  <c r="K654" i="1"/>
  <c r="K655" i="1"/>
  <c r="K656" i="1"/>
  <c r="K657" i="1"/>
  <c r="K658" i="1"/>
  <c r="K659" i="1"/>
  <c r="K661" i="1"/>
  <c r="K671" i="1"/>
  <c r="K676" i="1"/>
  <c r="K677" i="1"/>
  <c r="K678" i="1"/>
  <c r="K679" i="1"/>
  <c r="K681" i="1"/>
  <c r="K682" i="1"/>
  <c r="K683" i="1"/>
  <c r="K684" i="1"/>
  <c r="K685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22" i="1"/>
  <c r="K823" i="1"/>
  <c r="K824" i="1"/>
  <c r="K833" i="1"/>
  <c r="K590" i="1"/>
  <c r="K591" i="1"/>
  <c r="K834" i="1"/>
  <c r="K835" i="1"/>
  <c r="K836" i="1"/>
  <c r="K837" i="1"/>
  <c r="K838" i="1"/>
  <c r="K839" i="1"/>
  <c r="K845" i="1"/>
  <c r="K846" i="1"/>
  <c r="K876" i="1"/>
  <c r="K877" i="1"/>
  <c r="K878" i="1"/>
  <c r="K879" i="1"/>
  <c r="K880" i="1"/>
  <c r="K892" i="1"/>
  <c r="K893" i="1"/>
  <c r="K894" i="1"/>
  <c r="K895" i="1"/>
  <c r="K896" i="1"/>
  <c r="K897" i="1"/>
  <c r="K905" i="1"/>
  <c r="K906" i="1"/>
  <c r="K907" i="1"/>
  <c r="K908" i="1"/>
  <c r="K910" i="1"/>
  <c r="K911" i="1"/>
  <c r="K912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60" i="1"/>
  <c r="K961" i="1"/>
  <c r="K962" i="1"/>
  <c r="K963" i="1"/>
  <c r="K964" i="1"/>
  <c r="K965" i="1"/>
  <c r="K966" i="1"/>
  <c r="K970" i="1"/>
  <c r="K971" i="1"/>
  <c r="K972" i="1"/>
  <c r="K973" i="1"/>
  <c r="K974" i="1"/>
  <c r="K975" i="1"/>
  <c r="K976" i="1"/>
  <c r="K977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630" i="1"/>
  <c r="K623" i="1"/>
  <c r="K472" i="1" l="1"/>
  <c r="K473" i="1"/>
  <c r="K513" i="1"/>
  <c r="K597" i="1"/>
  <c r="K629" i="1"/>
  <c r="K628" i="1"/>
  <c r="K627" i="1"/>
  <c r="K625" i="1"/>
  <c r="K626" i="1"/>
  <c r="K457" i="1" l="1"/>
  <c r="K80" i="1" l="1"/>
  <c r="K456" i="1"/>
  <c r="K172" i="1" l="1"/>
  <c r="K238" i="1" l="1"/>
  <c r="K239" i="1"/>
  <c r="K240" i="1"/>
  <c r="K383" i="1"/>
  <c r="K381" i="1"/>
  <c r="K382" i="1"/>
  <c r="K380" i="1"/>
  <c r="K379" i="1"/>
  <c r="K23" i="1" l="1"/>
  <c r="K108" i="1"/>
  <c r="K237" i="1"/>
  <c r="K22" i="1"/>
  <c r="K21" i="1"/>
  <c r="K20" i="1"/>
  <c r="K236" i="1"/>
  <c r="K235" i="1"/>
  <c r="K234" i="1"/>
  <c r="K107" i="1"/>
  <c r="K254" i="1"/>
  <c r="K233" i="1"/>
  <c r="K252" i="1"/>
  <c r="K304" i="1"/>
  <c r="K303" i="1"/>
  <c r="K460" i="1"/>
  <c r="K461" i="1"/>
  <c r="K462" i="1"/>
  <c r="K463" i="1"/>
  <c r="K464" i="1"/>
  <c r="K429" i="1"/>
  <c r="K201" i="1" l="1"/>
  <c r="K202" i="1"/>
  <c r="K203" i="1"/>
  <c r="K199" i="1"/>
  <c r="K200" i="1"/>
  <c r="K537" i="1"/>
  <c r="K538" i="1"/>
  <c r="K539" i="1"/>
  <c r="K458" i="1" l="1"/>
  <c r="K459" i="1"/>
  <c r="K465" i="1"/>
  <c r="K242" i="1"/>
  <c r="K243" i="1"/>
  <c r="K197" i="1"/>
  <c r="K315" i="1"/>
  <c r="K171" i="1" l="1"/>
  <c r="K129" i="1"/>
  <c r="K130" i="1"/>
  <c r="K126" i="1"/>
  <c r="K127" i="1"/>
  <c r="K128" i="1"/>
  <c r="K174" i="1"/>
  <c r="K185" i="1" l="1"/>
  <c r="K183" i="1"/>
  <c r="K184" i="1"/>
  <c r="K79" i="1" l="1"/>
  <c r="K75" i="1"/>
  <c r="K76" i="1"/>
  <c r="K77" i="1"/>
  <c r="K78" i="1"/>
  <c r="K74" i="1"/>
  <c r="K19" i="1"/>
  <c r="K15" i="1"/>
  <c r="K16" i="1"/>
  <c r="K17" i="1"/>
  <c r="K18" i="1"/>
  <c r="K13" i="1"/>
  <c r="K14" i="1"/>
  <c r="K8" i="1" l="1"/>
  <c r="K9" i="1"/>
  <c r="K10" i="1"/>
  <c r="K12" i="1"/>
  <c r="K62" i="1"/>
  <c r="K50" i="1"/>
  <c r="K125" i="1"/>
  <c r="K120" i="1"/>
  <c r="K121" i="1"/>
  <c r="K122" i="1"/>
  <c r="K173" i="1"/>
  <c r="K175" i="1"/>
  <c r="K176" i="1"/>
  <c r="K177" i="1"/>
  <c r="K178" i="1"/>
  <c r="K179" i="1"/>
  <c r="K180" i="1"/>
  <c r="K181" i="1"/>
  <c r="K182" i="1"/>
  <c r="K186" i="1"/>
  <c r="K187" i="1"/>
  <c r="K188" i="1"/>
  <c r="K189" i="1"/>
  <c r="K190" i="1"/>
  <c r="K251" i="1"/>
  <c r="K191" i="1"/>
  <c r="K192" i="1"/>
  <c r="K193" i="1"/>
  <c r="K194" i="1"/>
  <c r="K198" i="1"/>
  <c r="K301" i="1"/>
  <c r="K302" i="1"/>
  <c r="K312" i="1"/>
  <c r="K313" i="1"/>
  <c r="K314" i="1"/>
  <c r="K316" i="1"/>
  <c r="K317" i="1"/>
  <c r="K318" i="1"/>
  <c r="K319" i="1"/>
  <c r="K320" i="1"/>
  <c r="K322" i="1"/>
  <c r="K323" i="1"/>
  <c r="K324" i="1"/>
  <c r="K325" i="1"/>
  <c r="K327" i="1"/>
  <c r="K328" i="1"/>
  <c r="K329" i="1"/>
  <c r="K330" i="1"/>
  <c r="K356" i="1"/>
  <c r="K376" i="1"/>
  <c r="K377" i="1"/>
  <c r="K241" i="1"/>
  <c r="K244" i="1"/>
  <c r="K416" i="1"/>
  <c r="K417" i="1"/>
  <c r="K424" i="1"/>
  <c r="K425" i="1"/>
  <c r="K426" i="1"/>
  <c r="K427" i="1"/>
  <c r="K428" i="1"/>
  <c r="K466" i="1"/>
  <c r="K503" i="1"/>
  <c r="K504" i="1"/>
  <c r="K505" i="1"/>
  <c r="K506" i="1"/>
  <c r="K507" i="1"/>
  <c r="K535" i="1"/>
  <c r="K204" i="1"/>
  <c r="K540" i="1"/>
  <c r="K541" i="1"/>
  <c r="K542" i="1"/>
  <c r="K543" i="1"/>
  <c r="K467" i="1"/>
  <c r="K468" i="1"/>
  <c r="K469" i="1"/>
  <c r="K470" i="1"/>
  <c r="K508" i="1"/>
  <c r="K509" i="1"/>
  <c r="K510" i="1"/>
  <c r="K511" i="1"/>
  <c r="K341" i="1"/>
  <c r="K471" i="1"/>
  <c r="K624" i="1"/>
  <c r="K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<sst xmlns="http://schemas.openxmlformats.org/spreadsheetml/2006/main" count="13594" uniqueCount="2795">
  <si>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</si>
  <si>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</si>
  <si>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</si>
  <si>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</si>
  <si>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</si>
  <si>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</si>
  <si>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</si>
  <si>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</si>
  <si>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</si>
  <si>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</si>
  <si>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</si>
  <si>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</si>
  <si>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</si>
  <si>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</si>
  <si>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</si>
  <si>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</si>
  <si>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</si>
  <si>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</si>
  <si>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</si>
  <si>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</si>
  <si>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</si>
  <si>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</si>
  <si>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</si>
  <si>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</si>
  <si>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</si>
  <si>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</si>
  <si>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</si>
  <si>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</si>
  <si>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</si>
  <si>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</si>
  <si>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</si>
  <si>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</si>
  <si>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</si>
  <si>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</si>
  <si>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</si>
  <si>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</si>
  <si>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</si>
  <si>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</si>
  <si>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</si>
  <si>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</si>
  <si>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</si>
  <si>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</si>
  <si>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</si>
  <si>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</si>
  <si>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</si>
  <si>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</si>
  <si>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</si>
  <si>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</si>
  <si>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</si>
  <si>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</si>
  <si>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</si>
  <si>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</si>
  <si>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</si>
  <si>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</si>
  <si>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</si>
  <si>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</si>
  <si>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</si>
  <si>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</si>
  <si>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</si>
  <si>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</si>
  <si>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</si>
  <si>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</si>
  <si>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</si>
  <si>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</si>
  <si>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</si>
  <si>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</si>
  <si>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</si>
  <si>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</si>
  <si>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</si>
  <si>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</si>
  <si>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</si>
  <si>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</si>
  <si>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</si>
  <si>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</si>
  <si>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</si>
  <si>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</si>
  <si>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</si>
  <si>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</si>
  <si>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</si>
  <si>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</si>
  <si>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</si>
  <si>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</si>
  <si>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</si>
  <si>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</si>
  <si>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</si>
  <si>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</si>
  <si>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</si>
  <si>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</si>
  <si>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</si>
  <si>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</si>
  <si>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</si>
  <si>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</si>
  <si>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</si>
  <si>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</si>
  <si>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</si>
  <si>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</si>
  <si>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</si>
  <si>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</si>
  <si>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</si>
  <si>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</si>
  <si>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</si>
  <si>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</si>
  <si>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</si>
  <si>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</si>
  <si>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</si>
  <si>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</si>
  <si>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</si>
  <si>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</si>
  <si>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</si>
  <si>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</si>
  <si>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</si>
  <si>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</si>
  <si>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</si>
  <si>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</si>
  <si>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</si>
  <si>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</si>
  <si>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</si>
  <si>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</si>
  <si>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</si>
  <si>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</si>
  <si>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</si>
  <si>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</si>
  <si>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</si>
  <si>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</si>
  <si>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</si>
  <si>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</si>
  <si>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</si>
  <si>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</si>
  <si>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</si>
  <si>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</si>
  <si>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</si>
  <si>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</si>
  <si>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</si>
  <si>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</si>
  <si>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</si>
  <si>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</si>
  <si>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</si>
  <si>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</si>
  <si>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</si>
  <si>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</si>
  <si>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</si>
  <si>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</si>
  <si>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</si>
  <si>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</si>
  <si>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</si>
  <si>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</si>
  <si>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</si>
  <si>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</si>
  <si>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</si>
  <si>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</si>
  <si>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</si>
  <si>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</si>
  <si>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</si>
  <si>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</si>
  <si>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</si>
  <si>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</si>
  <si>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</si>
  <si>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</si>
  <si>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</si>
  <si>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</si>
  <si>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</si>
  <si>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</si>
  <si>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</si>
  <si>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</si>
  <si>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</si>
  <si>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</si>
  <si>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</si>
  <si>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</si>
  <si>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</si>
  <si>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</si>
  <si>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</si>
  <si>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</si>
  <si>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</si>
  <si>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</si>
  <si>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</si>
  <si>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</si>
  <si>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</si>
  <si>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</si>
  <si>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</si>
  <si>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</si>
  <si>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</si>
  <si>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</si>
  <si>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</si>
  <si>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</si>
  <si>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</si>
  <si>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</si>
  <si>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</si>
  <si>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</si>
  <si>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</si>
  <si>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</si>
  <si>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</si>
  <si>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</si>
  <si>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</si>
  <si>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</si>
  <si>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</si>
  <si>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</si>
  <si>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</si>
  <si>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</si>
  <si>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</si>
  <si>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</si>
  <si>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</si>
  <si>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</si>
  <si>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</si>
  <si>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</si>
  <si>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</si>
  <si>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</si>
  <si>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</si>
  <si>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</si>
  <si>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</si>
  <si>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</si>
  <si>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</si>
  <si>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</si>
  <si>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</si>
  <si>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</si>
  <si>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</si>
  <si>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</si>
  <si>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</si>
  <si>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</si>
  <si>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</si>
  <si>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</si>
  <si>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</si>
  <si>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</si>
  <si>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</si>
  <si>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</si>
  <si>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</si>
  <si>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</si>
  <si>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</si>
  <si>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</si>
  <si>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</si>
  <si>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</si>
  <si>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</si>
  <si>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</si>
  <si>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</si>
  <si>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</si>
  <si>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</si>
  <si>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</si>
  <si>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</si>
  <si>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</si>
  <si>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</si>
  <si>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</si>
  <si>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</si>
  <si>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</si>
  <si>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</si>
  <si>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</si>
  <si>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</si>
  <si>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</si>
  <si>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</si>
  <si>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</si>
  <si>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</si>
  <si>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</si>
  <si>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</si>
  <si>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</si>
  <si>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</si>
  <si>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</si>
  <si>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R. ARGENTO</t>
  </si>
  <si>
    <t>NE DISCO BRT 10" 150 CF8M</t>
  </si>
  <si>
    <t>55</t>
  </si>
  <si>
    <t>000008242</t>
  </si>
  <si>
    <t>C179</t>
  </si>
  <si>
    <t>5967/25</t>
  </si>
  <si>
    <t>SE-014</t>
  </si>
  <si>
    <t>PAULO</t>
  </si>
  <si>
    <t>NE DISCO BRT 8" 150 CF8M</t>
  </si>
  <si>
    <t>51</t>
  </si>
  <si>
    <t>000008235</t>
  </si>
  <si>
    <t>C163 e C180</t>
  </si>
  <si>
    <t>5969/25 e 5970/25</t>
  </si>
  <si>
    <t>RL DISCO BRT 4" PN10 CF8</t>
  </si>
  <si>
    <t>08</t>
  </si>
  <si>
    <t>01</t>
  </si>
  <si>
    <t>000008237</t>
  </si>
  <si>
    <t>109066-01</t>
  </si>
  <si>
    <t>109066-02</t>
  </si>
  <si>
    <t>C182</t>
  </si>
  <si>
    <t>109414-01</t>
  </si>
  <si>
    <t>108650-03</t>
  </si>
  <si>
    <t>5973/25</t>
  </si>
  <si>
    <t>40</t>
  </si>
  <si>
    <t>109066-03</t>
  </si>
  <si>
    <t>06</t>
  </si>
  <si>
    <t>RL DISCO BRT 4" PN10 CF8M</t>
  </si>
  <si>
    <t>02</t>
  </si>
  <si>
    <t>000008238</t>
  </si>
  <si>
    <t>000008240</t>
  </si>
  <si>
    <t>109364-01</t>
  </si>
  <si>
    <t>5976/25</t>
  </si>
  <si>
    <t>RL2 CPW BRT 2" CF8M</t>
  </si>
  <si>
    <t>04</t>
  </si>
  <si>
    <t>109364-02</t>
  </si>
  <si>
    <t xml:space="preserve">C163  </t>
  </si>
  <si>
    <t>2025-0073</t>
  </si>
  <si>
    <t>2025-0072</t>
  </si>
  <si>
    <t>RL2 CPW BRT 4" 150PSI CF8</t>
  </si>
  <si>
    <t>108696-01</t>
  </si>
  <si>
    <t>108696-02</t>
  </si>
  <si>
    <t>000008239</t>
  </si>
  <si>
    <t>108959-02</t>
  </si>
  <si>
    <t>5975/25</t>
  </si>
  <si>
    <t>RK CPW BRT 14" 150# WCB</t>
  </si>
  <si>
    <t>000008241</t>
  </si>
  <si>
    <t>109405-01</t>
  </si>
  <si>
    <t>C162</t>
  </si>
  <si>
    <t>5977/25</t>
  </si>
  <si>
    <t>IM0591/IM0023</t>
  </si>
  <si>
    <t>RL DISCO BRT 6" PN10 CF8</t>
  </si>
  <si>
    <t>12</t>
  </si>
  <si>
    <t>109066-04</t>
  </si>
  <si>
    <t>27</t>
  </si>
  <si>
    <t>5973/25 e 5974/24</t>
  </si>
  <si>
    <t>RL DISCO BRT 8" PN10 CF8</t>
  </si>
  <si>
    <t>109066-05</t>
  </si>
  <si>
    <t>C182 e C186</t>
  </si>
  <si>
    <t>WD CPF BRT 6" PN10/16 FN</t>
  </si>
  <si>
    <t>000008236</t>
  </si>
  <si>
    <t>108752-02</t>
  </si>
  <si>
    <t>C174</t>
  </si>
  <si>
    <t>5971/24</t>
  </si>
  <si>
    <t>2025-0074</t>
  </si>
  <si>
    <t>WD CPF BRT 28" PN10 FN</t>
  </si>
  <si>
    <t>000008234</t>
  </si>
  <si>
    <t>107197-18</t>
  </si>
  <si>
    <t>C176</t>
  </si>
  <si>
    <t>5968/25</t>
  </si>
  <si>
    <t>PD006/IM0591</t>
  </si>
  <si>
    <t>USIMONTEC</t>
  </si>
  <si>
    <t>RK DISCO BRT 16" 150# CF8M</t>
  </si>
  <si>
    <t>000025918</t>
  </si>
  <si>
    <t>109401-06</t>
  </si>
  <si>
    <t>109401-05</t>
  </si>
  <si>
    <t>109401-04</t>
  </si>
  <si>
    <t>109401-03</t>
  </si>
  <si>
    <t>20858 / 55000</t>
  </si>
  <si>
    <t>49207</t>
  </si>
  <si>
    <t>20858 / 55999</t>
  </si>
  <si>
    <t>49208</t>
  </si>
  <si>
    <t>49209</t>
  </si>
  <si>
    <t>49210</t>
  </si>
  <si>
    <t>20858 / 55998</t>
  </si>
  <si>
    <t>20858 / 55997</t>
  </si>
  <si>
    <t>MS USINAGEM</t>
  </si>
  <si>
    <t>BN USI NE CPW 10" FN</t>
  </si>
  <si>
    <t>13</t>
  </si>
  <si>
    <t>000005697</t>
  </si>
  <si>
    <t>109166-05</t>
  </si>
  <si>
    <t>06/25</t>
  </si>
  <si>
    <t>GMD</t>
  </si>
  <si>
    <t>BQ USI WD CPF 6" NBRPN10/16 FN</t>
  </si>
  <si>
    <t>000007747</t>
  </si>
  <si>
    <t>000007748</t>
  </si>
  <si>
    <t>109840-02</t>
  </si>
  <si>
    <t>C175</t>
  </si>
  <si>
    <t>PC-WD-002</t>
  </si>
  <si>
    <t>PC-WD-003</t>
  </si>
  <si>
    <t>PC-WD-004</t>
  </si>
  <si>
    <t>TRI-001</t>
  </si>
  <si>
    <t>ALUIR</t>
  </si>
  <si>
    <t xml:space="preserve">- </t>
  </si>
  <si>
    <t>2025-0075</t>
  </si>
  <si>
    <t>109840-03</t>
  </si>
  <si>
    <t>108567-04</t>
  </si>
  <si>
    <t>108567-05</t>
  </si>
  <si>
    <t>C832</t>
  </si>
  <si>
    <t>LFBC</t>
  </si>
  <si>
    <t>BN USI RT TP INF 34"</t>
  </si>
  <si>
    <t>03</t>
  </si>
  <si>
    <t>000002035</t>
  </si>
  <si>
    <t>109424-03</t>
  </si>
  <si>
    <t>N/A</t>
  </si>
  <si>
    <t>C186</t>
  </si>
  <si>
    <t>6001/25</t>
  </si>
  <si>
    <t>5972/25 e 6001/25</t>
  </si>
  <si>
    <t>ROLDITEC</t>
  </si>
  <si>
    <t>RL2 ARS BRT 12" MxM 150PSI 316</t>
  </si>
  <si>
    <t>05</t>
  </si>
  <si>
    <t>000011672</t>
  </si>
  <si>
    <t>110146-01</t>
  </si>
  <si>
    <t>CBY025</t>
  </si>
  <si>
    <t>MARS</t>
  </si>
  <si>
    <t>BN USI NE CPL 12 FN JIS 2211 5K</t>
  </si>
  <si>
    <t>000005114</t>
  </si>
  <si>
    <t>108895-13</t>
  </si>
  <si>
    <t>108895-14</t>
  </si>
  <si>
    <t>309/24 e 305/25</t>
  </si>
  <si>
    <t>305/24</t>
  </si>
  <si>
    <t>040208</t>
  </si>
  <si>
    <t>BN USI NF 16" FN DIN PN10</t>
  </si>
  <si>
    <t>000005117</t>
  </si>
  <si>
    <t>108254-02</t>
  </si>
  <si>
    <t>309/24</t>
  </si>
  <si>
    <t>040218</t>
  </si>
  <si>
    <t>ZAGAZA</t>
  </si>
  <si>
    <t>WD CPW 16 FN PN10 BRT</t>
  </si>
  <si>
    <t>000009112</t>
  </si>
  <si>
    <t>109855-01</t>
  </si>
  <si>
    <t>0027</t>
  </si>
  <si>
    <t>027</t>
  </si>
  <si>
    <t>109304-03</t>
  </si>
  <si>
    <t>109304-04</t>
  </si>
  <si>
    <t>WR3W DISCO BRT 16" PN10/16 FN</t>
  </si>
  <si>
    <t>109304-02</t>
  </si>
  <si>
    <t>109304-01</t>
  </si>
  <si>
    <t>HEITEC</t>
  </si>
  <si>
    <t>BN USI NE DISCO 10 FN 150PSI</t>
  </si>
  <si>
    <t>000000282</t>
  </si>
  <si>
    <t>108707-02</t>
  </si>
  <si>
    <t>326/24</t>
  </si>
  <si>
    <t>MICROFUSÃO DO BRASIL</t>
  </si>
  <si>
    <t>NE DISCO 6" 150PSI CF8M</t>
  </si>
  <si>
    <t>24</t>
  </si>
  <si>
    <t>000011550</t>
  </si>
  <si>
    <t>108287-01</t>
  </si>
  <si>
    <t>0319/25</t>
  </si>
  <si>
    <t>M045/25</t>
  </si>
  <si>
    <t>RK PREME (PONTE) BRT 10" 150/300# CF8M</t>
  </si>
  <si>
    <t>09</t>
  </si>
  <si>
    <t>109294-05</t>
  </si>
  <si>
    <t>M015/25</t>
  </si>
  <si>
    <t>109294-06</t>
  </si>
  <si>
    <t>109294-07</t>
  </si>
  <si>
    <t>109294-08</t>
  </si>
  <si>
    <t>RK PREME (PONTE) BRT 8" 150/300# CF8M</t>
  </si>
  <si>
    <t>21</t>
  </si>
  <si>
    <t>109611-07</t>
  </si>
  <si>
    <t>M048/25</t>
  </si>
  <si>
    <t>0215/25</t>
  </si>
  <si>
    <t>RK PREME (PONTE) BRT 12" CF8M</t>
  </si>
  <si>
    <t>109611-01</t>
  </si>
  <si>
    <t>109611-02</t>
  </si>
  <si>
    <t>109611-03</t>
  </si>
  <si>
    <t>109611-04</t>
  </si>
  <si>
    <t>M049/25</t>
  </si>
  <si>
    <t>0219/25</t>
  </si>
  <si>
    <t>0320/25</t>
  </si>
  <si>
    <t>RK TP INF BRT MCF 10" 150/300# CF8M</t>
  </si>
  <si>
    <t>14</t>
  </si>
  <si>
    <t>109295-01</t>
  </si>
  <si>
    <t>109295-02</t>
  </si>
  <si>
    <t>109295-03</t>
  </si>
  <si>
    <t>109295-04</t>
  </si>
  <si>
    <t>109295-05</t>
  </si>
  <si>
    <t>109295-06</t>
  </si>
  <si>
    <t>0221/25</t>
  </si>
  <si>
    <t>NE DISCO BRT 2.1/2" CF8M</t>
  </si>
  <si>
    <t>109</t>
  </si>
  <si>
    <t>35</t>
  </si>
  <si>
    <t>23</t>
  </si>
  <si>
    <t>109153-01</t>
  </si>
  <si>
    <t>109153-02</t>
  </si>
  <si>
    <t>109153-03</t>
  </si>
  <si>
    <t>0218/25</t>
  </si>
  <si>
    <t>000011561</t>
  </si>
  <si>
    <t>108288-01</t>
  </si>
  <si>
    <t>M063/25</t>
  </si>
  <si>
    <t>0263/25</t>
  </si>
  <si>
    <t>BN USI NF DISCO 18 CF8M 150PSI</t>
  </si>
  <si>
    <t>108148-03</t>
  </si>
  <si>
    <t>FVP 956/24</t>
  </si>
  <si>
    <t>040211</t>
  </si>
  <si>
    <t>10</t>
  </si>
  <si>
    <t>040213</t>
  </si>
  <si>
    <t>000005113</t>
  </si>
  <si>
    <t>108716-03</t>
  </si>
  <si>
    <t>219/24, 239/24 e 332/24</t>
  </si>
  <si>
    <t>BN USI NE DISCO 8" FN 150PSI</t>
  </si>
  <si>
    <t>108143-08</t>
  </si>
  <si>
    <t>4107/2</t>
  </si>
  <si>
    <t>11</t>
  </si>
  <si>
    <t>4018/1 e 12112401</t>
  </si>
  <si>
    <t>106362-51</t>
  </si>
  <si>
    <t>000005705</t>
  </si>
  <si>
    <t>4018/1</t>
  </si>
  <si>
    <t>PC-NF-002</t>
  </si>
  <si>
    <t>BN USI NF CPW 14 FN</t>
  </si>
  <si>
    <t>26</t>
  </si>
  <si>
    <t>108148-06</t>
  </si>
  <si>
    <t>310/24 e 326/24</t>
  </si>
  <si>
    <t>040206</t>
  </si>
  <si>
    <t>BC USI RL2 CPW 6" 150PSI CF8</t>
  </si>
  <si>
    <t>000005115</t>
  </si>
  <si>
    <t>108966-03</t>
  </si>
  <si>
    <t>108039-09</t>
  </si>
  <si>
    <t>FVP 954/24 e 17122401</t>
  </si>
  <si>
    <t>040204</t>
  </si>
  <si>
    <t xml:space="preserve">FVP 954/24 </t>
  </si>
  <si>
    <t>BC USI RL2 CPW 6" 150PSI WCB</t>
  </si>
  <si>
    <t>000005116</t>
  </si>
  <si>
    <t>105607-02</t>
  </si>
  <si>
    <t>108064-09</t>
  </si>
  <si>
    <t>108064-06</t>
  </si>
  <si>
    <t>040205</t>
  </si>
  <si>
    <t>BN USI NP CPL 6 FN DIN PN10</t>
  </si>
  <si>
    <t xml:space="preserve">BN USI NE CPL 6 FN </t>
  </si>
  <si>
    <t>BN USI NE CPL 6 FN DIN PN16</t>
  </si>
  <si>
    <t>108895-40</t>
  </si>
  <si>
    <t>30/24</t>
  </si>
  <si>
    <t>108895-31</t>
  </si>
  <si>
    <t>108895-26</t>
  </si>
  <si>
    <t>BN USI RK CPW 6 150/300# WCB</t>
  </si>
  <si>
    <t>108001-15</t>
  </si>
  <si>
    <t>040201</t>
  </si>
  <si>
    <t>108001-16</t>
  </si>
  <si>
    <t>108895-33</t>
  </si>
  <si>
    <t>BN USI RK CPW 3" WCB</t>
  </si>
  <si>
    <t>109168-02</t>
  </si>
  <si>
    <t>17122402</t>
  </si>
  <si>
    <t>40202</t>
  </si>
  <si>
    <t>109168-03</t>
  </si>
  <si>
    <t>109168-04</t>
  </si>
  <si>
    <t>BN USI RK CPW 150/300# FSDS WCB</t>
  </si>
  <si>
    <t>108895-17</t>
  </si>
  <si>
    <t>18387 - 51115</t>
  </si>
  <si>
    <t>40203</t>
  </si>
  <si>
    <t>BN USI RK HS 18" 300# 17-4PH</t>
  </si>
  <si>
    <t>108908-62</t>
  </si>
  <si>
    <t>CP217</t>
  </si>
  <si>
    <t>BN USI RK KIT HI 8" 150# 17-4PH</t>
  </si>
  <si>
    <t>000002029</t>
  </si>
  <si>
    <t>000002030</t>
  </si>
  <si>
    <t>109354-02</t>
  </si>
  <si>
    <t>CP208</t>
  </si>
  <si>
    <t>0201/2025</t>
  </si>
  <si>
    <t>0202/2025</t>
  </si>
  <si>
    <t>109233-02</t>
  </si>
  <si>
    <t>BN USI RL CPL 20 150 C958</t>
  </si>
  <si>
    <t>4</t>
  </si>
  <si>
    <t>109422-01</t>
  </si>
  <si>
    <t>2427 AR 1 - 2409 AR 1 - 2417 AR 1 - 2461 AR 1</t>
  </si>
  <si>
    <t>40220</t>
  </si>
  <si>
    <t>2025-0109</t>
  </si>
  <si>
    <t>VARZEA PAULISTA</t>
  </si>
  <si>
    <t>RK DISCO BRT 14" 150# CF8M</t>
  </si>
  <si>
    <t>000014107</t>
  </si>
  <si>
    <t>109726-01</t>
  </si>
  <si>
    <t>FVP 24/25</t>
  </si>
  <si>
    <t>81/25</t>
  </si>
  <si>
    <t>109404-01</t>
  </si>
  <si>
    <t>109404-02</t>
  </si>
  <si>
    <t>109404-03</t>
  </si>
  <si>
    <t>NF DC 18" IN BRT</t>
  </si>
  <si>
    <t>109071-06</t>
  </si>
  <si>
    <t>109071-07</t>
  </si>
  <si>
    <t>109071-08</t>
  </si>
  <si>
    <t>WD CPF BRT 16" PN10 FN</t>
  </si>
  <si>
    <t>109853-02</t>
  </si>
  <si>
    <t>FVP 06/25</t>
  </si>
  <si>
    <t>82/25</t>
  </si>
  <si>
    <t>INOXPLASMA</t>
  </si>
  <si>
    <t>VKT ARS 6 150 316</t>
  </si>
  <si>
    <t>000207927</t>
  </si>
  <si>
    <t>110044-02</t>
  </si>
  <si>
    <t>CBY026</t>
  </si>
  <si>
    <t>RLT SEDE BRT 6" 150PSI 316</t>
  </si>
  <si>
    <t>110044-01</t>
  </si>
  <si>
    <t>CBY027</t>
  </si>
  <si>
    <t>RL2 ARS CHAPA 8" 150PSI 304</t>
  </si>
  <si>
    <t>000040846</t>
  </si>
  <si>
    <t>110194-01</t>
  </si>
  <si>
    <t>CBL045</t>
  </si>
  <si>
    <t>35849</t>
  </si>
  <si>
    <t>CBL046</t>
  </si>
  <si>
    <t>RL2 ARS CHAPA 8" MxM 150PSI 304</t>
  </si>
  <si>
    <t>110194-02</t>
  </si>
  <si>
    <t>BN USI RT CPW 36" WCB</t>
  </si>
  <si>
    <t>000005122</t>
  </si>
  <si>
    <t>109482-02</t>
  </si>
  <si>
    <t>4699/2</t>
  </si>
  <si>
    <t>070206</t>
  </si>
  <si>
    <t>2025-0110</t>
  </si>
  <si>
    <t>BN USI RT CPW 40" WCB</t>
  </si>
  <si>
    <t>109482-03</t>
  </si>
  <si>
    <t>4699/6</t>
  </si>
  <si>
    <t>040210</t>
  </si>
  <si>
    <t>2025-0111</t>
  </si>
  <si>
    <t>BQ USI WD CPF 24" PN10 FN NBR</t>
  </si>
  <si>
    <t>000005112</t>
  </si>
  <si>
    <t>107473-05</t>
  </si>
  <si>
    <t>C037</t>
  </si>
  <si>
    <t>040209</t>
  </si>
  <si>
    <t>ETJ</t>
  </si>
  <si>
    <t>BN USI NE HS 12" 410</t>
  </si>
  <si>
    <t>111</t>
  </si>
  <si>
    <t>000002238</t>
  </si>
  <si>
    <t>108703-16</t>
  </si>
  <si>
    <t>CA521</t>
  </si>
  <si>
    <t>055/2025</t>
  </si>
  <si>
    <t>BN USI NE HS 5-6" 410</t>
  </si>
  <si>
    <t>147</t>
  </si>
  <si>
    <t>108703-18</t>
  </si>
  <si>
    <t>CA524</t>
  </si>
  <si>
    <t>057/2025</t>
  </si>
  <si>
    <t>BN USI NE HI 10" 410</t>
  </si>
  <si>
    <t>210</t>
  </si>
  <si>
    <t>000002233</t>
  </si>
  <si>
    <t>108703-11</t>
  </si>
  <si>
    <t>CA520</t>
  </si>
  <si>
    <t>053/25</t>
  </si>
  <si>
    <t>BC USI RL2 TP INF 10-12" 150PSI A36</t>
  </si>
  <si>
    <t>48</t>
  </si>
  <si>
    <t>108703-02</t>
  </si>
  <si>
    <t>109040-08</t>
  </si>
  <si>
    <t>058/2025</t>
  </si>
  <si>
    <t>059/2025</t>
  </si>
  <si>
    <t>BN USI NF HI 18-20" 410</t>
  </si>
  <si>
    <t>36</t>
  </si>
  <si>
    <t>000002230</t>
  </si>
  <si>
    <t>108703-25</t>
  </si>
  <si>
    <t>CA523</t>
  </si>
  <si>
    <t>046/2025</t>
  </si>
  <si>
    <t>BN USI NE HI 5-6" 410</t>
  </si>
  <si>
    <t>400</t>
  </si>
  <si>
    <t>108703-13</t>
  </si>
  <si>
    <t>048/2025</t>
  </si>
  <si>
    <t>BN USI RK DISCO 18" 300# CF8M</t>
  </si>
  <si>
    <t>108895-23</t>
  </si>
  <si>
    <t>12112401</t>
  </si>
  <si>
    <t>40212</t>
  </si>
  <si>
    <t>77</t>
  </si>
  <si>
    <t>049/2025</t>
  </si>
  <si>
    <t>BN USI NE CPW 4" FN</t>
  </si>
  <si>
    <t>115</t>
  </si>
  <si>
    <t>108703-06</t>
  </si>
  <si>
    <t>324/24</t>
  </si>
  <si>
    <t>054/2025</t>
  </si>
  <si>
    <t>105</t>
  </si>
  <si>
    <t>056/2025</t>
  </si>
  <si>
    <t>BN USI NF CPW 18" FN</t>
  </si>
  <si>
    <t>108703-20</t>
  </si>
  <si>
    <t>323/24</t>
  </si>
  <si>
    <t>047/2025</t>
  </si>
  <si>
    <t>SOLIMARC (POLMATEC)</t>
  </si>
  <si>
    <t>AM CR POLM. PRV-110 F16/Q36</t>
  </si>
  <si>
    <t>000010377</t>
  </si>
  <si>
    <t>109957-01</t>
  </si>
  <si>
    <t>04933/2025</t>
  </si>
  <si>
    <t>000008308</t>
  </si>
  <si>
    <t>109066-06</t>
  </si>
  <si>
    <t>6031/25</t>
  </si>
  <si>
    <t>2025-0121</t>
  </si>
  <si>
    <t>RK DISCO BRT 10" 150# CF8M</t>
  </si>
  <si>
    <t>000008313</t>
  </si>
  <si>
    <t>000008314</t>
  </si>
  <si>
    <t>109625-01</t>
  </si>
  <si>
    <t>109625-02</t>
  </si>
  <si>
    <t>C227</t>
  </si>
  <si>
    <t>6036/25</t>
  </si>
  <si>
    <t>2025-0127</t>
  </si>
  <si>
    <t>RK DISCO BRT 12" 150# CF8M</t>
  </si>
  <si>
    <t>RK CPW BRT 12" 150/300# CF8M</t>
  </si>
  <si>
    <t>000008315</t>
  </si>
  <si>
    <t>109724-01</t>
  </si>
  <si>
    <t>109724-02</t>
  </si>
  <si>
    <t>C192</t>
  </si>
  <si>
    <t>6037/25</t>
  </si>
  <si>
    <t>000008316</t>
  </si>
  <si>
    <t>109997-01</t>
  </si>
  <si>
    <t>C163</t>
  </si>
  <si>
    <t>109453-01</t>
  </si>
  <si>
    <t>RK CPW BRT 14" 300# CF8M</t>
  </si>
  <si>
    <t>C126</t>
  </si>
  <si>
    <t>C243</t>
  </si>
  <si>
    <t>NE DISCO 8" CF8M BRT</t>
  </si>
  <si>
    <t>000008309</t>
  </si>
  <si>
    <t>109068-01</t>
  </si>
  <si>
    <t>C180</t>
  </si>
  <si>
    <t>WR3 DISCO BRT 14" PN10/16 FN</t>
  </si>
  <si>
    <t>000008310</t>
  </si>
  <si>
    <t>000008311</t>
  </si>
  <si>
    <t>109369-04</t>
  </si>
  <si>
    <t>000008327</t>
  </si>
  <si>
    <t>109852-02</t>
  </si>
  <si>
    <t>C082</t>
  </si>
  <si>
    <t>6034/25</t>
  </si>
  <si>
    <t>6038/25</t>
  </si>
  <si>
    <t>6032/25</t>
  </si>
  <si>
    <t>RK DISCO BRT 14" 3000# CF8M</t>
  </si>
  <si>
    <t>108743-02</t>
  </si>
  <si>
    <t>6033/25</t>
  </si>
  <si>
    <t>109369-03</t>
  </si>
  <si>
    <t>PROFLON</t>
  </si>
  <si>
    <t>RK SEDE SOFT 6" 150/300# RTFE (PTFV25)</t>
  </si>
  <si>
    <t>29</t>
  </si>
  <si>
    <t>000002500</t>
  </si>
  <si>
    <t>109523-07</t>
  </si>
  <si>
    <t>2500/25-2</t>
  </si>
  <si>
    <t>2500/25-3</t>
  </si>
  <si>
    <t>108842-06</t>
  </si>
  <si>
    <t>BN USI NE CPW 4" DIN PN10/16 NBR PN10/16 FN</t>
  </si>
  <si>
    <t>000005725</t>
  </si>
  <si>
    <t>109228-02</t>
  </si>
  <si>
    <t>340/24</t>
  </si>
  <si>
    <t>109137-01</t>
  </si>
  <si>
    <t>49</t>
  </si>
  <si>
    <t>109137-02</t>
  </si>
  <si>
    <t>50</t>
  </si>
  <si>
    <t>000005727</t>
  </si>
  <si>
    <t>BN USI NE CPL 6" DIN PN10/16 FN</t>
  </si>
  <si>
    <t>25</t>
  </si>
  <si>
    <t>000007757</t>
  </si>
  <si>
    <t>108901-01</t>
  </si>
  <si>
    <t>OS-00236-001</t>
  </si>
  <si>
    <t>ILHA GRANDE</t>
  </si>
  <si>
    <t>RK DISCO BRT 6" 150/300# CF8M</t>
  </si>
  <si>
    <t>000023521</t>
  </si>
  <si>
    <t>109727-02</t>
  </si>
  <si>
    <t>07012501</t>
  </si>
  <si>
    <t>11250</t>
  </si>
  <si>
    <t>109727-03</t>
  </si>
  <si>
    <t>NE CPL 2.5 WCB BRT DIN EN1092 PN10/16</t>
  </si>
  <si>
    <t>000023522</t>
  </si>
  <si>
    <t>000023520</t>
  </si>
  <si>
    <t>109647-01</t>
  </si>
  <si>
    <t>03012501</t>
  </si>
  <si>
    <t>11251</t>
  </si>
  <si>
    <t>NE DISCO BRT 12" CF8M</t>
  </si>
  <si>
    <t>000023519</t>
  </si>
  <si>
    <t>109683-01</t>
  </si>
  <si>
    <t>109683-02</t>
  </si>
  <si>
    <t>11252</t>
  </si>
  <si>
    <t>NF CPW BRT 16" CF8M</t>
  </si>
  <si>
    <t>NF CPW BRT 20" CF8M</t>
  </si>
  <si>
    <t>000023526</t>
  </si>
  <si>
    <t>109901-01</t>
  </si>
  <si>
    <t>13012502</t>
  </si>
  <si>
    <t>11259</t>
  </si>
  <si>
    <t>11260</t>
  </si>
  <si>
    <t>109901-02</t>
  </si>
  <si>
    <t>NF CPW 16" WCB BRT</t>
  </si>
  <si>
    <t>109847-01</t>
  </si>
  <si>
    <t>11253</t>
  </si>
  <si>
    <t>019/25</t>
  </si>
  <si>
    <t>42</t>
  </si>
  <si>
    <t>000008278</t>
  </si>
  <si>
    <t>6008/25</t>
  </si>
  <si>
    <t>RL2 DISCO BRT 3" CF8</t>
  </si>
  <si>
    <t>000008279</t>
  </si>
  <si>
    <t>109066-08</t>
  </si>
  <si>
    <t>6009/25</t>
  </si>
  <si>
    <t>3</t>
  </si>
  <si>
    <t>61</t>
  </si>
  <si>
    <t>000008280</t>
  </si>
  <si>
    <t>6010/25 e 6011/25</t>
  </si>
  <si>
    <t>000008281</t>
  </si>
  <si>
    <t>6012/25</t>
  </si>
  <si>
    <t>RLT DISCO BRT 6" 150 CF8M</t>
  </si>
  <si>
    <t>000008282</t>
  </si>
  <si>
    <t>109848-02</t>
  </si>
  <si>
    <t>C214</t>
  </si>
  <si>
    <t>6013/25</t>
  </si>
  <si>
    <t>CLEVER</t>
  </si>
  <si>
    <t>BN VUL NE SEDE 12" POLIURETANO</t>
  </si>
  <si>
    <t>000011888</t>
  </si>
  <si>
    <t>109218-01</t>
  </si>
  <si>
    <t>241248</t>
  </si>
  <si>
    <t>069/2025</t>
  </si>
  <si>
    <t>IM0059/SE-014</t>
  </si>
  <si>
    <t>109806-04</t>
  </si>
  <si>
    <t>070/2025</t>
  </si>
  <si>
    <t>GLAUDYJ</t>
  </si>
  <si>
    <t>BN USI RK CPL 20" 150# FSDS C958</t>
  </si>
  <si>
    <t>000009997</t>
  </si>
  <si>
    <t>107999-01</t>
  </si>
  <si>
    <t>107999-02</t>
  </si>
  <si>
    <t>107999-03</t>
  </si>
  <si>
    <t>107999-04</t>
  </si>
  <si>
    <t>2301 AR 1</t>
  </si>
  <si>
    <t>2232 AR 1</t>
  </si>
  <si>
    <t>BN USI RK DISCO 20" 150# C958 M24</t>
  </si>
  <si>
    <t>2301 AR 2</t>
  </si>
  <si>
    <t>2301 AR 3</t>
  </si>
  <si>
    <t>BN USI RK CPW 10" 150# CF8M</t>
  </si>
  <si>
    <t>000005133</t>
  </si>
  <si>
    <t>109095-01</t>
  </si>
  <si>
    <t>109095-02</t>
  </si>
  <si>
    <t>131124A2</t>
  </si>
  <si>
    <t>140207</t>
  </si>
  <si>
    <t>109355-03</t>
  </si>
  <si>
    <t>BN USI RKW CORPO 14" 150# WCB</t>
  </si>
  <si>
    <t>109168-08</t>
  </si>
  <si>
    <t>C1625</t>
  </si>
  <si>
    <t>140204</t>
  </si>
  <si>
    <t>108001-18</t>
  </si>
  <si>
    <t>C125</t>
  </si>
  <si>
    <t>154</t>
  </si>
  <si>
    <t>46</t>
  </si>
  <si>
    <t>000011577</t>
  </si>
  <si>
    <t>M078/25, M079/25 e M080/25</t>
  </si>
  <si>
    <t>M080/25</t>
  </si>
  <si>
    <t>0349/25, 0348/25 e 0350/25</t>
  </si>
  <si>
    <t>0350/25</t>
  </si>
  <si>
    <t>2025-0139</t>
  </si>
  <si>
    <t>AM CR POLM. PRV-50 (REL. 1:34) F10/R22 S1</t>
  </si>
  <si>
    <t>000010384</t>
  </si>
  <si>
    <t>109668-01</t>
  </si>
  <si>
    <t>004936/2025</t>
  </si>
  <si>
    <t>AM CR POLM. PRVA-90 (REL.1:80,08) F12/R45 TC 10</t>
  </si>
  <si>
    <t>109668-02</t>
  </si>
  <si>
    <t>109668-03</t>
  </si>
  <si>
    <t>109668-04</t>
  </si>
  <si>
    <t>004937/2025</t>
  </si>
  <si>
    <t>004938/2025</t>
  </si>
  <si>
    <t>004939/2025</t>
  </si>
  <si>
    <t>BN USI NF CPW 14" FN</t>
  </si>
  <si>
    <t>000005132</t>
  </si>
  <si>
    <t>109168-01</t>
  </si>
  <si>
    <t>108716-06</t>
  </si>
  <si>
    <t>108716-20</t>
  </si>
  <si>
    <t>140205</t>
  </si>
  <si>
    <t>326/24 e 08/25</t>
  </si>
  <si>
    <t>310/24</t>
  </si>
  <si>
    <t>BN USI RT CPW 30" WCB</t>
  </si>
  <si>
    <t>000005131</t>
  </si>
  <si>
    <t>109482-01</t>
  </si>
  <si>
    <t>4699/1</t>
  </si>
  <si>
    <t>140220</t>
  </si>
  <si>
    <t>IM0035/IM0591</t>
  </si>
  <si>
    <t>RL2 ARS CHAPA 6" 150PSI 316</t>
  </si>
  <si>
    <t>000040906</t>
  </si>
  <si>
    <t>110306-01</t>
  </si>
  <si>
    <t>CBY028</t>
  </si>
  <si>
    <t>35909</t>
  </si>
  <si>
    <t>35910</t>
  </si>
  <si>
    <t>CBY029</t>
  </si>
  <si>
    <t>110193-01</t>
  </si>
  <si>
    <t>110193-02</t>
  </si>
  <si>
    <t>000040907</t>
  </si>
  <si>
    <t>RK ARS CHAPA 4" 150/300# 316</t>
  </si>
  <si>
    <t>IRMÃOS BERTAZZO</t>
  </si>
  <si>
    <t>RL2 ARS CHAPA 10MxM 150PSI AC</t>
  </si>
  <si>
    <t>000011945</t>
  </si>
  <si>
    <t>110404-01</t>
  </si>
  <si>
    <t>CFA067</t>
  </si>
  <si>
    <t>0011945</t>
  </si>
  <si>
    <t>OX-FER</t>
  </si>
  <si>
    <t>RK ARS CHAPA 16" 150# FSDS</t>
  </si>
  <si>
    <t>000110510</t>
  </si>
  <si>
    <t>110191-01</t>
  </si>
  <si>
    <t>CFA068</t>
  </si>
  <si>
    <t>2025-0108</t>
  </si>
  <si>
    <t>030202</t>
  </si>
  <si>
    <t>030201</t>
  </si>
  <si>
    <t>040207</t>
  </si>
  <si>
    <t>BQ USI WD CPW 16" PN10 NBR PN10 FN</t>
  </si>
  <si>
    <t>000007761</t>
  </si>
  <si>
    <t>109674-04</t>
  </si>
  <si>
    <t>2025-0152</t>
  </si>
  <si>
    <t>LANDOFER</t>
  </si>
  <si>
    <t>RL2 ARS BRT 24" 150PSI A36/WCB</t>
  </si>
  <si>
    <t>000048573</t>
  </si>
  <si>
    <t>110439-01</t>
  </si>
  <si>
    <t>CFA069</t>
  </si>
  <si>
    <t>048573</t>
  </si>
  <si>
    <t>CFA070</t>
  </si>
  <si>
    <t>110213-01</t>
  </si>
  <si>
    <t>WR3 ARS BRT 8" PN10 SAE 1020</t>
  </si>
  <si>
    <t>0082/25</t>
  </si>
  <si>
    <t>OS-00263-001</t>
  </si>
  <si>
    <t>RK CPL BRT 16" CF8M 150#</t>
  </si>
  <si>
    <t>000026022</t>
  </si>
  <si>
    <t>109401-01</t>
  </si>
  <si>
    <t>109401-02</t>
  </si>
  <si>
    <t>20912 / 25225</t>
  </si>
  <si>
    <t>20912 / 25226</t>
  </si>
  <si>
    <t>49318</t>
  </si>
  <si>
    <t>RK CPL BRT 16" 150# WCB</t>
  </si>
  <si>
    <t>109473-01</t>
  </si>
  <si>
    <t>20924 / 55227</t>
  </si>
  <si>
    <t>49317</t>
  </si>
  <si>
    <t>BN USI NE DISCO 4" CTFE 150PSI</t>
  </si>
  <si>
    <t>000005741</t>
  </si>
  <si>
    <t>110072-01</t>
  </si>
  <si>
    <t>8330</t>
  </si>
  <si>
    <t>BN USI VER. NE DISCO 4" IN 150/250</t>
  </si>
  <si>
    <t>110021-01</t>
  </si>
  <si>
    <t>RK ARS BRT 6" 150/300# CF8M/316</t>
  </si>
  <si>
    <t>000040955</t>
  </si>
  <si>
    <t>110398-01</t>
  </si>
  <si>
    <t>CBY030</t>
  </si>
  <si>
    <t>35970</t>
  </si>
  <si>
    <t>CBY031</t>
  </si>
  <si>
    <t>110398-02</t>
  </si>
  <si>
    <t>WR3 ARS BRT 6" PN10 316</t>
  </si>
  <si>
    <t>RL2 ARS CHAPA 12" 150# 304</t>
  </si>
  <si>
    <t>RL2 ARS CHAPA 12" MxM 150# 304</t>
  </si>
  <si>
    <t>000040954</t>
  </si>
  <si>
    <t>110400-01</t>
  </si>
  <si>
    <t>110400-02</t>
  </si>
  <si>
    <t>110400-03</t>
  </si>
  <si>
    <t>CBL047</t>
  </si>
  <si>
    <t>CBL048</t>
  </si>
  <si>
    <t>35960</t>
  </si>
  <si>
    <t>BN VUL NE SEDE 6" NEOPRENE</t>
  </si>
  <si>
    <t>000011858</t>
  </si>
  <si>
    <t>109806-10</t>
  </si>
  <si>
    <t>11028</t>
  </si>
  <si>
    <t>109806-11</t>
  </si>
  <si>
    <t>109806-12</t>
  </si>
  <si>
    <t>109806-13</t>
  </si>
  <si>
    <t>6416/25</t>
  </si>
  <si>
    <t>BN VUL NE DC 6" FN EBT 150PSI</t>
  </si>
  <si>
    <t>109806-01</t>
  </si>
  <si>
    <t>109806-02</t>
  </si>
  <si>
    <t>0218</t>
  </si>
  <si>
    <t>035</t>
  </si>
  <si>
    <t>RK ARS CHAPA 6" 150/300/600# AC</t>
  </si>
  <si>
    <t>000110678</t>
  </si>
  <si>
    <t>110401-01</t>
  </si>
  <si>
    <t>110401-02</t>
  </si>
  <si>
    <t>110401-03</t>
  </si>
  <si>
    <t>110401-04</t>
  </si>
  <si>
    <t>CFA071</t>
  </si>
  <si>
    <t>CASTING</t>
  </si>
  <si>
    <t>NF CPW 22 FN BRT</t>
  </si>
  <si>
    <t>000011611</t>
  </si>
  <si>
    <t>109679-01</t>
  </si>
  <si>
    <t>49/25</t>
  </si>
  <si>
    <t>0093/25</t>
  </si>
  <si>
    <t>ARTUZO</t>
  </si>
  <si>
    <t>BR USI WR3 ARS 10" AC</t>
  </si>
  <si>
    <t>000004050</t>
  </si>
  <si>
    <t>108886-22</t>
  </si>
  <si>
    <t>CFA043</t>
  </si>
  <si>
    <t>521-25</t>
  </si>
  <si>
    <t>109702-02</t>
  </si>
  <si>
    <t>CFA056</t>
  </si>
  <si>
    <t>518-25</t>
  </si>
  <si>
    <t>BR USI WR3 ARS 16" PN10 SAE1020</t>
  </si>
  <si>
    <t>108886-50</t>
  </si>
  <si>
    <t>108886-51</t>
  </si>
  <si>
    <t>CFA047</t>
  </si>
  <si>
    <t>520-25</t>
  </si>
  <si>
    <t>ALISSON</t>
  </si>
  <si>
    <t>BR USI WR3 TP INF 10" PN10 SAE1020</t>
  </si>
  <si>
    <t>BR USI WR3 TP INF 16" PN10 SAE1020</t>
  </si>
  <si>
    <t>000000598</t>
  </si>
  <si>
    <t>109687-05</t>
  </si>
  <si>
    <t>109687-06</t>
  </si>
  <si>
    <t>109687-08</t>
  </si>
  <si>
    <t>BR USI WR3 TP INF 12" PN10 SAE1020</t>
  </si>
  <si>
    <t>109687-07</t>
  </si>
  <si>
    <t>BR USI WR3 ARS 14" AC</t>
  </si>
  <si>
    <t>000000596</t>
  </si>
  <si>
    <t>108684-39</t>
  </si>
  <si>
    <t>596</t>
  </si>
  <si>
    <t>DS FLANGE SUP 26 AC 1020 ZC</t>
  </si>
  <si>
    <t>000004052</t>
  </si>
  <si>
    <t>110238-01</t>
  </si>
  <si>
    <t>110238-02</t>
  </si>
  <si>
    <t>110238-03</t>
  </si>
  <si>
    <t>CALMOTECH</t>
  </si>
  <si>
    <t>BR USI WR3 FLANGE SUP 16" PN10 SAE1020</t>
  </si>
  <si>
    <t>000000011</t>
  </si>
  <si>
    <t>110026-22</t>
  </si>
  <si>
    <t>BR USI WR3 TP INF 14" PN10 SAE1020</t>
  </si>
  <si>
    <t>000000016</t>
  </si>
  <si>
    <t>110026-19</t>
  </si>
  <si>
    <t>110026-20</t>
  </si>
  <si>
    <t>BR USI WR3W TP INF 16" PN10 SAE1020</t>
  </si>
  <si>
    <t>000004023</t>
  </si>
  <si>
    <t>109148-09</t>
  </si>
  <si>
    <t>BQ USI WD CPF 14" PN10 NBR PN10 FN</t>
  </si>
  <si>
    <t>000005146</t>
  </si>
  <si>
    <t>107473-04</t>
  </si>
  <si>
    <t>C025, C026, C083, C084 e C085</t>
  </si>
  <si>
    <t>210219</t>
  </si>
  <si>
    <t>15</t>
  </si>
  <si>
    <t>2025-0167</t>
  </si>
  <si>
    <t>BN USI NF DISCO 20" CF8M 150PSI</t>
  </si>
  <si>
    <t>000005141</t>
  </si>
  <si>
    <t>108148-02</t>
  </si>
  <si>
    <t>FVP 956/24 e 15022202</t>
  </si>
  <si>
    <t>210213</t>
  </si>
  <si>
    <t>07</t>
  </si>
  <si>
    <t>2025-0168</t>
  </si>
  <si>
    <t>BN USI NF CPW 20" FN</t>
  </si>
  <si>
    <t>000005142</t>
  </si>
  <si>
    <t>000005140</t>
  </si>
  <si>
    <t>108148-04</t>
  </si>
  <si>
    <t>236/24</t>
  </si>
  <si>
    <t>210206</t>
  </si>
  <si>
    <t>BN USI NF CPL 20 FN</t>
  </si>
  <si>
    <t>108716-05</t>
  </si>
  <si>
    <t>313/24</t>
  </si>
  <si>
    <t>210208</t>
  </si>
  <si>
    <t>108966-11</t>
  </si>
  <si>
    <t>BN USI RT CPW 30 WCB</t>
  </si>
  <si>
    <t>000005143</t>
  </si>
  <si>
    <t>210205</t>
  </si>
  <si>
    <t>BQ USI WD CPF 16" PN10 NBR FN</t>
  </si>
  <si>
    <t>108569-15</t>
  </si>
  <si>
    <t>108569-16</t>
  </si>
  <si>
    <t>FVP 960/24</t>
  </si>
  <si>
    <t>210210</t>
  </si>
  <si>
    <t>BC USI RL2 DISCO 6" 150PSI CF8</t>
  </si>
  <si>
    <t>000005130</t>
  </si>
  <si>
    <t>105187-01</t>
  </si>
  <si>
    <t>140210</t>
  </si>
  <si>
    <t>106411-31</t>
  </si>
  <si>
    <t>105842-01</t>
  </si>
  <si>
    <t>107933-11</t>
  </si>
  <si>
    <t>FVP 936/24</t>
  </si>
  <si>
    <t>107933-10</t>
  </si>
  <si>
    <t>FVP 936/24 e C182</t>
  </si>
  <si>
    <t>140211</t>
  </si>
  <si>
    <t>BN USI NF CPW 24" WCB</t>
  </si>
  <si>
    <t>BN USI NF CPW 24" FN</t>
  </si>
  <si>
    <t>108978-01</t>
  </si>
  <si>
    <t>108895-30</t>
  </si>
  <si>
    <t>141224A1</t>
  </si>
  <si>
    <t>10/25</t>
  </si>
  <si>
    <t>210211</t>
  </si>
  <si>
    <t>210212</t>
  </si>
  <si>
    <t>RDR - RELATÓRIO DIÁRIO DE RECEBIMENTO - FEVEREIRO 2025</t>
  </si>
  <si>
    <t>BC USI RL2 ARS 20" 150PSI A36</t>
  </si>
  <si>
    <t>000004045</t>
  </si>
  <si>
    <t>107864-26</t>
  </si>
  <si>
    <t>CFA032</t>
  </si>
  <si>
    <t>512-25</t>
  </si>
  <si>
    <t>BN USI WD CPF 10" FN NBR PN10</t>
  </si>
  <si>
    <t>108640-01</t>
  </si>
  <si>
    <t>C138</t>
  </si>
  <si>
    <t>BN USI NW CPW 3 FN NBR PN10</t>
  </si>
  <si>
    <t>110198-01</t>
  </si>
  <si>
    <t>C168</t>
  </si>
  <si>
    <t>BC USI RL2 CPW 3 WCB</t>
  </si>
  <si>
    <t>108069-13</t>
  </si>
  <si>
    <t>107933-15</t>
  </si>
  <si>
    <t>210202</t>
  </si>
  <si>
    <t>105610-01</t>
  </si>
  <si>
    <t>210215</t>
  </si>
  <si>
    <t>108001-06</t>
  </si>
  <si>
    <t>BN USI NE DISCO 8 C958 150PSI</t>
  </si>
  <si>
    <t>000005745</t>
  </si>
  <si>
    <t>109721-03</t>
  </si>
  <si>
    <t>109721-02</t>
  </si>
  <si>
    <t>1283 AL20</t>
  </si>
  <si>
    <t>1283 AR17, 2034 AR22 e AR23.</t>
  </si>
  <si>
    <t>BN USI NE DISCO 6 CF8M 250PSI</t>
  </si>
  <si>
    <t>000005731</t>
  </si>
  <si>
    <t>106506-08</t>
  </si>
  <si>
    <t>BN USI NE DISCO 3" BR/A 150PSI</t>
  </si>
  <si>
    <t>110253-01</t>
  </si>
  <si>
    <t>1782 AN57</t>
  </si>
  <si>
    <t>BC USI RL2 TP INF 4" 304</t>
  </si>
  <si>
    <t>109787-02</t>
  </si>
  <si>
    <t>BR USI WR3W ARS 6" PN10 304</t>
  </si>
  <si>
    <t>000004029</t>
  </si>
  <si>
    <t>108159-03</t>
  </si>
  <si>
    <t>CBL023</t>
  </si>
  <si>
    <t>500-25</t>
  </si>
  <si>
    <t>BN USI RK CPL 4" 150# SWS-M FSDS CF8M</t>
  </si>
  <si>
    <t>000005134</t>
  </si>
  <si>
    <t>109971-01</t>
  </si>
  <si>
    <t>FVP 922/24</t>
  </si>
  <si>
    <t>BN USI RK DISCO 20" 150# C958</t>
  </si>
  <si>
    <t>108895-01</t>
  </si>
  <si>
    <t>2470 AR 2 - 2488 AR 2 - 2511 AR 2</t>
  </si>
  <si>
    <t>140208</t>
  </si>
  <si>
    <t>108895-02</t>
  </si>
  <si>
    <t>2453 AR 3 - 2475 AR 2 - 2409 AR 4</t>
  </si>
  <si>
    <t>210216</t>
  </si>
  <si>
    <t>2511 AR 3 - 2427 AR 2 - 2453 AR 2 - 2411 AR 2 
2409 AR 2 e 3</t>
  </si>
  <si>
    <t>RL2 CPW BRT 16" 150PSI WCB</t>
  </si>
  <si>
    <t>000014123</t>
  </si>
  <si>
    <t>108199-02</t>
  </si>
  <si>
    <t>FVP 68/25</t>
  </si>
  <si>
    <t>210218</t>
  </si>
  <si>
    <t>122/25</t>
  </si>
  <si>
    <t>2025-0179</t>
  </si>
  <si>
    <t>000007770</t>
  </si>
  <si>
    <t>109674-01</t>
  </si>
  <si>
    <t>025/24, 026/24 e 085/25</t>
  </si>
  <si>
    <t>OS-00259-001</t>
  </si>
  <si>
    <t>2025-0178</t>
  </si>
  <si>
    <t>109853-03</t>
  </si>
  <si>
    <t>123/25</t>
  </si>
  <si>
    <t>RK CPW BRT 8" 150# ASME 150/300# CF8M</t>
  </si>
  <si>
    <t>NF DC 14" IN BRT</t>
  </si>
  <si>
    <t>108747-02</t>
  </si>
  <si>
    <t>120/25</t>
  </si>
  <si>
    <t>108093-01</t>
  </si>
  <si>
    <t>RL DISCO BRT 14" PN10 CF8</t>
  </si>
  <si>
    <t>108097-03</t>
  </si>
  <si>
    <t>FVP 64/25</t>
  </si>
  <si>
    <t>121/25</t>
  </si>
  <si>
    <t>107734-10</t>
  </si>
  <si>
    <t>RL2 DISCO BRT 16" 150PSI CF8</t>
  </si>
  <si>
    <t>885/25</t>
  </si>
  <si>
    <t>EXTRABOR</t>
  </si>
  <si>
    <t>BN VUL NE SEDE 6" EPDM</t>
  </si>
  <si>
    <t>44</t>
  </si>
  <si>
    <t>000004090</t>
  </si>
  <si>
    <t>110308-06</t>
  </si>
  <si>
    <t>9333</t>
  </si>
  <si>
    <t>1751/25</t>
  </si>
  <si>
    <t>109501-07</t>
  </si>
  <si>
    <t>BN VUL NE SEDE 3" HYPALON</t>
  </si>
  <si>
    <t>110473-01</t>
  </si>
  <si>
    <t>9328</t>
  </si>
  <si>
    <t>110473-02</t>
  </si>
  <si>
    <t>1750/25</t>
  </si>
  <si>
    <t>BN VUL NE SEDE 6" EPDM T-150</t>
  </si>
  <si>
    <t>63</t>
  </si>
  <si>
    <t>110308-02</t>
  </si>
  <si>
    <t>9330</t>
  </si>
  <si>
    <t>1749/25</t>
  </si>
  <si>
    <t>28</t>
  </si>
  <si>
    <t>000008370</t>
  </si>
  <si>
    <t>109066-07</t>
  </si>
  <si>
    <t>6062/25</t>
  </si>
  <si>
    <t>RL2 CPW BRT 3 CF8</t>
  </si>
  <si>
    <t>000008369</t>
  </si>
  <si>
    <t>108959-03</t>
  </si>
  <si>
    <t>6061/25</t>
  </si>
  <si>
    <t>2025-0185</t>
  </si>
  <si>
    <t>2025-0187</t>
  </si>
  <si>
    <t>RL2 CPW BRT 2" CF8</t>
  </si>
  <si>
    <t>108959-01</t>
  </si>
  <si>
    <t>6060/25</t>
  </si>
  <si>
    <t>WR3 DISCO BRT 6" PN10</t>
  </si>
  <si>
    <t>000008383</t>
  </si>
  <si>
    <t>108296-01</t>
  </si>
  <si>
    <t>6077/25</t>
  </si>
  <si>
    <t>000008379</t>
  </si>
  <si>
    <t>109728-01</t>
  </si>
  <si>
    <t>6073/25</t>
  </si>
  <si>
    <t>2025-0188</t>
  </si>
  <si>
    <t>200</t>
  </si>
  <si>
    <t>000002266</t>
  </si>
  <si>
    <t>85</t>
  </si>
  <si>
    <t>BN USI NE HI 4" 410</t>
  </si>
  <si>
    <t>109040-02</t>
  </si>
  <si>
    <t>CA538</t>
  </si>
  <si>
    <t>160</t>
  </si>
  <si>
    <t>BN USI NE CPW 6" FN</t>
  </si>
  <si>
    <t>127</t>
  </si>
  <si>
    <t>000007771</t>
  </si>
  <si>
    <t>107631-02</t>
  </si>
  <si>
    <t>262/24 e 276/24</t>
  </si>
  <si>
    <t>OS-00271-001</t>
  </si>
  <si>
    <t>126</t>
  </si>
  <si>
    <t>2027-0192</t>
  </si>
  <si>
    <t>BN USI RLT CORPO WAFER P/ POSTICO 6" 150 CF8M</t>
  </si>
  <si>
    <t>000005145</t>
  </si>
  <si>
    <t>110166-01</t>
  </si>
  <si>
    <t>110166-02</t>
  </si>
  <si>
    <t>110166-03</t>
  </si>
  <si>
    <t>210209</t>
  </si>
  <si>
    <t>2025-0189</t>
  </si>
  <si>
    <t>BN USI RLT SEDE 6" 150 316</t>
  </si>
  <si>
    <t>210203</t>
  </si>
  <si>
    <t>2025-0191</t>
  </si>
  <si>
    <t>MARCUS</t>
  </si>
  <si>
    <t>BN USI RLT DISCO PARA POSTICO 6" 150 CF8M</t>
  </si>
  <si>
    <t>210217</t>
  </si>
  <si>
    <t>2025-0194</t>
  </si>
  <si>
    <t>IM0592/IM0219/IM0480</t>
  </si>
  <si>
    <t>NOVALLOY</t>
  </si>
  <si>
    <t>VKT ANEL VED 4 300 BRT UNS32750+GRAFITE</t>
  </si>
  <si>
    <t>000007966</t>
  </si>
  <si>
    <t>110128-02</t>
  </si>
  <si>
    <t>RFY3497</t>
  </si>
  <si>
    <t>8502</t>
  </si>
  <si>
    <t>8501</t>
  </si>
  <si>
    <t>110128-01</t>
  </si>
  <si>
    <t>IM-0593</t>
  </si>
  <si>
    <t>VKT ANEL VED 2 150 BRT UNS32750+GRAFITE</t>
  </si>
  <si>
    <r>
      <t>AM CR POLM. PRVA-150 (REL. 1:210,9) F25/</t>
    </r>
    <r>
      <rPr>
        <sz val="11"/>
        <color theme="1"/>
        <rFont val="Aptos Narrow"/>
        <family val="2"/>
      </rPr>
      <t>Ø3" TCA</t>
    </r>
  </si>
  <si>
    <t>000010403</t>
  </si>
  <si>
    <t>110105-02</t>
  </si>
  <si>
    <t>04954/2025</t>
  </si>
  <si>
    <t>2025-0195</t>
  </si>
  <si>
    <t>AM CR POLM. PRVA-150 (REL. 1:163,17) F16/Ø2.1/2" TCA</t>
  </si>
  <si>
    <t>110105-01</t>
  </si>
  <si>
    <t>04953/2025</t>
  </si>
  <si>
    <t>AM CR PRV-50 F10/Q22 TC POLM. S1</t>
  </si>
  <si>
    <t>000010404</t>
  </si>
  <si>
    <t>109903-01</t>
  </si>
  <si>
    <t>04952/2025</t>
  </si>
  <si>
    <t>BN USI NE CPW 8 FN</t>
  </si>
  <si>
    <t>81</t>
  </si>
  <si>
    <t>000002275</t>
  </si>
  <si>
    <t>108703-08</t>
  </si>
  <si>
    <t>311/24</t>
  </si>
  <si>
    <t>085/2025</t>
  </si>
  <si>
    <t>100</t>
  </si>
  <si>
    <t>084/2025</t>
  </si>
  <si>
    <t>000040992</t>
  </si>
  <si>
    <t>110548-01</t>
  </si>
  <si>
    <t>CBL049</t>
  </si>
  <si>
    <t>CBY032</t>
  </si>
  <si>
    <t>110509-01</t>
  </si>
  <si>
    <t>000040993</t>
  </si>
  <si>
    <t>000040991</t>
  </si>
  <si>
    <t>RK ARS CHAPA 18" 150# 316 FSDS</t>
  </si>
  <si>
    <t>RL2 ARS CHAPA 3" 150PSI 304</t>
  </si>
  <si>
    <t>110575-01</t>
  </si>
  <si>
    <t>CBL050</t>
  </si>
  <si>
    <t>VKT ARS BRT 16 CL150 316</t>
  </si>
  <si>
    <t>000041052</t>
  </si>
  <si>
    <t>110612-01</t>
  </si>
  <si>
    <t>CBY033</t>
  </si>
  <si>
    <t>WR3W ARS BRT 16" PN10 316</t>
  </si>
  <si>
    <t>000041053</t>
  </si>
  <si>
    <t>110712-01</t>
  </si>
  <si>
    <t>CBY034</t>
  </si>
  <si>
    <t>RL2 ARS BRT 20" 150PSI 304/CF8</t>
  </si>
  <si>
    <t>000011725</t>
  </si>
  <si>
    <t>110535-01</t>
  </si>
  <si>
    <t>CBL051</t>
  </si>
  <si>
    <t>98410</t>
  </si>
  <si>
    <t>98412</t>
  </si>
  <si>
    <t>CBL052</t>
  </si>
  <si>
    <t>CBL053</t>
  </si>
  <si>
    <t>110536-01</t>
  </si>
  <si>
    <t>000011726</t>
  </si>
  <si>
    <t>RL2 ARS CHAPA 10" 150# 304</t>
  </si>
  <si>
    <t>RL2 ARS CHAPA 14" 150PSI 304</t>
  </si>
  <si>
    <t>110536-02</t>
  </si>
  <si>
    <t>BN VUL NE SEDE 10" POLIURETANO</t>
  </si>
  <si>
    <t>000011939</t>
  </si>
  <si>
    <t>000011937</t>
  </si>
  <si>
    <t>109873-01</t>
  </si>
  <si>
    <t>241298</t>
  </si>
  <si>
    <t>074/25</t>
  </si>
  <si>
    <t>075/25</t>
  </si>
  <si>
    <t>WR3 ARS 24" PN10 SAE 1020 BRT</t>
  </si>
  <si>
    <t>000048694</t>
  </si>
  <si>
    <t>110633-01</t>
  </si>
  <si>
    <t>CFA072</t>
  </si>
  <si>
    <t>048694</t>
  </si>
  <si>
    <t>RK ARS CHAPA 18" 150# AC</t>
  </si>
  <si>
    <t>000048644</t>
  </si>
  <si>
    <t>110568-01</t>
  </si>
  <si>
    <t>CFA073</t>
  </si>
  <si>
    <t>048644</t>
  </si>
  <si>
    <t>RK ARS CHAPA 2,5" 150# AC</t>
  </si>
  <si>
    <t>000110912</t>
  </si>
  <si>
    <t>110545-01</t>
  </si>
  <si>
    <t>CFA074</t>
  </si>
  <si>
    <t>110621-01</t>
  </si>
  <si>
    <t>CFA075</t>
  </si>
  <si>
    <t>BN USI RK CPW 6" 150/300# WCB</t>
  </si>
  <si>
    <t>108895-41</t>
  </si>
  <si>
    <t>210201</t>
  </si>
  <si>
    <t>000005144</t>
  </si>
  <si>
    <t>109095-03</t>
  </si>
  <si>
    <t>210204</t>
  </si>
  <si>
    <t>BN VUL NE SEDE 8" EPDM</t>
  </si>
  <si>
    <t>16</t>
  </si>
  <si>
    <t>000004049</t>
  </si>
  <si>
    <t>108838-04</t>
  </si>
  <si>
    <t>9006</t>
  </si>
  <si>
    <t>1686/25</t>
  </si>
  <si>
    <t>64</t>
  </si>
  <si>
    <t>108205-02</t>
  </si>
  <si>
    <t>9006 e 9205</t>
  </si>
  <si>
    <t>BN USI NE SEDE 6" EPDM</t>
  </si>
  <si>
    <t>146</t>
  </si>
  <si>
    <t>000004112</t>
  </si>
  <si>
    <t>9328, 9329 e 9331</t>
  </si>
  <si>
    <t>1761/25</t>
  </si>
  <si>
    <t>BN USI NE CPW 12" FN</t>
  </si>
  <si>
    <t>53</t>
  </si>
  <si>
    <t>000002257</t>
  </si>
  <si>
    <t>108703-05</t>
  </si>
  <si>
    <t>318/24 e 330/24</t>
  </si>
  <si>
    <t>062/25</t>
  </si>
  <si>
    <t>BN USI NE CPW 8" FN</t>
  </si>
  <si>
    <t>108862-01</t>
  </si>
  <si>
    <t>063/2025</t>
  </si>
  <si>
    <t>060/2025</t>
  </si>
  <si>
    <t>70</t>
  </si>
  <si>
    <t>000002254</t>
  </si>
  <si>
    <t>068/2025</t>
  </si>
  <si>
    <t>300</t>
  </si>
  <si>
    <t>108703-12</t>
  </si>
  <si>
    <t>CA525</t>
  </si>
  <si>
    <t>067/2025</t>
  </si>
  <si>
    <t>000002261</t>
  </si>
  <si>
    <t>34</t>
  </si>
  <si>
    <t>BN USI RK ARS 18" 300# AC</t>
  </si>
  <si>
    <t>109040-42</t>
  </si>
  <si>
    <t>082/2025</t>
  </si>
  <si>
    <t>BN USI NF HI 24" 410</t>
  </si>
  <si>
    <t>109040-33</t>
  </si>
  <si>
    <t>CA536</t>
  </si>
  <si>
    <t>081/2025</t>
  </si>
  <si>
    <t>2027-0207</t>
  </si>
  <si>
    <t>000048837</t>
  </si>
  <si>
    <t>110795-01</t>
  </si>
  <si>
    <t>CFA076</t>
  </si>
  <si>
    <t>048837</t>
  </si>
  <si>
    <t>500</t>
  </si>
  <si>
    <t>064/2025</t>
  </si>
  <si>
    <t>235</t>
  </si>
  <si>
    <t>60</t>
  </si>
  <si>
    <t>083/2025</t>
  </si>
  <si>
    <t>0106/25</t>
  </si>
  <si>
    <t>0107/25</t>
  </si>
  <si>
    <t>078/2025</t>
  </si>
  <si>
    <t>076/2025</t>
  </si>
  <si>
    <t>075/2025</t>
  </si>
  <si>
    <t>BC USI RL2 ARS 8" 150PSI 304</t>
  </si>
  <si>
    <t>000000003</t>
  </si>
  <si>
    <t>110249-08</t>
  </si>
  <si>
    <t>CBL041</t>
  </si>
  <si>
    <t>0002/2025</t>
  </si>
  <si>
    <t>BC USI RL2 ARS 6" 150PSI 304</t>
  </si>
  <si>
    <t>110249-03</t>
  </si>
  <si>
    <t>110249-04</t>
  </si>
  <si>
    <t>110249-05</t>
  </si>
  <si>
    <t>110249-06</t>
  </si>
  <si>
    <t>0003/2025</t>
  </si>
  <si>
    <t>BQ USI WD CPF 48" REVEST. PN10 FN</t>
  </si>
  <si>
    <t>000010036</t>
  </si>
  <si>
    <t>107474-12</t>
  </si>
  <si>
    <t>4379/1</t>
  </si>
  <si>
    <t>RK ARS USI 4" 150 316 FSDS SWS</t>
  </si>
  <si>
    <t>000002061</t>
  </si>
  <si>
    <t>110405-01</t>
  </si>
  <si>
    <t>0215/2025</t>
  </si>
  <si>
    <t>000011604</t>
  </si>
  <si>
    <t>110098-01</t>
  </si>
  <si>
    <t>A192/25 1187</t>
  </si>
  <si>
    <t>0466/25</t>
  </si>
  <si>
    <t>0465/25</t>
  </si>
  <si>
    <t>A192/25 1132</t>
  </si>
  <si>
    <t>RL2 ARS BRT 10" A995 4A</t>
  </si>
  <si>
    <t>RL2 ARS BRT 12" A995 4A</t>
  </si>
  <si>
    <t>1101091-01</t>
  </si>
  <si>
    <t>VKT DISCO BRT 4" CL300 6A</t>
  </si>
  <si>
    <t>000011605</t>
  </si>
  <si>
    <t>110110-04</t>
  </si>
  <si>
    <t>A193/25   1149</t>
  </si>
  <si>
    <t>0469/25</t>
  </si>
  <si>
    <t>VKT CPL BRT 4" CL300 6A</t>
  </si>
  <si>
    <t>110110-03</t>
  </si>
  <si>
    <t>A193/25   1186</t>
  </si>
  <si>
    <t>0470/25</t>
  </si>
  <si>
    <t>RK CPL BRT 4" 300# 6A</t>
  </si>
  <si>
    <t>109664-02</t>
  </si>
  <si>
    <t>109664-03</t>
  </si>
  <si>
    <t>A193/25   1208</t>
  </si>
  <si>
    <t>0471/25</t>
  </si>
  <si>
    <t>BN VUL NE SEDE 8 SBR</t>
  </si>
  <si>
    <t>110474-01</t>
  </si>
  <si>
    <t>110474-02</t>
  </si>
  <si>
    <t>04328</t>
  </si>
  <si>
    <t>6450/25</t>
  </si>
  <si>
    <t>A193/25    1186</t>
  </si>
  <si>
    <t>66</t>
  </si>
  <si>
    <t>20</t>
  </si>
  <si>
    <t>114</t>
  </si>
  <si>
    <t>000011602</t>
  </si>
  <si>
    <t>109293-01</t>
  </si>
  <si>
    <t>108289-01</t>
  </si>
  <si>
    <t>M093/25</t>
  </si>
  <si>
    <t>0412/25</t>
  </si>
  <si>
    <t>2025-0190</t>
  </si>
  <si>
    <t>M083/25</t>
  </si>
  <si>
    <t>M092/25, M083/25, M093/25 e M079/25</t>
  </si>
  <si>
    <t>0364/25</t>
  </si>
  <si>
    <t>0410/25, 0364/25, 0412/25 e 0509/25</t>
  </si>
  <si>
    <t>87</t>
  </si>
  <si>
    <t>32</t>
  </si>
  <si>
    <t>000011603</t>
  </si>
  <si>
    <t>109611-08</t>
  </si>
  <si>
    <t>109611-09</t>
  </si>
  <si>
    <t>109611-11</t>
  </si>
  <si>
    <t>M085/25</t>
  </si>
  <si>
    <t>0367/25</t>
  </si>
  <si>
    <t>PLASTEBOR</t>
  </si>
  <si>
    <t>NE SEDE 5" EPDM</t>
  </si>
  <si>
    <t>000000938</t>
  </si>
  <si>
    <t>110393-01</t>
  </si>
  <si>
    <t>260225</t>
  </si>
  <si>
    <t>139/2025</t>
  </si>
  <si>
    <t>NE DC 5 IN 250PSI</t>
  </si>
  <si>
    <t>000011574</t>
  </si>
  <si>
    <t>108779-02</t>
  </si>
  <si>
    <t xml:space="preserve">0214/25, 0396/25 ao 0404/25 </t>
  </si>
  <si>
    <t>M047/25,M0286/23,M300/23, M302/23, M314/23, M316/23 ao M319/23 e M326/23</t>
  </si>
  <si>
    <t>FUNFER</t>
  </si>
  <si>
    <t>NF CPF BRT 24" FN</t>
  </si>
  <si>
    <t>000030443</t>
  </si>
  <si>
    <t>110533-01</t>
  </si>
  <si>
    <t>325N001 e 325N002</t>
  </si>
  <si>
    <t>18769/1 e 18769/2</t>
  </si>
  <si>
    <t>18769/1</t>
  </si>
  <si>
    <t>DS CPW 26 FN BRT</t>
  </si>
  <si>
    <t>110397-01</t>
  </si>
  <si>
    <t>325N003</t>
  </si>
  <si>
    <t>325N004</t>
  </si>
  <si>
    <t>325N005</t>
  </si>
  <si>
    <t>110397-02</t>
  </si>
  <si>
    <t>110397-03</t>
  </si>
  <si>
    <t>DS DC 26 IN PN10 BRT</t>
  </si>
  <si>
    <t>000008454</t>
  </si>
  <si>
    <t>000008455</t>
  </si>
  <si>
    <t>000008461</t>
  </si>
  <si>
    <t>110550-02</t>
  </si>
  <si>
    <t>110550-03</t>
  </si>
  <si>
    <t>6125/25</t>
  </si>
  <si>
    <t>6130/25</t>
  </si>
  <si>
    <t>RK CPW BRT 12" 150/300# WCB</t>
  </si>
  <si>
    <t>000008462</t>
  </si>
  <si>
    <t>109448-01</t>
  </si>
  <si>
    <t>C276</t>
  </si>
  <si>
    <t>6126/25</t>
  </si>
  <si>
    <t>RS DISCO BRT 28" CF8M</t>
  </si>
  <si>
    <t>000008456</t>
  </si>
  <si>
    <t>000008460</t>
  </si>
  <si>
    <t>110689-01</t>
  </si>
  <si>
    <t>C283</t>
  </si>
  <si>
    <t>6129/25</t>
  </si>
  <si>
    <t>000008419</t>
  </si>
  <si>
    <t>6097/25</t>
  </si>
  <si>
    <t>NE DISCO BRT 6" CF8M</t>
  </si>
  <si>
    <t>103</t>
  </si>
  <si>
    <t>000008450</t>
  </si>
  <si>
    <t>109455-01</t>
  </si>
  <si>
    <t>6120/25</t>
  </si>
  <si>
    <t>000008451</t>
  </si>
  <si>
    <t>109143-02</t>
  </si>
  <si>
    <t>6122/25</t>
  </si>
  <si>
    <t>109143-01</t>
  </si>
  <si>
    <t>6121/25</t>
  </si>
  <si>
    <t>30</t>
  </si>
  <si>
    <t>000008448</t>
  </si>
  <si>
    <t>6119/25</t>
  </si>
  <si>
    <t>000008421</t>
  </si>
  <si>
    <t>109649-01</t>
  </si>
  <si>
    <t>6098/25</t>
  </si>
  <si>
    <t>RK CPL BRT 4" 150# ASME 150 SWS-M WCB</t>
  </si>
  <si>
    <t>000008422</t>
  </si>
  <si>
    <t>000008428</t>
  </si>
  <si>
    <t>110254-01</t>
  </si>
  <si>
    <t>6105/25</t>
  </si>
  <si>
    <t>RK DISCO BRT 4" 150 CF8M SWS</t>
  </si>
  <si>
    <t>000008429</t>
  </si>
  <si>
    <t>000008434</t>
  </si>
  <si>
    <t>110410-01</t>
  </si>
  <si>
    <t>6110/25</t>
  </si>
  <si>
    <t>6131/25</t>
  </si>
  <si>
    <t>000008463</t>
  </si>
  <si>
    <t>000008464</t>
  </si>
  <si>
    <t>109999-01</t>
  </si>
  <si>
    <t>6133/25</t>
  </si>
  <si>
    <t>038/25</t>
  </si>
  <si>
    <t>RL2 CPW BRT 12" CF8</t>
  </si>
  <si>
    <t>000008453</t>
  </si>
  <si>
    <t>109729-03</t>
  </si>
  <si>
    <t>C197</t>
  </si>
  <si>
    <t>6124/25</t>
  </si>
  <si>
    <t>NW CPW 3 FN BRT AWWA C504 PN10</t>
  </si>
  <si>
    <t>108480-01</t>
  </si>
  <si>
    <t>6132/25</t>
  </si>
  <si>
    <t>WR3 DISCO BRT 24" PN10/16 FN</t>
  </si>
  <si>
    <t>000008457</t>
  </si>
  <si>
    <t>110793-01</t>
  </si>
  <si>
    <t>C213</t>
  </si>
  <si>
    <t>6128/25</t>
  </si>
  <si>
    <t>110632-02</t>
  </si>
  <si>
    <t>6127/25</t>
  </si>
  <si>
    <t>6106/25</t>
  </si>
  <si>
    <t>000008430</t>
  </si>
  <si>
    <t>000008427</t>
  </si>
  <si>
    <t>6104/25</t>
  </si>
  <si>
    <t>000008431</t>
  </si>
  <si>
    <t>109678-01</t>
  </si>
  <si>
    <t>6108/25</t>
  </si>
  <si>
    <t>000008432</t>
  </si>
  <si>
    <t>110550-01</t>
  </si>
  <si>
    <t>6109/25</t>
  </si>
  <si>
    <t>RL2 CPW BRT 5 WCB</t>
  </si>
  <si>
    <t>108354-01</t>
  </si>
  <si>
    <t>C135</t>
  </si>
  <si>
    <t>6107/25</t>
  </si>
  <si>
    <t>6099/25</t>
  </si>
  <si>
    <t>000008423</t>
  </si>
  <si>
    <t>6100/25</t>
  </si>
  <si>
    <t>000008425</t>
  </si>
  <si>
    <t>108754-01</t>
  </si>
  <si>
    <t>6102/25</t>
  </si>
  <si>
    <t>RT CPW 28 WCB BRT</t>
  </si>
  <si>
    <t>000008426</t>
  </si>
  <si>
    <t>000008420</t>
  </si>
  <si>
    <t>110454-01</t>
  </si>
  <si>
    <t>C280</t>
  </si>
  <si>
    <t>6096/25</t>
  </si>
  <si>
    <t>109625-04</t>
  </si>
  <si>
    <t>6103/25</t>
  </si>
  <si>
    <t>DS DISCO BRT 30" PN10 CF8M</t>
  </si>
  <si>
    <t>000008368</t>
  </si>
  <si>
    <t>110095-01</t>
  </si>
  <si>
    <t>6059/25</t>
  </si>
  <si>
    <t>000008371</t>
  </si>
  <si>
    <t>6063/25 e 6064/25</t>
  </si>
  <si>
    <t>RK CPW BRT 6" 150/300# WCB</t>
  </si>
  <si>
    <t>000008372</t>
  </si>
  <si>
    <t>109279-04</t>
  </si>
  <si>
    <t>6065/25</t>
  </si>
  <si>
    <t>RK DISCO BRT 8" 150# CF8M</t>
  </si>
  <si>
    <t>000008373</t>
  </si>
  <si>
    <t>109409-01</t>
  </si>
  <si>
    <t>109409-02</t>
  </si>
  <si>
    <t>109409-03</t>
  </si>
  <si>
    <t>109409-04</t>
  </si>
  <si>
    <t>6066/25</t>
  </si>
  <si>
    <t>000008374</t>
  </si>
  <si>
    <t>C164 e C179</t>
  </si>
  <si>
    <t>RK CPW BRT 16" 150# CF8M</t>
  </si>
  <si>
    <t>000008375</t>
  </si>
  <si>
    <t>109436-01</t>
  </si>
  <si>
    <t>C181</t>
  </si>
  <si>
    <t>2069/25</t>
  </si>
  <si>
    <t>000008376</t>
  </si>
  <si>
    <t>109454-01</t>
  </si>
  <si>
    <t>109454-02</t>
  </si>
  <si>
    <t>6070/25</t>
  </si>
  <si>
    <t>6068/25 e 6027/25</t>
  </si>
  <si>
    <t>000008377</t>
  </si>
  <si>
    <t>109625-03</t>
  </si>
  <si>
    <t>6071/25</t>
  </si>
  <si>
    <t>000008378</t>
  </si>
  <si>
    <t>6072/25</t>
  </si>
  <si>
    <t>RK CPL BRT 8" 150# CF8M</t>
  </si>
  <si>
    <t>000008380</t>
  </si>
  <si>
    <t>109739-01</t>
  </si>
  <si>
    <t>6074/25</t>
  </si>
  <si>
    <t>RL DISCO BRT 10" PN10 CF8M</t>
  </si>
  <si>
    <t>000008381</t>
  </si>
  <si>
    <t>110288-01</t>
  </si>
  <si>
    <t>6075/25</t>
  </si>
  <si>
    <t>6076/25</t>
  </si>
  <si>
    <t>109650-01</t>
  </si>
  <si>
    <t>000008382</t>
  </si>
  <si>
    <t>6035/25</t>
  </si>
  <si>
    <t>6040/25</t>
  </si>
  <si>
    <t>000008424</t>
  </si>
  <si>
    <t xml:space="preserve">C163   </t>
  </si>
  <si>
    <t>6101/25</t>
  </si>
  <si>
    <t>BN VUL NE SEDE 8" BUNA-N</t>
  </si>
  <si>
    <t>45</t>
  </si>
  <si>
    <t>108205-08</t>
  </si>
  <si>
    <t>9143</t>
  </si>
  <si>
    <t>1687/25</t>
  </si>
  <si>
    <t>36012</t>
  </si>
  <si>
    <t>36013</t>
  </si>
  <si>
    <t>36011</t>
  </si>
  <si>
    <t>36014</t>
  </si>
  <si>
    <t>36015</t>
  </si>
  <si>
    <t>BN USI NF DISCO 18" FN 150PSI</t>
  </si>
  <si>
    <t>108716-09</t>
  </si>
  <si>
    <t>350/21 e 313/24</t>
  </si>
  <si>
    <t>210214</t>
  </si>
  <si>
    <t>BN USI NE DISCO 6" CF8M 250PSI</t>
  </si>
  <si>
    <t>000005763</t>
  </si>
  <si>
    <t>109263-01</t>
  </si>
  <si>
    <t>BN USI NE DISCO 12" 150PSI C958</t>
  </si>
  <si>
    <t>000005762</t>
  </si>
  <si>
    <t>110022-03</t>
  </si>
  <si>
    <t>110022-04</t>
  </si>
  <si>
    <t>0743 AS4</t>
  </si>
  <si>
    <t>0743 AS5</t>
  </si>
  <si>
    <t>BN USI NE DISCO 3" CF8M 150PSI</t>
  </si>
  <si>
    <t>109081-01</t>
  </si>
  <si>
    <t>425/23</t>
  </si>
  <si>
    <t>CMBA</t>
  </si>
  <si>
    <t>RK ANEL RET SEDE USI 20" 150# C958</t>
  </si>
  <si>
    <t>000020659</t>
  </si>
  <si>
    <t>000020667</t>
  </si>
  <si>
    <t>109259-01</t>
  </si>
  <si>
    <t>0660 AS</t>
  </si>
  <si>
    <t>0110/2025</t>
  </si>
  <si>
    <t>0111/2025</t>
  </si>
  <si>
    <t>IM0593/IM0506/1</t>
  </si>
  <si>
    <t>RK ASR USI 10 150 C958</t>
  </si>
  <si>
    <t>000020623</t>
  </si>
  <si>
    <t>109258-01</t>
  </si>
  <si>
    <t>0572 AS</t>
  </si>
  <si>
    <t>0094/2025</t>
  </si>
  <si>
    <t>RK ARS USI 2 150 C958 FSDS</t>
  </si>
  <si>
    <t>000020615</t>
  </si>
  <si>
    <t>109606-01</t>
  </si>
  <si>
    <t>0525 AS</t>
  </si>
  <si>
    <t>0086/2025</t>
  </si>
  <si>
    <t>IM0593</t>
  </si>
  <si>
    <t>0093/2025</t>
  </si>
  <si>
    <t>108891-01</t>
  </si>
  <si>
    <t>108891-02</t>
  </si>
  <si>
    <t>000020629</t>
  </si>
  <si>
    <t>RK ARS USI 12 150 C958</t>
  </si>
  <si>
    <t>BN USI NE DISCO 5" 250PSI C958</t>
  </si>
  <si>
    <t>000005748</t>
  </si>
  <si>
    <t>109166-07</t>
  </si>
  <si>
    <t>2041 AR 22 - 0864 AR 30</t>
  </si>
  <si>
    <t>109542-02</t>
  </si>
  <si>
    <t>BN USI NE DISCO 10" BR/AL C958</t>
  </si>
  <si>
    <t>109721-07</t>
  </si>
  <si>
    <t>0703 AS 7 - 9 - 10 - 11</t>
  </si>
  <si>
    <t>BN USI NE DICO 6 CF8M 250PSI</t>
  </si>
  <si>
    <t>000005759</t>
  </si>
  <si>
    <t>2041 AR 20 - 21 - 23 e 26 / 0864 AR 31</t>
  </si>
  <si>
    <t>BN USI NF HASTE 18-20" 410</t>
  </si>
  <si>
    <t>17</t>
  </si>
  <si>
    <t>000005749</t>
  </si>
  <si>
    <t>109787-11</t>
  </si>
  <si>
    <t>CA 547</t>
  </si>
  <si>
    <t>BN USI RK H.S.16" MONEL</t>
  </si>
  <si>
    <t>108908-24</t>
  </si>
  <si>
    <t>BE 160</t>
  </si>
  <si>
    <t>BN USI RK H.S. 12" MONEL</t>
  </si>
  <si>
    <t>109356-05</t>
  </si>
  <si>
    <t>BE 159</t>
  </si>
  <si>
    <t>BE 159 - BE 160</t>
  </si>
  <si>
    <t>109166-08</t>
  </si>
  <si>
    <t>108908-30</t>
  </si>
  <si>
    <t>108908-31</t>
  </si>
  <si>
    <t>BN USI NE DISCO 8" 150PSI CF8M</t>
  </si>
  <si>
    <t>BN VUL NF SEDE 24 EPDM T-150</t>
  </si>
  <si>
    <t>000011928</t>
  </si>
  <si>
    <t>110295-18</t>
  </si>
  <si>
    <t>47278</t>
  </si>
  <si>
    <t>6445/25</t>
  </si>
  <si>
    <t>BN VUL NF SEDE 24 CSN</t>
  </si>
  <si>
    <t>000011926</t>
  </si>
  <si>
    <t>110268-03</t>
  </si>
  <si>
    <t>2001</t>
  </si>
  <si>
    <t>6442/25</t>
  </si>
  <si>
    <t>000004084</t>
  </si>
  <si>
    <t>110308-07</t>
  </si>
  <si>
    <t>9337</t>
  </si>
  <si>
    <t>BN VUL NE SEDE 6" BUNA-N</t>
  </si>
  <si>
    <t>109501-06</t>
  </si>
  <si>
    <t>9319</t>
  </si>
  <si>
    <t>BN VUL NE SEDE 6" GA-1</t>
  </si>
  <si>
    <t>110327-01</t>
  </si>
  <si>
    <t>9318</t>
  </si>
  <si>
    <t>BN VUL NE SEDE 6 EPDM T-150</t>
  </si>
  <si>
    <t>109501-03</t>
  </si>
  <si>
    <t>9320</t>
  </si>
  <si>
    <t>000004123</t>
  </si>
  <si>
    <t>9332</t>
  </si>
  <si>
    <t>37</t>
  </si>
  <si>
    <t>9425</t>
  </si>
  <si>
    <t>19</t>
  </si>
  <si>
    <t>150</t>
  </si>
  <si>
    <t>BN VUL NE SEDE 4 EPDM T-150</t>
  </si>
  <si>
    <t>110308-01</t>
  </si>
  <si>
    <t>BN VUL NE SEDE 4 SBR</t>
  </si>
  <si>
    <t>110766-01</t>
  </si>
  <si>
    <t>9431</t>
  </si>
  <si>
    <t>110766-02</t>
  </si>
  <si>
    <t>110308-05</t>
  </si>
  <si>
    <t>9471</t>
  </si>
  <si>
    <t>BN VUL NF SEDE 14 SBR</t>
  </si>
  <si>
    <t>110766-03</t>
  </si>
  <si>
    <t>9429</t>
  </si>
  <si>
    <t>BN VUL NF SEDE 14 EPDM</t>
  </si>
  <si>
    <t>110308-08</t>
  </si>
  <si>
    <t>110308-04</t>
  </si>
  <si>
    <t>9472</t>
  </si>
  <si>
    <t>BN VUL NE SEDE 4" BUNA-N</t>
  </si>
  <si>
    <t>110308-03</t>
  </si>
  <si>
    <t>000005698</t>
  </si>
  <si>
    <t>0825 AR 2 e 5</t>
  </si>
  <si>
    <t>BN USI NE DISCO 3 BR/AL 150PSI</t>
  </si>
  <si>
    <t>108908-37</t>
  </si>
  <si>
    <t>1882 AR 53 - 54 e 55</t>
  </si>
  <si>
    <t>BC USI RL2 ARS 6 MM 1'50PSI 304</t>
  </si>
  <si>
    <t>109166-12</t>
  </si>
  <si>
    <t>BC USI RL2 ANEL RET SEDE 3" 150PSI 304</t>
  </si>
  <si>
    <t>109787-03</t>
  </si>
  <si>
    <t>BC USI RL2 ARS 12 MM 150 304</t>
  </si>
  <si>
    <t>110181-01</t>
  </si>
  <si>
    <t>IM0591/IM0024</t>
  </si>
  <si>
    <t>BN USI NP DISCO 6" 150PSI CF8M</t>
  </si>
  <si>
    <t>000005713</t>
  </si>
  <si>
    <t>107189-27</t>
  </si>
  <si>
    <t>000005722</t>
  </si>
  <si>
    <t>4018/1 - 07032201</t>
  </si>
  <si>
    <t>BN USI NF DISCO 20 FN 150PSI</t>
  </si>
  <si>
    <t>000005129</t>
  </si>
  <si>
    <t>108716-10</t>
  </si>
  <si>
    <t>196/22</t>
  </si>
  <si>
    <t>140215</t>
  </si>
  <si>
    <t>BN USI NF DISCO 18 FN 150PSI</t>
  </si>
  <si>
    <t>106411-15</t>
  </si>
  <si>
    <t>350/21</t>
  </si>
  <si>
    <t>140202</t>
  </si>
  <si>
    <t>BN USI NT DISCO 18 CF8M</t>
  </si>
  <si>
    <t>106881-09</t>
  </si>
  <si>
    <t>FVP 450/24</t>
  </si>
  <si>
    <t>140214</t>
  </si>
  <si>
    <t>106411-19</t>
  </si>
  <si>
    <t>140213</t>
  </si>
  <si>
    <t>140212</t>
  </si>
  <si>
    <t>106411-14</t>
  </si>
  <si>
    <t>9392 - 9404</t>
  </si>
  <si>
    <t>1769/25</t>
  </si>
  <si>
    <t>1770/25</t>
  </si>
  <si>
    <t>1773/25</t>
  </si>
  <si>
    <t>177425</t>
  </si>
  <si>
    <t>1775/25</t>
  </si>
  <si>
    <t>1776/25</t>
  </si>
  <si>
    <t>1777/25</t>
  </si>
  <si>
    <t>1786/25</t>
  </si>
  <si>
    <t>1771/25</t>
  </si>
  <si>
    <t>1805/25</t>
  </si>
  <si>
    <t>1807/25</t>
  </si>
  <si>
    <t>1808/25</t>
  </si>
  <si>
    <t>1809/25</t>
  </si>
  <si>
    <t>ARTRAT</t>
  </si>
  <si>
    <t>18</t>
  </si>
  <si>
    <t>110025-01</t>
  </si>
  <si>
    <t>110025-02</t>
  </si>
  <si>
    <t>BN TRAT TERM HE HASTE INF 5-6" 410</t>
  </si>
  <si>
    <t>000003586</t>
  </si>
  <si>
    <t>202206451</t>
  </si>
  <si>
    <t>16326</t>
  </si>
  <si>
    <t>IM0600</t>
  </si>
  <si>
    <t>BN TRAT TERM NE HASTE SUP 8" 410</t>
  </si>
  <si>
    <t>110025-08</t>
  </si>
  <si>
    <t>110025-09</t>
  </si>
  <si>
    <t>110025-10</t>
  </si>
  <si>
    <t>110025-11</t>
  </si>
  <si>
    <t>110025-12</t>
  </si>
  <si>
    <t>110025-13</t>
  </si>
  <si>
    <t>110025-14</t>
  </si>
  <si>
    <t>88</t>
  </si>
  <si>
    <t>104</t>
  </si>
  <si>
    <t>112</t>
  </si>
  <si>
    <t>CA 524</t>
  </si>
  <si>
    <t>16327</t>
  </si>
  <si>
    <t>BN TRAT TERM NF HS 14-16 410</t>
  </si>
  <si>
    <t>110025-19</t>
  </si>
  <si>
    <t>CA 490</t>
  </si>
  <si>
    <t>16329</t>
  </si>
  <si>
    <t>BN TRAT TERM WR3 HASTE PASS 20" 410</t>
  </si>
  <si>
    <t>109958-05</t>
  </si>
  <si>
    <t>CA 527</t>
  </si>
  <si>
    <t>16320</t>
  </si>
  <si>
    <t>BN TRAT TERM NT HI 20 410</t>
  </si>
  <si>
    <t>110025-21</t>
  </si>
  <si>
    <t>CA 523</t>
  </si>
  <si>
    <t>16331</t>
  </si>
  <si>
    <t>000003587</t>
  </si>
  <si>
    <t>109958-02</t>
  </si>
  <si>
    <t>75</t>
  </si>
  <si>
    <t xml:space="preserve">CA 524 - CA 463 </t>
  </si>
  <si>
    <t>16318</t>
  </si>
  <si>
    <t>57</t>
  </si>
  <si>
    <t>BN TRAT TERM NE HS 5-6" 410</t>
  </si>
  <si>
    <t>109958-01</t>
  </si>
  <si>
    <t>16317</t>
  </si>
  <si>
    <t>109958-03</t>
  </si>
  <si>
    <t>BN TRAT TERM NT HI 18 410</t>
  </si>
  <si>
    <t>110025-20</t>
  </si>
  <si>
    <t>CA 526</t>
  </si>
  <si>
    <t>16330</t>
  </si>
  <si>
    <t>BN TRAT TERM NE HASTE SUP 10" 410</t>
  </si>
  <si>
    <t>148</t>
  </si>
  <si>
    <t>110025-15</t>
  </si>
  <si>
    <t>110025-16</t>
  </si>
  <si>
    <t>110025-17</t>
  </si>
  <si>
    <t>110025-18</t>
  </si>
  <si>
    <t>CA 520</t>
  </si>
  <si>
    <t>16328</t>
  </si>
  <si>
    <t>BR USI TAMPA INF 4" PN10 SAE1020</t>
  </si>
  <si>
    <t>000004076</t>
  </si>
  <si>
    <t>108886-32</t>
  </si>
  <si>
    <t>BR USI WR3 ANEL RET SEDE 12" PN10 SAE1020</t>
  </si>
  <si>
    <t>109702-03</t>
  </si>
  <si>
    <t>109702-04</t>
  </si>
  <si>
    <t>CFA 063</t>
  </si>
  <si>
    <t>532-25</t>
  </si>
  <si>
    <t>BC USI RL2 ARS 3 150PSI A-36</t>
  </si>
  <si>
    <t>000004072</t>
  </si>
  <si>
    <t>108159-32</t>
  </si>
  <si>
    <t>CAF 054</t>
  </si>
  <si>
    <t>527-25</t>
  </si>
  <si>
    <t>BR USI WR3 ANEL RET SEDE 8" PN10 SAE1020</t>
  </si>
  <si>
    <t>109702-01</t>
  </si>
  <si>
    <t>CFA 055</t>
  </si>
  <si>
    <t>528-25</t>
  </si>
  <si>
    <t>109281-16</t>
  </si>
  <si>
    <t>526-25</t>
  </si>
  <si>
    <t>BN USI NE DISCO 4" 150 C958</t>
  </si>
  <si>
    <t>000005755</t>
  </si>
  <si>
    <t>110421-01</t>
  </si>
  <si>
    <t>2309 AR 3 e 5</t>
  </si>
  <si>
    <t>BN USI RK H.I. 12" ESP MONEL</t>
  </si>
  <si>
    <t>108908-29</t>
  </si>
  <si>
    <t>BE 163</t>
  </si>
  <si>
    <t>RK PREME GAX (ANEL) 12</t>
  </si>
  <si>
    <t>000005699</t>
  </si>
  <si>
    <t>109186-01</t>
  </si>
  <si>
    <t>000020687</t>
  </si>
  <si>
    <t>109259-02</t>
  </si>
  <si>
    <t>0128/2025</t>
  </si>
  <si>
    <t>000020694</t>
  </si>
  <si>
    <t>109253-01</t>
  </si>
  <si>
    <t>0130/2025</t>
  </si>
  <si>
    <t>RK ARS USI 12 150 C958 FSDS</t>
  </si>
  <si>
    <t>109461-01</t>
  </si>
  <si>
    <t>0129/2025</t>
  </si>
  <si>
    <t>RK ANEL RET SEDE USI 6" 150# FSDS C958</t>
  </si>
  <si>
    <t>BN VUL NF SEDE 14 EPDM T-150</t>
  </si>
  <si>
    <t>109501-04</t>
  </si>
  <si>
    <t>9254</t>
  </si>
  <si>
    <t>1806/25</t>
  </si>
  <si>
    <t>046275</t>
  </si>
  <si>
    <t>BN VUL NE SEDE 8" BUNA-GA1</t>
  </si>
  <si>
    <t>109219-02</t>
  </si>
  <si>
    <t>8988</t>
  </si>
  <si>
    <t>1685/25</t>
  </si>
  <si>
    <t>110700-02</t>
  </si>
  <si>
    <t>1772/25</t>
  </si>
  <si>
    <t>BN VUL NE SEDE 12 EPDM T-150</t>
  </si>
  <si>
    <t>000011906</t>
  </si>
  <si>
    <t>109499-12</t>
  </si>
  <si>
    <t>6428/25</t>
  </si>
  <si>
    <t>BN VUL NE SEDE 12 ELASTOHARD</t>
  </si>
  <si>
    <t>00001888</t>
  </si>
  <si>
    <t>108168-1</t>
  </si>
  <si>
    <t>00101967</t>
  </si>
  <si>
    <t>258/25</t>
  </si>
  <si>
    <t>BN VUL NF SEDE 14 NBR+PVC</t>
  </si>
  <si>
    <t>000011885</t>
  </si>
  <si>
    <t>110268-02</t>
  </si>
  <si>
    <t>19501</t>
  </si>
  <si>
    <t>6424/25</t>
  </si>
  <si>
    <t>BN NE SEDE 12 NBR+PVC</t>
  </si>
  <si>
    <t>000011882</t>
  </si>
  <si>
    <t>6422/25</t>
  </si>
  <si>
    <t>BN VUL NE SEDE 10 HYPALON</t>
  </si>
  <si>
    <t>110268-04</t>
  </si>
  <si>
    <t>110268-01</t>
  </si>
  <si>
    <t>13634</t>
  </si>
  <si>
    <t>6423/25</t>
  </si>
  <si>
    <t>BN VUL SEDE NE 6 POLIURETANO</t>
  </si>
  <si>
    <t>000011872</t>
  </si>
  <si>
    <t>109806-03</t>
  </si>
  <si>
    <t>068/25</t>
  </si>
  <si>
    <t>BN VUL NE SEDE 4 ELASTOHARD</t>
  </si>
  <si>
    <t>000011868</t>
  </si>
  <si>
    <t>108551-04</t>
  </si>
  <si>
    <t>255/25</t>
  </si>
  <si>
    <t>109499-10</t>
  </si>
  <si>
    <t>256/25</t>
  </si>
  <si>
    <t>BN VUL NE SDE 6" BUNA-N</t>
  </si>
  <si>
    <t>000011855</t>
  </si>
  <si>
    <t>109242-06</t>
  </si>
  <si>
    <t>11164</t>
  </si>
  <si>
    <t>6414/25</t>
  </si>
  <si>
    <t>BN VUL NE SEDE 2 ELASTOHARD</t>
  </si>
  <si>
    <t>000011865</t>
  </si>
  <si>
    <t>108168-18</t>
  </si>
  <si>
    <t>254/25</t>
  </si>
  <si>
    <t>BN VUL NE-SEDE 8 ELASTOHARD</t>
  </si>
  <si>
    <t>000011870</t>
  </si>
  <si>
    <t>109964-01</t>
  </si>
  <si>
    <t>257/25</t>
  </si>
  <si>
    <t>BN VUL NF SEDE 16 SBR</t>
  </si>
  <si>
    <t>109806-06</t>
  </si>
  <si>
    <t>04320</t>
  </si>
  <si>
    <t>6415/25</t>
  </si>
  <si>
    <t>000011860</t>
  </si>
  <si>
    <t>109933-01</t>
  </si>
  <si>
    <t>6417/25</t>
  </si>
  <si>
    <t>BN VUL NF SEDE 20 SBR</t>
  </si>
  <si>
    <t>BN VUL NF SEDE 20 EPDM T-150</t>
  </si>
  <si>
    <t>109964-03</t>
  </si>
  <si>
    <t>47276</t>
  </si>
  <si>
    <t>6418/25</t>
  </si>
  <si>
    <t>000011862</t>
  </si>
  <si>
    <t>6419/25</t>
  </si>
  <si>
    <t>BN VUL NE SEDE 10" EPDM</t>
  </si>
  <si>
    <t>108168-04</t>
  </si>
  <si>
    <t>481401</t>
  </si>
  <si>
    <t>6413/25</t>
  </si>
  <si>
    <t>481411</t>
  </si>
  <si>
    <t>6421/25</t>
  </si>
  <si>
    <t>WR3 SEDE 16" EPDM</t>
  </si>
  <si>
    <t>000011881</t>
  </si>
  <si>
    <t>109932-02</t>
  </si>
  <si>
    <t>6420/25</t>
  </si>
  <si>
    <t>109932-01</t>
  </si>
  <si>
    <t>IM0059/SE-015</t>
  </si>
  <si>
    <t>000011931</t>
  </si>
  <si>
    <t>6446/25</t>
  </si>
  <si>
    <t>BN VUL NF SEDE 16" BUNA-N</t>
  </si>
  <si>
    <t>110295-12</t>
  </si>
  <si>
    <t>11166</t>
  </si>
  <si>
    <t>6443/25</t>
  </si>
  <si>
    <t>BN NE SEDE 6 HYPALON</t>
  </si>
  <si>
    <t>000011910</t>
  </si>
  <si>
    <t>110268-09</t>
  </si>
  <si>
    <t>6436/25</t>
  </si>
  <si>
    <t>6434/25</t>
  </si>
  <si>
    <t>BN VUL NF SEDE 20 HYPALON</t>
  </si>
  <si>
    <t>110268-06</t>
  </si>
  <si>
    <t>6435/25</t>
  </si>
  <si>
    <t>110268-05</t>
  </si>
  <si>
    <t>110268-07</t>
  </si>
  <si>
    <t>BN VUL NE SEDE 12" BUNA-N</t>
  </si>
  <si>
    <t>000011911</t>
  </si>
  <si>
    <t>110295-11</t>
  </si>
  <si>
    <t>11165</t>
  </si>
  <si>
    <t>6438/25</t>
  </si>
  <si>
    <t>BN VUL NF SEDE 16 EPDM</t>
  </si>
  <si>
    <t>110295-01</t>
  </si>
  <si>
    <t>481419</t>
  </si>
  <si>
    <t>6437/25</t>
  </si>
  <si>
    <t>BN VUL NE SEDE 2"GA-1</t>
  </si>
  <si>
    <t>000011905</t>
  </si>
  <si>
    <t>109242-15</t>
  </si>
  <si>
    <t>6901</t>
  </si>
  <si>
    <t>6431/25</t>
  </si>
  <si>
    <t>BN VUL NF SEDE 20" POLIURETANO</t>
  </si>
  <si>
    <t>000011908</t>
  </si>
  <si>
    <t>109811-02</t>
  </si>
  <si>
    <t>072/2025</t>
  </si>
  <si>
    <t>BN VUL NE SEDE 10 POLIURETANO</t>
  </si>
  <si>
    <t>000011909</t>
  </si>
  <si>
    <t>073/2025</t>
  </si>
  <si>
    <t>BN VUL NF SEDE 16" POLIURETANO</t>
  </si>
  <si>
    <t>109811-01</t>
  </si>
  <si>
    <t>071/2025</t>
  </si>
  <si>
    <t>BN VUL NE SEDE 6 SILICONE</t>
  </si>
  <si>
    <t>109242-38</t>
  </si>
  <si>
    <t>9514</t>
  </si>
  <si>
    <t>6432/25</t>
  </si>
  <si>
    <t>BN VUL NE SEDE 12 SBR</t>
  </si>
  <si>
    <t>000011907</t>
  </si>
  <si>
    <t>109806-05</t>
  </si>
  <si>
    <t>04324</t>
  </si>
  <si>
    <t>6433/25</t>
  </si>
  <si>
    <t>109806-07</t>
  </si>
  <si>
    <t>BN VUL NE SEDE 12" EPDM</t>
  </si>
  <si>
    <t>22</t>
  </si>
  <si>
    <t>108168-05</t>
  </si>
  <si>
    <t>481428</t>
  </si>
  <si>
    <t>6448/25</t>
  </si>
  <si>
    <t>BN VUL NE SEDE 8 ELASTOHARD</t>
  </si>
  <si>
    <t>108168-22</t>
  </si>
  <si>
    <t>260/25</t>
  </si>
  <si>
    <t>109499-01</t>
  </si>
  <si>
    <t>6441/25</t>
  </si>
  <si>
    <t>6440/25</t>
  </si>
  <si>
    <t>CPL BRT 12" C958 150#</t>
  </si>
  <si>
    <t>000020592</t>
  </si>
  <si>
    <t>108722-01</t>
  </si>
  <si>
    <t>0076/2025</t>
  </si>
  <si>
    <t>IM0023/SE-014</t>
  </si>
  <si>
    <t>RK CPL BRT 12" C958 150#</t>
  </si>
  <si>
    <t>108722-02</t>
  </si>
  <si>
    <t>0625 AS 1 / 0640 AS 1</t>
  </si>
  <si>
    <t>RK DISCO BRT 16" 150# C958</t>
  </si>
  <si>
    <t>180722-07</t>
  </si>
  <si>
    <t>0078/2025</t>
  </si>
  <si>
    <t>RK DISCO BRT 8" 150# C958</t>
  </si>
  <si>
    <t>109170-14</t>
  </si>
  <si>
    <t>0625 AS 2 AO 4</t>
  </si>
  <si>
    <t>0647 AS 1 AO 3</t>
  </si>
  <si>
    <t>0640 AS 2 AO 5</t>
  </si>
  <si>
    <t>077/2025</t>
  </si>
  <si>
    <t>109170-13</t>
  </si>
  <si>
    <t>0640 AS 6 E 7</t>
  </si>
  <si>
    <t>RK DISCO BRT 6"150# C958</t>
  </si>
  <si>
    <t>000020621</t>
  </si>
  <si>
    <t>109170-11</t>
  </si>
  <si>
    <t>0683 AS 3 E 4</t>
  </si>
  <si>
    <t>0090/2025</t>
  </si>
  <si>
    <t>109170-12</t>
  </si>
  <si>
    <t>0683 AS 5 AO 7</t>
  </si>
  <si>
    <t>109170-10</t>
  </si>
  <si>
    <t>0694 AS 3 E 4</t>
  </si>
  <si>
    <t>109170-09</t>
  </si>
  <si>
    <t xml:space="preserve">0694 AS 5 E 6 </t>
  </si>
  <si>
    <t>109170-08</t>
  </si>
  <si>
    <t>0694 AS 7</t>
  </si>
  <si>
    <t>RK CPL BRT 6" 150# C958</t>
  </si>
  <si>
    <t>000020611</t>
  </si>
  <si>
    <t>109171-02</t>
  </si>
  <si>
    <t>0640 AS 8</t>
  </si>
  <si>
    <t>0085/2025</t>
  </si>
  <si>
    <t>109171-01</t>
  </si>
  <si>
    <t>0640 AS 9</t>
  </si>
  <si>
    <t>RK DISCO  BRT 16" 150# C958</t>
  </si>
  <si>
    <t>108722-07</t>
  </si>
  <si>
    <t>0660 AS 1 AO 5</t>
  </si>
  <si>
    <t>109043-01</t>
  </si>
  <si>
    <t>0647 AS 5</t>
  </si>
  <si>
    <t>0083/2025</t>
  </si>
  <si>
    <t>0082/2025</t>
  </si>
  <si>
    <t>0647 AS 4</t>
  </si>
  <si>
    <t>109170-16</t>
  </si>
  <si>
    <t>0668 AS 1</t>
  </si>
  <si>
    <t>0084/2025</t>
  </si>
  <si>
    <t>0668 AS 2</t>
  </si>
  <si>
    <t>109170-15</t>
  </si>
  <si>
    <t>0668 AS 3</t>
  </si>
  <si>
    <t>109170-17</t>
  </si>
  <si>
    <t>0668 AS 4 E 5</t>
  </si>
  <si>
    <t>RK CPL BRT 16" C958 150#</t>
  </si>
  <si>
    <t>108722-03</t>
  </si>
  <si>
    <t>0694 AS 1 E 2</t>
  </si>
  <si>
    <t>0087/2025</t>
  </si>
  <si>
    <t>109043-02</t>
  </si>
  <si>
    <t>0683 AS 1</t>
  </si>
  <si>
    <t>0089/2025</t>
  </si>
  <si>
    <t>109462-01</t>
  </si>
  <si>
    <t>0683 AS 2</t>
  </si>
  <si>
    <t>RK DISCO BRT 10" 150# C958</t>
  </si>
  <si>
    <t>109172-05</t>
  </si>
  <si>
    <t>0703 AS 1</t>
  </si>
  <si>
    <t>0088/2025</t>
  </si>
  <si>
    <t>109172-04</t>
  </si>
  <si>
    <t>0703 AS 2, 3 E 4</t>
  </si>
  <si>
    <t>109846-05</t>
  </si>
  <si>
    <t>0703 AS 5 E 6</t>
  </si>
  <si>
    <t>NE DISCO BRT 10" BR/AL C958</t>
  </si>
  <si>
    <t>109629-03</t>
  </si>
  <si>
    <t>0703 AS 7 AO 11</t>
  </si>
  <si>
    <t>0091/2025</t>
  </si>
  <si>
    <t>RK CPW BRT 6" 150# C958</t>
  </si>
  <si>
    <t>000020644</t>
  </si>
  <si>
    <t>109172-01</t>
  </si>
  <si>
    <t>0723 AS 1 E 2</t>
  </si>
  <si>
    <t>0101/2025</t>
  </si>
  <si>
    <t>109172-02</t>
  </si>
  <si>
    <t>0723 AS 3 E 4</t>
  </si>
  <si>
    <t>109172-03</t>
  </si>
  <si>
    <t>0723 AS 5</t>
  </si>
  <si>
    <t>RK DISCO BRT 2" 150# C958</t>
  </si>
  <si>
    <t>000020636</t>
  </si>
  <si>
    <t>109605-02</t>
  </si>
  <si>
    <t>0711 AS 4 AO 13</t>
  </si>
  <si>
    <t>0096/2025</t>
  </si>
  <si>
    <t>0722 AS 2</t>
  </si>
  <si>
    <t>0100/2025</t>
  </si>
  <si>
    <t>000020647</t>
  </si>
  <si>
    <t>0711 AS 1 E 2 / 0722 AS 1</t>
  </si>
  <si>
    <t>0102/2025</t>
  </si>
  <si>
    <t>NF DISCO BRT 14" 150PSI C958</t>
  </si>
  <si>
    <t>0711 AS 3</t>
  </si>
  <si>
    <t>0098/2025</t>
  </si>
  <si>
    <t>NE DC 8 C955 BRT</t>
  </si>
  <si>
    <t>109604-01</t>
  </si>
  <si>
    <t>109735-01</t>
  </si>
  <si>
    <t>0744 AS 1 E 2</t>
  </si>
  <si>
    <t>099/2025</t>
  </si>
  <si>
    <t>NE DISCO BRT 5" C958</t>
  </si>
  <si>
    <t>109603-01</t>
  </si>
  <si>
    <t>0723 AS 6</t>
  </si>
  <si>
    <t>0097/2025</t>
  </si>
  <si>
    <t>109603-02</t>
  </si>
  <si>
    <t>0723 AS 7 AO 11</t>
  </si>
  <si>
    <t>RK CPL BRT 8" 150# ASME150/300 C958</t>
  </si>
  <si>
    <t>000020656</t>
  </si>
  <si>
    <t>109170-04</t>
  </si>
  <si>
    <t>0730 AS 1 AO 5</t>
  </si>
  <si>
    <t>0108/2025</t>
  </si>
  <si>
    <t>109170-05</t>
  </si>
  <si>
    <t>0730 AS 6</t>
  </si>
  <si>
    <t>109170-06</t>
  </si>
  <si>
    <t>0730 AS 7</t>
  </si>
  <si>
    <t>109170-03</t>
  </si>
  <si>
    <t>0730 AS 8</t>
  </si>
  <si>
    <t>109170-07</t>
  </si>
  <si>
    <t>0730 AS 9 E 10</t>
  </si>
  <si>
    <t>RK DISCO BRT 12" 150# C958</t>
  </si>
  <si>
    <t>000020655</t>
  </si>
  <si>
    <t>109462-02</t>
  </si>
  <si>
    <t>0743 AS 1</t>
  </si>
  <si>
    <t>0107/2025</t>
  </si>
  <si>
    <t>109043-04</t>
  </si>
  <si>
    <t>0743 AS 2</t>
  </si>
  <si>
    <t>109043-03</t>
  </si>
  <si>
    <t>0743 AS 3</t>
  </si>
  <si>
    <t>RK CPL BRT 10" 150# ASME150/300 C958</t>
  </si>
  <si>
    <t>109170-01</t>
  </si>
  <si>
    <t>0739 AS 1 AO 3</t>
  </si>
  <si>
    <t>0106/2025</t>
  </si>
  <si>
    <t>109170-02</t>
  </si>
  <si>
    <t>0739 AS 4</t>
  </si>
  <si>
    <t>000020653</t>
  </si>
  <si>
    <t>0737 AS 1 E 2 / 0742 AS 1 E 2</t>
  </si>
  <si>
    <t>0105/2025</t>
  </si>
  <si>
    <t>RK DISCO BRT 20" 150# C958</t>
  </si>
  <si>
    <t>000020669</t>
  </si>
  <si>
    <t>109996-03</t>
  </si>
  <si>
    <t>0751 AS 1</t>
  </si>
  <si>
    <t>0112/2025</t>
  </si>
  <si>
    <t>IM0035/SE-014</t>
  </si>
  <si>
    <t>RK CPL BRT 20" 150# C958</t>
  </si>
  <si>
    <t>109996-02</t>
  </si>
  <si>
    <t>0768 AS 1</t>
  </si>
  <si>
    <t>0113/2025</t>
  </si>
  <si>
    <t>RK CPL BRT 2" 150# C958</t>
  </si>
  <si>
    <t>000020672</t>
  </si>
  <si>
    <t>109605-01</t>
  </si>
  <si>
    <t>0751 AS 2 AO 6 / 0760 AS 3 AO 7</t>
  </si>
  <si>
    <t>0114/2025</t>
  </si>
  <si>
    <t>RK CPL BRT 08 C958 150 SWS</t>
  </si>
  <si>
    <t>109996-01</t>
  </si>
  <si>
    <t xml:space="preserve">0760 AS 2 E 1 </t>
  </si>
  <si>
    <t>0115/2025</t>
  </si>
  <si>
    <t>RK CPW 6" 150# C958</t>
  </si>
  <si>
    <t>000020702</t>
  </si>
  <si>
    <t>109846-03</t>
  </si>
  <si>
    <t>0792 AS 1 E 2</t>
  </si>
  <si>
    <t>0134/2025</t>
  </si>
  <si>
    <t>110215-01</t>
  </si>
  <si>
    <t>0784 AS 3 E 4</t>
  </si>
  <si>
    <t>RK CPW BRT 10" 150 C958</t>
  </si>
  <si>
    <t>109846-04</t>
  </si>
  <si>
    <t>0784 AS 1 E 2</t>
  </si>
  <si>
    <t>0135/2025</t>
  </si>
  <si>
    <t>NE DISCO BRT 3" 250PSI BR/AL C958 SWS</t>
  </si>
  <si>
    <t>000020715</t>
  </si>
  <si>
    <t>109149-02</t>
  </si>
  <si>
    <t xml:space="preserve">0792 AS 3 E 4 </t>
  </si>
  <si>
    <t>0139/2025</t>
  </si>
  <si>
    <t>NE CPL BRT 20" WCB</t>
  </si>
  <si>
    <t>000023615</t>
  </si>
  <si>
    <t>110043-01</t>
  </si>
  <si>
    <t>03022501</t>
  </si>
  <si>
    <t>11434</t>
  </si>
  <si>
    <t xml:space="preserve">IM0035/SE-014 </t>
  </si>
  <si>
    <t>RK CPL BRT 18" WCB 150#</t>
  </si>
  <si>
    <t>000023641</t>
  </si>
  <si>
    <t>110428-01</t>
  </si>
  <si>
    <t>12022501</t>
  </si>
  <si>
    <t>11465</t>
  </si>
  <si>
    <t>RL2 CPW BRT 6" 150PSI CF8</t>
  </si>
  <si>
    <t>000023611</t>
  </si>
  <si>
    <t>110070-01</t>
  </si>
  <si>
    <t>06012501</t>
  </si>
  <si>
    <t>11425</t>
  </si>
  <si>
    <t>RK DISCO BRT 18" 150# CF8M</t>
  </si>
  <si>
    <t>110428-03</t>
  </si>
  <si>
    <t>11022501</t>
  </si>
  <si>
    <t>11464</t>
  </si>
  <si>
    <t>IM0035/SE-0014</t>
  </si>
  <si>
    <t>110428-02</t>
  </si>
  <si>
    <t>000023613</t>
  </si>
  <si>
    <t>109901-03</t>
  </si>
  <si>
    <t>11426</t>
  </si>
  <si>
    <t>WD DISCO 10 IN PN10</t>
  </si>
  <si>
    <t>000023612</t>
  </si>
  <si>
    <t>110180-01</t>
  </si>
  <si>
    <t>11428</t>
  </si>
  <si>
    <t>CASTING (ZUBELA)</t>
  </si>
  <si>
    <t xml:space="preserve">NE CPW 8" FN BRT </t>
  </si>
  <si>
    <t>000011610</t>
  </si>
  <si>
    <t>110352-06</t>
  </si>
  <si>
    <t>891/25</t>
  </si>
  <si>
    <t>110352-14</t>
  </si>
  <si>
    <t>NE CPW BRT 10" FN</t>
  </si>
  <si>
    <t>110352-08</t>
  </si>
  <si>
    <t>48/25</t>
  </si>
  <si>
    <t>892/25</t>
  </si>
  <si>
    <t xml:space="preserve">NE CPW BRT 12" FN </t>
  </si>
  <si>
    <t>110352-10</t>
  </si>
  <si>
    <t>48/25 - 29/25</t>
  </si>
  <si>
    <t>893/25</t>
  </si>
  <si>
    <t>893/25 - 894/25</t>
  </si>
  <si>
    <t>110352-09</t>
  </si>
  <si>
    <t>29/25</t>
  </si>
  <si>
    <t xml:space="preserve">NE CPW 5" FN BRT </t>
  </si>
  <si>
    <t>1056</t>
  </si>
  <si>
    <t>110352-03</t>
  </si>
  <si>
    <t>890/25</t>
  </si>
  <si>
    <t>44/25</t>
  </si>
  <si>
    <t xml:space="preserve">NE CPW 2" FN BRT </t>
  </si>
  <si>
    <t>000011597</t>
  </si>
  <si>
    <t>110352-13</t>
  </si>
  <si>
    <t>43/25</t>
  </si>
  <si>
    <t>786/25</t>
  </si>
  <si>
    <t>110352-01</t>
  </si>
  <si>
    <t>NE CPW BRT 4" FN</t>
  </si>
  <si>
    <t>110352-12</t>
  </si>
  <si>
    <t>783/25</t>
  </si>
  <si>
    <t>330</t>
  </si>
  <si>
    <t>110352-02</t>
  </si>
  <si>
    <t>478</t>
  </si>
  <si>
    <t>785/25</t>
  </si>
  <si>
    <t>000011598</t>
  </si>
  <si>
    <t>109598-07</t>
  </si>
  <si>
    <t>777/25</t>
  </si>
  <si>
    <t>NF  CPW BRT 16" FN</t>
  </si>
  <si>
    <t>110221-01</t>
  </si>
  <si>
    <t>41/25</t>
  </si>
  <si>
    <t>781/25</t>
  </si>
  <si>
    <t>NE DISCO BRT 4" FN</t>
  </si>
  <si>
    <t>110361-04</t>
  </si>
  <si>
    <t>780/25</t>
  </si>
  <si>
    <t>110361-03</t>
  </si>
  <si>
    <t>110361-02</t>
  </si>
  <si>
    <t>110361-01</t>
  </si>
  <si>
    <t xml:space="preserve">NE CPL BRT 5" FN </t>
  </si>
  <si>
    <t>110277-02</t>
  </si>
  <si>
    <t>779/25</t>
  </si>
  <si>
    <t>110277-01</t>
  </si>
  <si>
    <t>42/25</t>
  </si>
  <si>
    <t>778/25</t>
  </si>
  <si>
    <t>110358-01</t>
  </si>
  <si>
    <t>NE CPL BRT 12" FN</t>
  </si>
  <si>
    <t>109845-01</t>
  </si>
  <si>
    <t>784/25</t>
  </si>
  <si>
    <t>NF CPW BRT 20" FN</t>
  </si>
  <si>
    <t>109601-02</t>
  </si>
  <si>
    <t>22/25</t>
  </si>
  <si>
    <t>782/25</t>
  </si>
  <si>
    <t xml:space="preserve">NE CPL BRT 4" FN </t>
  </si>
  <si>
    <t>109995-02</t>
  </si>
  <si>
    <t>31/25</t>
  </si>
  <si>
    <t>419/25</t>
  </si>
  <si>
    <t>109995-01</t>
  </si>
  <si>
    <t xml:space="preserve">NF CPW 14 FN BRT </t>
  </si>
  <si>
    <t>000011537</t>
  </si>
  <si>
    <t>109601-01</t>
  </si>
  <si>
    <t>423/25</t>
  </si>
  <si>
    <t>422/25</t>
  </si>
  <si>
    <t xml:space="preserve">NF CPW 24 FN BRT </t>
  </si>
  <si>
    <t>109601-03</t>
  </si>
  <si>
    <t>421/25</t>
  </si>
  <si>
    <t>NF CPL BRT 14" DINPN10 FN</t>
  </si>
  <si>
    <t>109600-01</t>
  </si>
  <si>
    <t>16/25</t>
  </si>
  <si>
    <t>420/25</t>
  </si>
  <si>
    <t>109598-06</t>
  </si>
  <si>
    <t>418/25</t>
  </si>
  <si>
    <t xml:space="preserve">NE CPL BRT 12" FN </t>
  </si>
  <si>
    <t>109599-01</t>
  </si>
  <si>
    <t>17/25</t>
  </si>
  <si>
    <t>416/25</t>
  </si>
  <si>
    <t xml:space="preserve">NE CPW BRT 10" FN </t>
  </si>
  <si>
    <t>109598-05</t>
  </si>
  <si>
    <t>28/25</t>
  </si>
  <si>
    <t>417/25</t>
  </si>
  <si>
    <t>109598-11</t>
  </si>
  <si>
    <t>WD CPW BRT 6" PN10</t>
  </si>
  <si>
    <t>000014129</t>
  </si>
  <si>
    <t>109998-02</t>
  </si>
  <si>
    <t>FVP 74/25</t>
  </si>
  <si>
    <t>139/25</t>
  </si>
  <si>
    <t>109998-01</t>
  </si>
  <si>
    <t>WD CPF BRT 10" PN10</t>
  </si>
  <si>
    <t>109853-11</t>
  </si>
  <si>
    <t xml:space="preserve">WD CPF BRT 8" PN10/16 FN </t>
  </si>
  <si>
    <t>109853-06</t>
  </si>
  <si>
    <t>138/25</t>
  </si>
  <si>
    <t>109853-05</t>
  </si>
  <si>
    <t>109853-04</t>
  </si>
  <si>
    <t>WR3 DC BRT 8 FN PN10/16</t>
  </si>
  <si>
    <t>109853-12</t>
  </si>
  <si>
    <t>109853-07</t>
  </si>
  <si>
    <t xml:space="preserve">NF DC 14 IN BRT </t>
  </si>
  <si>
    <t>109071-01</t>
  </si>
  <si>
    <t>133/25</t>
  </si>
  <si>
    <t>RL DISCO BRT 14" PN10 CF8M</t>
  </si>
  <si>
    <t>110512/01</t>
  </si>
  <si>
    <t>RK CPW BRT 8" 150# ASME150/300 CF8M</t>
  </si>
  <si>
    <t>108747-01</t>
  </si>
  <si>
    <t>FVP 24/24</t>
  </si>
  <si>
    <t>RL2 DISCO BRT 16" 150PSI CF8M</t>
  </si>
  <si>
    <t>109597-01</t>
  </si>
  <si>
    <t>135/25</t>
  </si>
  <si>
    <t>108106-05</t>
  </si>
  <si>
    <t>136/25</t>
  </si>
  <si>
    <t>109725-03</t>
  </si>
  <si>
    <t>RL2 DISCO BRT 24 CF8</t>
  </si>
  <si>
    <t>110449-02</t>
  </si>
  <si>
    <t>134/25</t>
  </si>
  <si>
    <t>RL2 CPW BRT 24" 150PSI WCB</t>
  </si>
  <si>
    <t>110449-01</t>
  </si>
  <si>
    <t>137/25</t>
  </si>
  <si>
    <t>FULTEC</t>
  </si>
  <si>
    <t>RK CPF BRT 6" 150 5752-13 A995-6A</t>
  </si>
  <si>
    <t>000039497</t>
  </si>
  <si>
    <t>107569-05</t>
  </si>
  <si>
    <t>100936-02 / 250119-24</t>
  </si>
  <si>
    <t>039497</t>
  </si>
  <si>
    <t>MANUEL GOMES</t>
  </si>
  <si>
    <t>WR3 DISCO BRT 48" PN10 FN</t>
  </si>
  <si>
    <t>000017785</t>
  </si>
  <si>
    <t>110076-01</t>
  </si>
  <si>
    <t>5438/1</t>
  </si>
  <si>
    <t>170/25</t>
  </si>
  <si>
    <t>PD006/SE-014</t>
  </si>
  <si>
    <t>000030242</t>
  </si>
  <si>
    <t>109608-01</t>
  </si>
  <si>
    <t>18612/1 - 18612/2</t>
  </si>
  <si>
    <t xml:space="preserve">DS CPW 30 FN BRT </t>
  </si>
  <si>
    <t>109844-01</t>
  </si>
  <si>
    <t>325N001</t>
  </si>
  <si>
    <t>18612/1</t>
  </si>
  <si>
    <t>109721-05</t>
  </si>
  <si>
    <t>034 AR2</t>
  </si>
  <si>
    <t>BN USI NE DISCO 2.1/2 150PSI C958</t>
  </si>
  <si>
    <t>BN USI NE DISCO 12" 150PSI CF8M</t>
  </si>
  <si>
    <t>109673-01</t>
  </si>
  <si>
    <t>BN USI RK HASTE SUP 16" 150# 17-4PH</t>
  </si>
  <si>
    <t>109002-11</t>
  </si>
  <si>
    <t>CP211</t>
  </si>
  <si>
    <t>BN USI RK HASTE SUP 10" 150# 17-4PH</t>
  </si>
  <si>
    <t>109002-08</t>
  </si>
  <si>
    <t>CP210</t>
  </si>
  <si>
    <t>BN USI RK KIT HASTE INF 10" 150/300# 17-4PH</t>
  </si>
  <si>
    <t>109002-20</t>
  </si>
  <si>
    <t>109002-21</t>
  </si>
  <si>
    <t>109002-22</t>
  </si>
  <si>
    <t>109002-09</t>
  </si>
  <si>
    <t>109002-07</t>
  </si>
  <si>
    <t>106606-23</t>
  </si>
  <si>
    <t>12112401 - 4818/1</t>
  </si>
  <si>
    <t>BN USI RK HASTE SUP 14" 150# 17-4PH</t>
  </si>
  <si>
    <t>109166-09</t>
  </si>
  <si>
    <t>BN USI RK HASTE INF 16-18" 150# ESP 17-4PH</t>
  </si>
  <si>
    <t>109002-13</t>
  </si>
  <si>
    <t>BN USI KIT HASTE INF 16-18" 17-4PH</t>
  </si>
  <si>
    <t>109002-23</t>
  </si>
  <si>
    <t>109002-10</t>
  </si>
  <si>
    <t>109137-03</t>
  </si>
  <si>
    <t>340/24 - 297/24</t>
  </si>
  <si>
    <t>BN USI NE HASTE SUP 10" 410</t>
  </si>
  <si>
    <t>000005717</t>
  </si>
  <si>
    <t>109781-03</t>
  </si>
  <si>
    <t>CA534</t>
  </si>
  <si>
    <t>105122-04</t>
  </si>
  <si>
    <t>121124A2</t>
  </si>
  <si>
    <t>340/24 - 15/25 - 65/24</t>
  </si>
  <si>
    <t>BN USI RK H.S. 16" MONEL</t>
  </si>
  <si>
    <t>000005720</t>
  </si>
  <si>
    <t>BE155</t>
  </si>
  <si>
    <t>BN USI NF HASTE SUP 24 IN 410</t>
  </si>
  <si>
    <t>107648-18</t>
  </si>
  <si>
    <t>129/24 - 166/24 - 15/25</t>
  </si>
  <si>
    <t>BN USI NE CPW 3 CF8M</t>
  </si>
  <si>
    <t>109821-01</t>
  </si>
  <si>
    <t>C145</t>
  </si>
  <si>
    <t>BN USI RK HASTE SUP 6" 150# K500</t>
  </si>
  <si>
    <t>109166-20</t>
  </si>
  <si>
    <t>BE158</t>
  </si>
  <si>
    <t>109166-17</t>
  </si>
  <si>
    <t>109166-18</t>
  </si>
  <si>
    <t>109166-19</t>
  </si>
  <si>
    <t>BC USI RL2 HASTE 3" 150PSI 410</t>
  </si>
  <si>
    <t>109787-01</t>
  </si>
  <si>
    <t>CA449</t>
  </si>
  <si>
    <t>BN USI RK HASTE INF 6" 150# K500 ESP</t>
  </si>
  <si>
    <t>109002-12</t>
  </si>
  <si>
    <t>CP201</t>
  </si>
  <si>
    <t>BN USI RK KIT HI 5</t>
  </si>
  <si>
    <t>109721-16</t>
  </si>
  <si>
    <t>BN USI RK INF 6" 150# K500 ESP</t>
  </si>
  <si>
    <t>109166-21</t>
  </si>
  <si>
    <t>109166-24</t>
  </si>
  <si>
    <t>109166-22</t>
  </si>
  <si>
    <t>109166-23</t>
  </si>
  <si>
    <t>BN USI NE CPW 6" CF8M</t>
  </si>
  <si>
    <t>110022-01</t>
  </si>
  <si>
    <t>C587 - C548</t>
  </si>
  <si>
    <t>BN USI RK KIT HASTE INF 14" 150/300# 17-4PH</t>
  </si>
  <si>
    <t>109166-11</t>
  </si>
  <si>
    <t>109236-13</t>
  </si>
  <si>
    <t>CP250</t>
  </si>
  <si>
    <t>109236-11</t>
  </si>
  <si>
    <t>BE131</t>
  </si>
  <si>
    <t>BN USI RK KIT H.I 16-18 MONEL</t>
  </si>
  <si>
    <t>108908-27</t>
  </si>
  <si>
    <t>BN USI NE DISCO 3" 250PSI C958</t>
  </si>
  <si>
    <t>109166-16</t>
  </si>
  <si>
    <t>0517AS2</t>
  </si>
  <si>
    <t xml:space="preserve">BN USI CPW 4" FN </t>
  </si>
  <si>
    <t>BN USI NE CPW 6" FN DIN PN10</t>
  </si>
  <si>
    <t>000005732</t>
  </si>
  <si>
    <t>110263-04</t>
  </si>
  <si>
    <t>110263-02</t>
  </si>
  <si>
    <t>110263-01</t>
  </si>
  <si>
    <t>166/24 - 15/24 - 129/24</t>
  </si>
  <si>
    <t>BN USI NE HASTE SUP 8 316-S</t>
  </si>
  <si>
    <t>000005742</t>
  </si>
  <si>
    <t>110224-01</t>
  </si>
  <si>
    <t>BS028</t>
  </si>
  <si>
    <t>BN USI NE INF 8 316-S</t>
  </si>
  <si>
    <t>110224-02</t>
  </si>
  <si>
    <t>BN USI RK H.S 6 300# 17-4PH</t>
  </si>
  <si>
    <t>109721-15</t>
  </si>
  <si>
    <t>CP207</t>
  </si>
  <si>
    <t>BN USI NE DISCO 8" 250PSI C958</t>
  </si>
  <si>
    <t>109236-15</t>
  </si>
  <si>
    <t>0525AS3 - 0525AS2</t>
  </si>
  <si>
    <t>109137-04</t>
  </si>
  <si>
    <t>15/25 - 340/24 - 180/24 - 166/24 - 192/24 - 129/24</t>
  </si>
  <si>
    <t>15/25 - 65/24 - 180/24</t>
  </si>
  <si>
    <t>BN USI NF DISCO 16 CF8M 250PSI</t>
  </si>
  <si>
    <t>109721-08</t>
  </si>
  <si>
    <t>0712501</t>
  </si>
  <si>
    <t>110263-05</t>
  </si>
  <si>
    <t>BN USI NE CPW 12" WCB</t>
  </si>
  <si>
    <t>110066-04</t>
  </si>
  <si>
    <t>504/24</t>
  </si>
  <si>
    <t>110066-05</t>
  </si>
  <si>
    <t>BN USI NE CPW 8" DIN1092 PN10/NBR7675 PN10 FN</t>
  </si>
  <si>
    <t>110349-05</t>
  </si>
  <si>
    <t>250/24</t>
  </si>
  <si>
    <t>110349-04</t>
  </si>
  <si>
    <t>289/24</t>
  </si>
  <si>
    <t>BN USI NE CPL 6" JIS 5K FN</t>
  </si>
  <si>
    <t>110066-03</t>
  </si>
  <si>
    <t>BN USI NE DISCO 8"150PSI CF8M</t>
  </si>
  <si>
    <t>131124A2 - 12112401</t>
  </si>
  <si>
    <t>BN USI NE HASTE SUP 10" 316-S</t>
  </si>
  <si>
    <t>1</t>
  </si>
  <si>
    <t>110349-09</t>
  </si>
  <si>
    <t>BS022</t>
  </si>
  <si>
    <t>109166-10</t>
  </si>
  <si>
    <t>BE159</t>
  </si>
  <si>
    <t xml:space="preserve">BN USI  NE CPW 6" FN </t>
  </si>
  <si>
    <t>109137</t>
  </si>
  <si>
    <t>15/25</t>
  </si>
  <si>
    <t>BN USI NE CPL 4" JIS5K FN</t>
  </si>
  <si>
    <t>110066-02</t>
  </si>
  <si>
    <t>110066-01</t>
  </si>
  <si>
    <t>BN USI NE CPL 3 WCB DIN PN10</t>
  </si>
  <si>
    <t>109731-02</t>
  </si>
  <si>
    <t>14012501</t>
  </si>
  <si>
    <t>BN USI NE CPL 6 WCB DIN PN10</t>
  </si>
  <si>
    <t>109731-04</t>
  </si>
  <si>
    <t>BN USI NE CPL 2.5 WCB DIN PN10</t>
  </si>
  <si>
    <t>109731-01</t>
  </si>
  <si>
    <t>108143-20</t>
  </si>
  <si>
    <t>108908-36</t>
  </si>
  <si>
    <t>109787-05</t>
  </si>
  <si>
    <t>NE DISCO BRT 10" CF8M</t>
  </si>
  <si>
    <t>000005452</t>
  </si>
  <si>
    <t>109650-02</t>
  </si>
  <si>
    <t>6179/25</t>
  </si>
  <si>
    <t>000008452</t>
  </si>
  <si>
    <t>6123/25</t>
  </si>
  <si>
    <t>PC-NE-000</t>
  </si>
  <si>
    <t>47</t>
  </si>
  <si>
    <t>259/25</t>
  </si>
  <si>
    <t>6429/25</t>
  </si>
  <si>
    <t>BC USI RLS HASTE 4" 150PSI 410</t>
  </si>
  <si>
    <t>000000602</t>
  </si>
  <si>
    <t>109783-01</t>
  </si>
  <si>
    <t>CA 517</t>
  </si>
  <si>
    <t>602</t>
  </si>
  <si>
    <t>BC USI RL2 HASTE 6" 150 PSI 410</t>
  </si>
  <si>
    <t>109783-02</t>
  </si>
  <si>
    <t>CA 543</t>
  </si>
  <si>
    <t>BR USI WR3W ANEL RET SEDE 8" PN10 304</t>
  </si>
  <si>
    <t>000004035</t>
  </si>
  <si>
    <t>108159-02</t>
  </si>
  <si>
    <t>BR UDI WR3 ANEL RET SEDE 4" PN10 304</t>
  </si>
  <si>
    <t>108159-07</t>
  </si>
  <si>
    <t>CBL 026</t>
  </si>
  <si>
    <t>CBL O22</t>
  </si>
  <si>
    <t>BN USI RK TAMPA INF 4" 150 SWS M FSDS 316</t>
  </si>
  <si>
    <t>109435-20</t>
  </si>
  <si>
    <t>BN USI RK TAMPAINF 16" 150 FS 316</t>
  </si>
  <si>
    <t>109435-21</t>
  </si>
  <si>
    <t>000005123</t>
  </si>
  <si>
    <t>310/24 - 08/25 - 326/24</t>
  </si>
  <si>
    <t>070204</t>
  </si>
  <si>
    <t>107630-01</t>
  </si>
  <si>
    <t>108895-36</t>
  </si>
  <si>
    <t>BC USI RL2 DISCO 12" 150PSI CF8</t>
  </si>
  <si>
    <t>000005124</t>
  </si>
  <si>
    <t>108064-31</t>
  </si>
  <si>
    <t>FVP 954</t>
  </si>
  <si>
    <t>070203</t>
  </si>
  <si>
    <t>108895-06</t>
  </si>
  <si>
    <t>108064-32</t>
  </si>
  <si>
    <t>BN USI RT  DC 36 CF8</t>
  </si>
  <si>
    <t>000005152</t>
  </si>
  <si>
    <t>109482-05</t>
  </si>
  <si>
    <t>4699/5 - 4699/3</t>
  </si>
  <si>
    <t>270202</t>
  </si>
  <si>
    <t>SE-014/PD006</t>
  </si>
  <si>
    <t>BN USI TR DISCO 34" CF8M</t>
  </si>
  <si>
    <t>000005151</t>
  </si>
  <si>
    <t>109412-02</t>
  </si>
  <si>
    <t>C185</t>
  </si>
  <si>
    <t>270201</t>
  </si>
  <si>
    <t>BN USI TRT CPW 34" FN</t>
  </si>
  <si>
    <t>109412-01</t>
  </si>
  <si>
    <t>C184</t>
  </si>
  <si>
    <t>270204</t>
  </si>
  <si>
    <t>BN USI RK ARS 12" 150 316</t>
  </si>
  <si>
    <t>000000595</t>
  </si>
  <si>
    <t>109351-03</t>
  </si>
  <si>
    <t>CBY015</t>
  </si>
  <si>
    <t>595</t>
  </si>
  <si>
    <t>BN UI RK ARS 12" 150 316</t>
  </si>
  <si>
    <t>109093-08</t>
  </si>
  <si>
    <t>CBY012</t>
  </si>
  <si>
    <t>BN USI NE HASTE SUP 2.5-3 K500</t>
  </si>
  <si>
    <t>109163-16</t>
  </si>
  <si>
    <t>BE145</t>
  </si>
  <si>
    <t>496/25</t>
  </si>
  <si>
    <t>BR USI WR3 ANEL RET SD 28 AC</t>
  </si>
  <si>
    <t>107385-04</t>
  </si>
  <si>
    <t>CFA020</t>
  </si>
  <si>
    <t>495/25</t>
  </si>
  <si>
    <t>BR USI WR3 ANEL RET SD 10 AC</t>
  </si>
  <si>
    <t>108886-24</t>
  </si>
  <si>
    <t>CFA042</t>
  </si>
  <si>
    <t>501/25</t>
  </si>
  <si>
    <t>108886-23</t>
  </si>
  <si>
    <t>BC USI RL2 ANEL RET SEDE 12" 150PSI MXM 316</t>
  </si>
  <si>
    <t>109352-03</t>
  </si>
  <si>
    <t>CBW021</t>
  </si>
  <si>
    <t>494/25</t>
  </si>
  <si>
    <t>BN USI H.S. 3" 17-4PH</t>
  </si>
  <si>
    <t>109163-03</t>
  </si>
  <si>
    <t>CP186</t>
  </si>
  <si>
    <t>497/25</t>
  </si>
  <si>
    <t>BN USI RK H.I. 3" 150 17-4PH</t>
  </si>
  <si>
    <t>109163-02</t>
  </si>
  <si>
    <t>CP198</t>
  </si>
  <si>
    <t>BN USI RK HASTE SUP 12" 150# 17-4PH (H1150)</t>
  </si>
  <si>
    <t>109281-13</t>
  </si>
  <si>
    <t>499/25</t>
  </si>
  <si>
    <t>BN USI HASTE SUP 10 410</t>
  </si>
  <si>
    <t>000000593</t>
  </si>
  <si>
    <t>108153-08</t>
  </si>
  <si>
    <t>CA453</t>
  </si>
  <si>
    <t>593</t>
  </si>
  <si>
    <t>SE-015</t>
  </si>
  <si>
    <t>KELSON</t>
  </si>
  <si>
    <t>BR USI WR3 HASTE PASS 16" 410 Q36</t>
  </si>
  <si>
    <t>BC USI RL2 HASTE INF 20" 150PSI 410</t>
  </si>
  <si>
    <t>109435-05</t>
  </si>
  <si>
    <t>CA516</t>
  </si>
  <si>
    <t>BC USI RL2 HASTE INF 10-12 F55</t>
  </si>
  <si>
    <t>000000597</t>
  </si>
  <si>
    <t>109435-04</t>
  </si>
  <si>
    <t>BX018</t>
  </si>
  <si>
    <t>BN USI RK HASTE SUP 12" 150 17 - 4PH</t>
  </si>
  <si>
    <t>109351-01</t>
  </si>
  <si>
    <t>597</t>
  </si>
  <si>
    <t>BN USI RK HASTE SUP 16" 150 17PH</t>
  </si>
  <si>
    <t>BC USI RL2 HASTE SUP 20" 150PSI 410</t>
  </si>
  <si>
    <t xml:space="preserve">04 </t>
  </si>
  <si>
    <t>109425-03</t>
  </si>
  <si>
    <t>109435-17</t>
  </si>
  <si>
    <t>CA 516</t>
  </si>
  <si>
    <t>BR USI WR3 HASTE PASS 12" 410</t>
  </si>
  <si>
    <t>109687-03</t>
  </si>
  <si>
    <t>CA 545</t>
  </si>
  <si>
    <t>109687-02</t>
  </si>
  <si>
    <t>BC USI RL2 HASTE SUP 10-12 F55</t>
  </si>
  <si>
    <t>109435-02</t>
  </si>
  <si>
    <t>BC USI RL2 HASTE SUP 14" 410</t>
  </si>
  <si>
    <t>109783-04</t>
  </si>
  <si>
    <t>CA545</t>
  </si>
  <si>
    <t>SE-016</t>
  </si>
  <si>
    <t>BN USI HASTE SUP 18"- 20" 410</t>
  </si>
  <si>
    <t>108153-11</t>
  </si>
  <si>
    <t>000000586</t>
  </si>
  <si>
    <t>108684-23</t>
  </si>
  <si>
    <t>586</t>
  </si>
  <si>
    <t>108684-22</t>
  </si>
  <si>
    <t>108684-20</t>
  </si>
  <si>
    <t>108684-19</t>
  </si>
  <si>
    <t>BN USI NF HASTE SU 14-16" 410</t>
  </si>
  <si>
    <t>108153-12</t>
  </si>
  <si>
    <t>CA511</t>
  </si>
  <si>
    <t>BR USI WR3 HASTE PASS 8" 410</t>
  </si>
  <si>
    <t>108684-10</t>
  </si>
  <si>
    <t>CA514</t>
  </si>
  <si>
    <t>BC USI RL2 ANEL RET SEDE 10" 150PSI 304</t>
  </si>
  <si>
    <t>109435-11</t>
  </si>
  <si>
    <t>CBL018</t>
  </si>
  <si>
    <t>598</t>
  </si>
  <si>
    <t xml:space="preserve">BC USI RL2 HASTE 8" 150PSI 410 </t>
  </si>
  <si>
    <t>109783-03</t>
  </si>
  <si>
    <t>CA543</t>
  </si>
  <si>
    <t>BN USI RK HASTE INF 16 - 18" 150 ESP 17 - 4PH</t>
  </si>
  <si>
    <t>109435-19</t>
  </si>
  <si>
    <t>CP216</t>
  </si>
  <si>
    <t xml:space="preserve">BN USI RK HS 150 ESP MONEL </t>
  </si>
  <si>
    <t>109658-03</t>
  </si>
  <si>
    <t>BE010</t>
  </si>
  <si>
    <t>BC USI ANEL RET SEDE 10" 150PSI 304</t>
  </si>
  <si>
    <t>000004043</t>
  </si>
  <si>
    <t>109281-15</t>
  </si>
  <si>
    <t>CBL034</t>
  </si>
  <si>
    <t>516/25</t>
  </si>
  <si>
    <t xml:space="preserve">BN USI RK HS 8" MONEL </t>
  </si>
  <si>
    <t>109914-01</t>
  </si>
  <si>
    <t>BE116</t>
  </si>
  <si>
    <t>514/25</t>
  </si>
  <si>
    <t>BR USI WR3W HASTE PASS 16" 410 Q36</t>
  </si>
  <si>
    <t>109148-08</t>
  </si>
  <si>
    <t>CA529</t>
  </si>
  <si>
    <t>515/25</t>
  </si>
  <si>
    <t>108886-75</t>
  </si>
  <si>
    <t>CFA039</t>
  </si>
  <si>
    <t>505/25</t>
  </si>
  <si>
    <t>108886-64</t>
  </si>
  <si>
    <t>504/25</t>
  </si>
  <si>
    <t>BN USI RK HATE SUP 8" 150 K500</t>
  </si>
  <si>
    <t>109163-22</t>
  </si>
  <si>
    <t>BE192</t>
  </si>
  <si>
    <t>506/25</t>
  </si>
  <si>
    <t>109163-23</t>
  </si>
  <si>
    <t>109163-24</t>
  </si>
  <si>
    <t>109163-25</t>
  </si>
  <si>
    <t>BC USI RL2 ANEL RET SEDE 20" 150PSI 304/CF8</t>
  </si>
  <si>
    <t>109136-01</t>
  </si>
  <si>
    <t>CBL035</t>
  </si>
  <si>
    <t>511/25</t>
  </si>
  <si>
    <t>110243-01</t>
  </si>
  <si>
    <t>BX025</t>
  </si>
  <si>
    <t>513/25</t>
  </si>
  <si>
    <t>BN USI RK ARS 14" 150PSI 316</t>
  </si>
  <si>
    <t>109281-01</t>
  </si>
  <si>
    <t>CBY017</t>
  </si>
  <si>
    <t>517/25</t>
  </si>
  <si>
    <t>109718-01</t>
  </si>
  <si>
    <t>519/25</t>
  </si>
  <si>
    <t>BN USI NE HASTE INF 10" 316-S</t>
  </si>
  <si>
    <t>109718-02</t>
  </si>
  <si>
    <t>524/25</t>
  </si>
  <si>
    <t>BR USI WR3 ANEL RET SEDE 6" PN10 316</t>
  </si>
  <si>
    <t>108886-03</t>
  </si>
  <si>
    <t>CBY018</t>
  </si>
  <si>
    <t>522/25</t>
  </si>
  <si>
    <t>BR USI WR3 HASTE SUP 14" 410</t>
  </si>
  <si>
    <t>108886-47</t>
  </si>
  <si>
    <t>CA491</t>
  </si>
  <si>
    <t>523/25</t>
  </si>
  <si>
    <t>BR USI WR3 ANEL RET SEDE 24" PN10 SAE1020</t>
  </si>
  <si>
    <t>107385-05</t>
  </si>
  <si>
    <t>CFA019</t>
  </si>
  <si>
    <t>531/25</t>
  </si>
  <si>
    <t xml:space="preserve">BN USI RK ARS 8" 150 AC </t>
  </si>
  <si>
    <t>109281-12</t>
  </si>
  <si>
    <t>CFA064</t>
  </si>
  <si>
    <t>530/25</t>
  </si>
  <si>
    <t xml:space="preserve">BR USI WR3 ANEL RET SD 28" AC </t>
  </si>
  <si>
    <t>000004102</t>
  </si>
  <si>
    <t>533/25</t>
  </si>
  <si>
    <t>BR USI WR3 HASTE SUP 24" 410</t>
  </si>
  <si>
    <t>000004110</t>
  </si>
  <si>
    <t>CA550</t>
  </si>
  <si>
    <t>535/25</t>
  </si>
  <si>
    <t>110840-05</t>
  </si>
  <si>
    <t>110840-06</t>
  </si>
  <si>
    <t>110840-03</t>
  </si>
  <si>
    <t>110840-04</t>
  </si>
  <si>
    <t>BN USI RK ANEL RET SEDE 16" 150 FSDS A 36</t>
  </si>
  <si>
    <t>000000599</t>
  </si>
  <si>
    <t>109435-22</t>
  </si>
  <si>
    <t>599</t>
  </si>
  <si>
    <t>BN USI RK KIT HI 150/300 17</t>
  </si>
  <si>
    <t>000000594</t>
  </si>
  <si>
    <t>109093-14</t>
  </si>
  <si>
    <t>CP194</t>
  </si>
  <si>
    <t>594</t>
  </si>
  <si>
    <t>109351-05</t>
  </si>
  <si>
    <t>PC-RK-002</t>
  </si>
  <si>
    <t>BN USI RK KIT HASTE INF 8" 150 17 4PH</t>
  </si>
  <si>
    <t>109658-04</t>
  </si>
  <si>
    <t>BC USI RL2 ANEL RET SEDE 14" 150PSI 304</t>
  </si>
  <si>
    <t>109435-14</t>
  </si>
  <si>
    <t>CBL037</t>
  </si>
  <si>
    <t>BN USI RK HASTE SUP 12" 150 17-4PH</t>
  </si>
  <si>
    <t>109093-03</t>
  </si>
  <si>
    <t>BN USI RK HASTE INF 4" 150 ESP 17-4PH</t>
  </si>
  <si>
    <t>109435-18</t>
  </si>
  <si>
    <t>108684-11</t>
  </si>
  <si>
    <t xml:space="preserve">BN USI RK 4" 17-4PH ANTI - ESP </t>
  </si>
  <si>
    <t>109435-16</t>
  </si>
  <si>
    <t>BN USI HASTE INF 24" 410</t>
  </si>
  <si>
    <t>109783-05</t>
  </si>
  <si>
    <t>BC USI RL2 ANEL RET SEDE 20" 150PSI 304 CF8</t>
  </si>
  <si>
    <t>109435-15</t>
  </si>
  <si>
    <t>BN USI RK HASTE INF 4"UNS32760</t>
  </si>
  <si>
    <t>109093-04</t>
  </si>
  <si>
    <t>BX013</t>
  </si>
  <si>
    <t xml:space="preserve">BR USI WR3 ANEL RET SD 14 AC </t>
  </si>
  <si>
    <t>108886-42</t>
  </si>
  <si>
    <t>503/25</t>
  </si>
  <si>
    <t>BN  USI RK H.I 10" ESP MONEL</t>
  </si>
  <si>
    <t>502-25</t>
  </si>
  <si>
    <t>109163-30</t>
  </si>
  <si>
    <t xml:space="preserve">BN VUL NE SEDE 8" SBR </t>
  </si>
  <si>
    <t>109182-01</t>
  </si>
  <si>
    <t>9212</t>
  </si>
  <si>
    <t>1896/25</t>
  </si>
  <si>
    <t>108546-05</t>
  </si>
  <si>
    <t>BN VUL NE SEDE 6" SILICONE</t>
  </si>
  <si>
    <t>110700-01</t>
  </si>
  <si>
    <t>9434</t>
  </si>
  <si>
    <t>1897/25</t>
  </si>
  <si>
    <t xml:space="preserve">PLASTIVEDA </t>
  </si>
  <si>
    <t xml:space="preserve">RK SEDE 10" 150 ATEAM FSDS </t>
  </si>
  <si>
    <t>000040116</t>
  </si>
  <si>
    <t>109857-02</t>
  </si>
  <si>
    <t>216495-02</t>
  </si>
  <si>
    <t>40116</t>
  </si>
  <si>
    <t>PRONFINOX</t>
  </si>
  <si>
    <t>109356-01</t>
  </si>
  <si>
    <t>109356-02</t>
  </si>
  <si>
    <t>RK PREME (PONTE) BRT 16"</t>
  </si>
  <si>
    <t>000011566</t>
  </si>
  <si>
    <t>108667-03</t>
  </si>
  <si>
    <t>108667-04</t>
  </si>
  <si>
    <t>M019/25</t>
  </si>
  <si>
    <t>0220/25</t>
  </si>
  <si>
    <t>RK PREME (PONTE) BRT 12"</t>
  </si>
  <si>
    <t>0411/25</t>
  </si>
  <si>
    <t>109611-10</t>
  </si>
  <si>
    <t>BR USI WR3 ANEL SEDE CORPO 6" CF8</t>
  </si>
  <si>
    <t>000002032</t>
  </si>
  <si>
    <t>108541-03</t>
  </si>
  <si>
    <t>0204/2025</t>
  </si>
  <si>
    <t>108541-02</t>
  </si>
  <si>
    <t>000002033</t>
  </si>
  <si>
    <t>108682-01</t>
  </si>
  <si>
    <t>BR USI WR3 ANEL SEDE CORPO 6" CF9</t>
  </si>
  <si>
    <t>108682-02</t>
  </si>
  <si>
    <t>BR USI WR3 ANEL SEDE CORPO 6" CF10</t>
  </si>
  <si>
    <t>108682-03</t>
  </si>
  <si>
    <t>0203/2025</t>
  </si>
  <si>
    <t>PC-WR-002</t>
  </si>
  <si>
    <t>BR USI WR3 ANEL SEDE CORPO 16" CF8</t>
  </si>
  <si>
    <t>000002021</t>
  </si>
  <si>
    <t>109494-15</t>
  </si>
  <si>
    <t>0197/2024</t>
  </si>
  <si>
    <t>000002034</t>
  </si>
  <si>
    <t>109688-01</t>
  </si>
  <si>
    <t>109688-02</t>
  </si>
  <si>
    <t>000002031</t>
  </si>
  <si>
    <t>108884-21</t>
  </si>
  <si>
    <t>0206/2025</t>
  </si>
  <si>
    <t>0205/2025</t>
  </si>
  <si>
    <t>000002022</t>
  </si>
  <si>
    <t>109688-05</t>
  </si>
  <si>
    <t>0198/2025</t>
  </si>
  <si>
    <t xml:space="preserve">LFBC </t>
  </si>
  <si>
    <t>BN USI RK ANEL RET SEDE 8" 150 316</t>
  </si>
  <si>
    <t>000002043</t>
  </si>
  <si>
    <t>109354-01</t>
  </si>
  <si>
    <t>CBY023</t>
  </si>
  <si>
    <t>BN USI RT HASTE SUP 34" 410</t>
  </si>
  <si>
    <t>000002054</t>
  </si>
  <si>
    <t>109424-01</t>
  </si>
  <si>
    <t>CA542</t>
  </si>
  <si>
    <t>0210-/2025</t>
  </si>
  <si>
    <t>BN USI RT HASTE INF 34" 410</t>
  </si>
  <si>
    <t>000002055</t>
  </si>
  <si>
    <t>109424-02</t>
  </si>
  <si>
    <t>0211/2025</t>
  </si>
  <si>
    <t>BC USI RL2 ANEL RET SEDE 12" 150 304</t>
  </si>
  <si>
    <t>000002059</t>
  </si>
  <si>
    <t>109490-03</t>
  </si>
  <si>
    <t>0214/2025</t>
  </si>
  <si>
    <t>RK SEDE 4" 150 FSDS I - STEAM</t>
  </si>
  <si>
    <t>000002524</t>
  </si>
  <si>
    <t>110501-07</t>
  </si>
  <si>
    <t>2524/25-1</t>
  </si>
  <si>
    <t>2524/25</t>
  </si>
  <si>
    <t>WD CPF BRT 24" PN10 FN</t>
  </si>
  <si>
    <t>000008207</t>
  </si>
  <si>
    <t>107197-16</t>
  </si>
  <si>
    <t>C207</t>
  </si>
  <si>
    <t>5994/25</t>
  </si>
  <si>
    <t>000008224</t>
  </si>
  <si>
    <t>107197-26</t>
  </si>
  <si>
    <t>C208</t>
  </si>
  <si>
    <t>6080/25</t>
  </si>
  <si>
    <t>FLUORTECH</t>
  </si>
  <si>
    <t>RK SEDE SOFT 10" 150/300# PTFE</t>
  </si>
  <si>
    <t>000021203</t>
  </si>
  <si>
    <t>109917-03</t>
  </si>
  <si>
    <t>3969</t>
  </si>
  <si>
    <t>109917-01</t>
  </si>
  <si>
    <t>3968</t>
  </si>
  <si>
    <t>RT SEDE 28 INTER-STEAM V4</t>
  </si>
  <si>
    <t>000002502</t>
  </si>
  <si>
    <t>109660-01</t>
  </si>
  <si>
    <t>2502/25-1</t>
  </si>
  <si>
    <t>510-25</t>
  </si>
  <si>
    <t>509-25</t>
  </si>
  <si>
    <t>141/25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</si>
</sst>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7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 wrapText="1"/>
    </xf>
    <xf numFmtId="49" fontId="31" fillId="33" borderId="11" xfId="42" applyNumberFormat="1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/>
    </xf>
    <xf numFmtId="49" fontId="31" fillId="33" borderId="11" xfId="42" quotePrefix="1" applyNumberFormat="1" applyFont="1" applyFill="1" applyBorder="1" applyAlignment="1">
      <alignment horizontal="center" vertical="center" wrapText="1"/>
    </xf>
    <xf numFmtId="0" fontId="31" fillId="0" borderId="11" xfId="0" applyFont="1" applyBorder="1"/>
    <xf numFmtId="49" fontId="0" fillId="33" borderId="11" xfId="42" applyNumberFormat="1" applyFont="1" applyFill="1" applyBorder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  <xf numFmtId="49" fontId="1" fillId="0" borderId="11" xfId="42" applyNumberFormat="1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RO-PR-051_Relat&#243;rio_Di&#225;rio_de_Recebimento%20%202025.xlsx" TargetMode="External"/><Relationship Id="rId1" Type="http://schemas.openxmlformats.org/officeDocument/2006/relationships/externalLinkPath" Target="file:///C:\Users\aantonio\Desktop\RO-PR-051_Relat&#243;rio_Di&#225;rio_de_Recebimento%20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RO-PR-051%20-%20Registro%20Di&#225;rio%20de%20Recebimento%20-%20RDR\2025\RO-PR-051_Relat&#243;rio_Di&#225;rio_de_Recebimento%20(M&#202;S%2001).xlsx" TargetMode="External"/><Relationship Id="rId1" Type="http://schemas.openxmlformats.org/officeDocument/2006/relationships/externalLinkPath" Target="RO-PR-051_Relat&#243;rio_Di&#225;rio_de_Recebimento%20(M&#202;S%200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RO-PR-051%20-%20Registro%20Di&#225;rio%20de%20Recebimento%20-%20RDR\2025\RO-PR-051_Relat&#243;rio_Di&#225;rio_de_Recebimento%20(M&#202;S%2003).xlsx" TargetMode="External"/><Relationship Id="rId1" Type="http://schemas.openxmlformats.org/officeDocument/2006/relationships/externalLinkPath" Target="RO-PR-051_Relat&#243;rio_Di&#225;rio_de_Recebimento%20(M&#202;S%2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 refreshError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  <row r="101">
          <cell r="A101" t="str">
            <v>ELASTHERM</v>
          </cell>
          <cell r="B101" t="str">
            <v>EE-GI-221-0E2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870"/>
  <sheetViews>
    <sheetView showGridLines="0" tabSelected="1" zoomScale="85" zoomScaleNormal="85" zoomScaleSheetLayoutView="100" workbookViewId="0">
      <pane ySplit="6" topLeftCell="A28" activePane="bottomLeft" state="frozen"/>
      <selection pane="bottomLeft" activeCell="H49" sqref="H49"/>
    </sheetView>
  </sheetViews>
  <sheetFormatPr defaultColWidth="9.109375" defaultRowHeight="14.4" x14ac:dyDescent="0.3"/>
  <cols>
    <col min="1" max="1" width="10" style="1" customWidth="1"/>
    <col min="2" max="2" width="23" style="2" customWidth="1"/>
    <col min="3" max="3" width="48.44140625" style="3" bestFit="1" customWidth="1"/>
    <col min="4" max="4" width="6.6640625" style="3" customWidth="1"/>
    <col min="5" max="5" width="10.88671875" style="3" bestFit="1" customWidth="1"/>
    <col min="6" max="6" width="10.88671875" style="1" bestFit="1" customWidth="1"/>
    <col min="7" max="7" width="27.6640625" style="1" customWidth="1"/>
    <col min="8" max="8" width="22.88671875" style="1" customWidth="1"/>
    <col min="9" max="9" width="14.5546875" style="1" bestFit="1" customWidth="1"/>
    <col min="10" max="10" width="19.88671875" style="1" bestFit="1" customWidth="1"/>
    <col min="11" max="11" width="17.33203125" style="14" customWidth="1"/>
    <col min="12" max="12" width="21.109375" style="14" bestFit="1" customWidth="1"/>
    <col min="13" max="13" width="6.6640625" style="14" customWidth="1"/>
    <col min="14" max="22" width="6.6640625" style="1" customWidth="1"/>
    <col min="23" max="23" width="7.5546875" style="4" bestFit="1" customWidth="1"/>
    <col min="24" max="24" width="6.33203125" style="1" bestFit="1" customWidth="1"/>
    <col min="25" max="25" width="10.5546875" style="1" customWidth="1"/>
    <col min="26" max="26" width="14.5546875" style="1" bestFit="1" customWidth="1"/>
    <col min="27" max="16384" width="9.109375" style="1"/>
  </cols>
  <sheetData>
    <row r="1" spans="1:26" ht="10.199999999999999" customHeight="1" x14ac:dyDescent="0.3">
      <c r="A1" s="51" t="e" vm="1">
        <v>#VALUE!</v>
      </c>
      <c r="B1" s="52"/>
      <c r="C1" s="58" t="s">
        <v>9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60"/>
      <c r="Y1" s="47" t="s">
        <v>11</v>
      </c>
      <c r="Z1" s="48"/>
    </row>
    <row r="2" spans="1:26" ht="10.199999999999999" customHeight="1" x14ac:dyDescent="0.3">
      <c r="A2" s="53"/>
      <c r="B2" s="54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  <c r="Y2" s="49"/>
      <c r="Z2" s="50"/>
    </row>
    <row r="3" spans="1:26" ht="10.199999999999999" customHeight="1" x14ac:dyDescent="0.3">
      <c r="A3" s="53"/>
      <c r="B3" s="54"/>
      <c r="C3" s="55" t="s">
        <v>1011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49" t="s">
        <v>79</v>
      </c>
      <c r="Z3" s="50"/>
    </row>
    <row r="4" spans="1:26" ht="10.199999999999999" customHeight="1" thickBot="1" x14ac:dyDescent="0.35">
      <c r="A4" s="53"/>
      <c r="B4" s="54"/>
      <c r="C4" s="55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49"/>
      <c r="Z4" s="50"/>
    </row>
    <row r="5" spans="1:26" ht="19.95" customHeight="1" thickTop="1" x14ac:dyDescent="0.3">
      <c r="A5" s="44" t="s">
        <v>84</v>
      </c>
      <c r="B5" s="45"/>
      <c r="C5" s="45"/>
      <c r="D5" s="45"/>
      <c r="E5" s="45"/>
      <c r="F5" s="45"/>
      <c r="G5" s="45"/>
      <c r="H5" s="46"/>
      <c r="I5" s="41" t="s">
        <v>85</v>
      </c>
      <c r="J5" s="42"/>
      <c r="K5" s="43"/>
      <c r="L5" s="21" t="s">
        <v>86</v>
      </c>
      <c r="M5" s="41" t="s">
        <v>87</v>
      </c>
      <c r="N5" s="42"/>
      <c r="O5" s="42"/>
      <c r="P5" s="42"/>
      <c r="Q5" s="42"/>
      <c r="R5" s="42"/>
      <c r="S5" s="42"/>
      <c r="T5" s="42"/>
      <c r="U5" s="42"/>
      <c r="V5" s="43"/>
      <c r="W5" s="41" t="s">
        <v>77</v>
      </c>
      <c r="X5" s="42"/>
      <c r="Y5" s="43"/>
      <c r="Z5" s="21" t="s">
        <v>4</v>
      </c>
    </row>
    <row r="6" spans="1:26" s="5" customFormat="1" ht="89.4" customHeight="1" x14ac:dyDescent="0.3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s="5" customFormat="1" ht="19.95" customHeight="1" x14ac:dyDescent="0.3">
      <c r="A7" s="6">
        <v>45691</v>
      </c>
      <c r="B7" s="7" t="s">
        <v>254</v>
      </c>
      <c r="C7" s="8" t="s">
        <v>255</v>
      </c>
      <c r="D7" s="8" t="s">
        <v>256</v>
      </c>
      <c r="E7" s="8" t="s">
        <v>257</v>
      </c>
      <c r="F7" s="9" t="s">
        <v>274</v>
      </c>
      <c r="G7" s="9" t="s">
        <v>258</v>
      </c>
      <c r="H7" s="9" t="s">
        <v>259</v>
      </c>
      <c r="I7" s="9" t="s">
        <v>66</v>
      </c>
      <c r="J7" s="10" t="s">
        <v>15</v>
      </c>
      <c r="K7" s="15" t="str">
        <f>VLOOKUP(J7,DADOS!$A$3:$B$100,2,FALSE)</f>
        <v>EE-GI-001-002</v>
      </c>
      <c r="L7" s="15" t="s">
        <v>260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1</v>
      </c>
      <c r="S7" s="17" t="b">
        <v>0</v>
      </c>
      <c r="T7" s="17" t="b">
        <v>0</v>
      </c>
      <c r="U7" s="17" t="b">
        <v>0</v>
      </c>
      <c r="V7" s="17" t="b">
        <v>0</v>
      </c>
      <c r="W7" s="11" t="s">
        <v>256</v>
      </c>
      <c r="X7" s="12" t="s">
        <v>14</v>
      </c>
      <c r="Y7" s="12" t="s">
        <v>14</v>
      </c>
      <c r="Z7" s="13" t="s">
        <v>261</v>
      </c>
    </row>
    <row r="8" spans="1:26" ht="19.95" customHeight="1" x14ac:dyDescent="0.3">
      <c r="A8" s="6">
        <v>45691</v>
      </c>
      <c r="B8" s="7" t="s">
        <v>254</v>
      </c>
      <c r="C8" s="8" t="s">
        <v>262</v>
      </c>
      <c r="D8" s="8" t="s">
        <v>263</v>
      </c>
      <c r="E8" s="8" t="s">
        <v>264</v>
      </c>
      <c r="F8" s="9" t="s">
        <v>275</v>
      </c>
      <c r="G8" s="9" t="s">
        <v>265</v>
      </c>
      <c r="H8" s="9" t="s">
        <v>266</v>
      </c>
      <c r="I8" s="9" t="s">
        <v>66</v>
      </c>
      <c r="J8" s="10" t="s">
        <v>15</v>
      </c>
      <c r="K8" s="15" t="str">
        <f>VLOOKUP(J8,DADOS!$A$3:$B$100,2,FALSE)</f>
        <v>EE-GI-001-002</v>
      </c>
      <c r="L8" s="15" t="s">
        <v>260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1</v>
      </c>
      <c r="S8" s="17" t="b">
        <v>0</v>
      </c>
      <c r="T8" s="17" t="b">
        <v>0</v>
      </c>
      <c r="U8" s="17" t="b">
        <v>0</v>
      </c>
      <c r="V8" s="17" t="b">
        <v>0</v>
      </c>
      <c r="W8" s="11" t="s">
        <v>263</v>
      </c>
      <c r="X8" s="12" t="s">
        <v>14</v>
      </c>
      <c r="Y8" s="12" t="s">
        <v>14</v>
      </c>
      <c r="Z8" s="13" t="s">
        <v>261</v>
      </c>
    </row>
    <row r="9" spans="1:26" ht="19.95" customHeight="1" x14ac:dyDescent="0.3">
      <c r="A9" s="6">
        <v>45691</v>
      </c>
      <c r="B9" s="7" t="s">
        <v>254</v>
      </c>
      <c r="C9" s="8" t="s">
        <v>267</v>
      </c>
      <c r="D9" s="8" t="s">
        <v>268</v>
      </c>
      <c r="E9" s="8" t="s">
        <v>270</v>
      </c>
      <c r="F9" s="9" t="s">
        <v>271</v>
      </c>
      <c r="G9" s="9" t="s">
        <v>273</v>
      </c>
      <c r="H9" s="9" t="s">
        <v>276</v>
      </c>
      <c r="I9" s="9" t="s">
        <v>65</v>
      </c>
      <c r="J9" s="10" t="s">
        <v>16</v>
      </c>
      <c r="K9" s="15" t="str">
        <f>VLOOKUP(J9,DADOS!$A$3:$B$100,2,FALSE)</f>
        <v>EE-GI-001-003</v>
      </c>
      <c r="L9" s="15" t="s">
        <v>260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1</v>
      </c>
      <c r="S9" s="17" t="b">
        <v>0</v>
      </c>
      <c r="T9" s="17" t="b">
        <v>0</v>
      </c>
      <c r="U9" s="17" t="b">
        <v>0</v>
      </c>
      <c r="V9" s="17" t="b">
        <v>0</v>
      </c>
      <c r="W9" s="11" t="s">
        <v>14</v>
      </c>
      <c r="X9" s="12" t="s">
        <v>268</v>
      </c>
      <c r="Y9" s="12" t="s">
        <v>291</v>
      </c>
      <c r="Z9" s="12" t="s">
        <v>261</v>
      </c>
    </row>
    <row r="10" spans="1:26" ht="19.95" customHeight="1" x14ac:dyDescent="0.3">
      <c r="A10" s="6">
        <v>45691</v>
      </c>
      <c r="B10" s="7" t="s">
        <v>254</v>
      </c>
      <c r="C10" s="8" t="s">
        <v>267</v>
      </c>
      <c r="D10" s="8" t="s">
        <v>269</v>
      </c>
      <c r="E10" s="8" t="s">
        <v>270</v>
      </c>
      <c r="F10" s="9" t="s">
        <v>272</v>
      </c>
      <c r="G10" s="9" t="s">
        <v>273</v>
      </c>
      <c r="H10" s="9" t="s">
        <v>276</v>
      </c>
      <c r="I10" s="9" t="s">
        <v>65</v>
      </c>
      <c r="J10" s="10" t="s">
        <v>16</v>
      </c>
      <c r="K10" s="15" t="str">
        <f>VLOOKUP(J10,DADOS!$A$3:$B$100,2,FALSE)</f>
        <v>EE-GI-001-003</v>
      </c>
      <c r="L10" s="15" t="s">
        <v>260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1</v>
      </c>
      <c r="S10" s="17" t="b">
        <v>0</v>
      </c>
      <c r="T10" s="17" t="b">
        <v>0</v>
      </c>
      <c r="U10" s="17" t="b">
        <v>0</v>
      </c>
      <c r="V10" s="17" t="b">
        <v>0</v>
      </c>
      <c r="W10" s="11" t="s">
        <v>14</v>
      </c>
      <c r="X10" s="12" t="s">
        <v>269</v>
      </c>
      <c r="Y10" s="12" t="s">
        <v>291</v>
      </c>
      <c r="Z10" s="12" t="s">
        <v>261</v>
      </c>
    </row>
    <row r="11" spans="1:26" ht="19.95" customHeight="1" x14ac:dyDescent="0.3">
      <c r="A11" s="6">
        <v>45691</v>
      </c>
      <c r="B11" s="7" t="s">
        <v>254</v>
      </c>
      <c r="C11" s="8" t="s">
        <v>267</v>
      </c>
      <c r="D11" s="8" t="s">
        <v>277</v>
      </c>
      <c r="E11" s="8" t="s">
        <v>270</v>
      </c>
      <c r="F11" s="9" t="s">
        <v>278</v>
      </c>
      <c r="G11" s="9" t="s">
        <v>273</v>
      </c>
      <c r="H11" s="9" t="s">
        <v>276</v>
      </c>
      <c r="I11" s="9" t="s">
        <v>65</v>
      </c>
      <c r="J11" s="10" t="s">
        <v>16</v>
      </c>
      <c r="K11" s="15" t="str">
        <f>VLOOKUP(J11,DADOS!$A$3:$B$100,2,FALSE)</f>
        <v>EE-GI-001-003</v>
      </c>
      <c r="L11" s="15" t="s">
        <v>260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1</v>
      </c>
      <c r="S11" s="17" t="b">
        <v>0</v>
      </c>
      <c r="T11" s="17" t="b">
        <v>0</v>
      </c>
      <c r="U11" s="17" t="b">
        <v>0</v>
      </c>
      <c r="V11" s="17" t="b">
        <v>0</v>
      </c>
      <c r="W11" s="11" t="s">
        <v>277</v>
      </c>
      <c r="X11" s="12" t="s">
        <v>14</v>
      </c>
      <c r="Y11" s="12" t="s">
        <v>14</v>
      </c>
      <c r="Z11" s="13" t="s">
        <v>261</v>
      </c>
    </row>
    <row r="12" spans="1:26" ht="19.95" customHeight="1" x14ac:dyDescent="0.3">
      <c r="A12" s="6">
        <v>45691</v>
      </c>
      <c r="B12" s="7" t="s">
        <v>254</v>
      </c>
      <c r="C12" s="8" t="s">
        <v>280</v>
      </c>
      <c r="D12" s="8" t="s">
        <v>281</v>
      </c>
      <c r="E12" s="8" t="s">
        <v>283</v>
      </c>
      <c r="F12" s="9" t="s">
        <v>284</v>
      </c>
      <c r="G12" s="9" t="s">
        <v>289</v>
      </c>
      <c r="H12" s="9" t="s">
        <v>285</v>
      </c>
      <c r="I12" s="9" t="s">
        <v>65</v>
      </c>
      <c r="J12" s="10" t="s">
        <v>15</v>
      </c>
      <c r="K12" s="15" t="str">
        <f>VLOOKUP(J12,DADOS!$A$3:$B$100,2,FALSE)</f>
        <v>EE-GI-001-002</v>
      </c>
      <c r="L12" s="15" t="s">
        <v>260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1</v>
      </c>
      <c r="S12" s="17" t="b">
        <v>0</v>
      </c>
      <c r="T12" s="17" t="b">
        <v>0</v>
      </c>
      <c r="U12" s="17" t="b">
        <v>0</v>
      </c>
      <c r="V12" s="17" t="b">
        <v>0</v>
      </c>
      <c r="W12" s="11" t="s">
        <v>281</v>
      </c>
      <c r="X12" s="12" t="s">
        <v>14</v>
      </c>
      <c r="Y12" s="12" t="s">
        <v>14</v>
      </c>
      <c r="Z12" s="13" t="s">
        <v>261</v>
      </c>
    </row>
    <row r="13" spans="1:26" ht="19.95" customHeight="1" x14ac:dyDescent="0.3">
      <c r="A13" s="6">
        <v>45691</v>
      </c>
      <c r="B13" s="7" t="s">
        <v>254</v>
      </c>
      <c r="C13" s="8" t="s">
        <v>286</v>
      </c>
      <c r="D13" s="8" t="s">
        <v>287</v>
      </c>
      <c r="E13" s="8" t="s">
        <v>283</v>
      </c>
      <c r="F13" s="9" t="s">
        <v>288</v>
      </c>
      <c r="G13" s="9" t="s">
        <v>289</v>
      </c>
      <c r="H13" s="9" t="s">
        <v>285</v>
      </c>
      <c r="I13" s="9" t="s">
        <v>65</v>
      </c>
      <c r="J13" s="10" t="s">
        <v>15</v>
      </c>
      <c r="K13" s="15" t="str">
        <f>VLOOKUP(J13,DADOS!$A$3:$B$100,2,FALSE)</f>
        <v>EE-GI-001-002</v>
      </c>
      <c r="L13" s="15" t="s">
        <v>260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1</v>
      </c>
      <c r="S13" s="17" t="b">
        <v>0</v>
      </c>
      <c r="T13" s="17" t="b">
        <v>0</v>
      </c>
      <c r="U13" s="17" t="b">
        <v>0</v>
      </c>
      <c r="V13" s="17" t="b">
        <v>0</v>
      </c>
      <c r="W13" s="11" t="s">
        <v>281</v>
      </c>
      <c r="X13" s="12" t="s">
        <v>281</v>
      </c>
      <c r="Y13" s="12" t="s">
        <v>290</v>
      </c>
      <c r="Z13" s="12" t="s">
        <v>261</v>
      </c>
    </row>
    <row r="14" spans="1:26" ht="19.95" customHeight="1" x14ac:dyDescent="0.3">
      <c r="A14" s="6">
        <v>45691</v>
      </c>
      <c r="B14" s="7" t="s">
        <v>254</v>
      </c>
      <c r="C14" s="8" t="s">
        <v>292</v>
      </c>
      <c r="D14" s="8" t="s">
        <v>281</v>
      </c>
      <c r="E14" s="8" t="s">
        <v>282</v>
      </c>
      <c r="F14" s="9" t="s">
        <v>293</v>
      </c>
      <c r="G14" s="9" t="s">
        <v>368</v>
      </c>
      <c r="H14" s="9" t="s">
        <v>369</v>
      </c>
      <c r="I14" s="9" t="s">
        <v>65</v>
      </c>
      <c r="J14" s="10" t="s">
        <v>16</v>
      </c>
      <c r="K14" s="15" t="str">
        <f>VLOOKUP(J14,DADOS!$A$3:$B$100,2,FALSE)</f>
        <v>EE-GI-001-003</v>
      </c>
      <c r="L14" s="15" t="s">
        <v>260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1</v>
      </c>
      <c r="S14" s="17" t="b">
        <v>0</v>
      </c>
      <c r="T14" s="17" t="b">
        <v>0</v>
      </c>
      <c r="U14" s="17" t="b">
        <v>0</v>
      </c>
      <c r="V14" s="17" t="b">
        <v>0</v>
      </c>
      <c r="W14" s="11" t="s">
        <v>281</v>
      </c>
      <c r="X14" s="12" t="s">
        <v>14</v>
      </c>
      <c r="Y14" s="12" t="s">
        <v>14</v>
      </c>
      <c r="Z14" s="13" t="s">
        <v>261</v>
      </c>
    </row>
    <row r="15" spans="1:26" ht="19.95" customHeight="1" x14ac:dyDescent="0.3">
      <c r="A15" s="6">
        <v>45691</v>
      </c>
      <c r="B15" s="7" t="s">
        <v>254</v>
      </c>
      <c r="C15" s="8" t="s">
        <v>292</v>
      </c>
      <c r="D15" s="8" t="s">
        <v>281</v>
      </c>
      <c r="E15" s="8" t="s">
        <v>282</v>
      </c>
      <c r="F15" s="9" t="s">
        <v>294</v>
      </c>
      <c r="G15" s="9" t="s">
        <v>311</v>
      </c>
      <c r="H15" s="9" t="s">
        <v>370</v>
      </c>
      <c r="I15" s="9" t="s">
        <v>65</v>
      </c>
      <c r="J15" s="10" t="s">
        <v>16</v>
      </c>
      <c r="K15" s="15" t="str">
        <f>VLOOKUP(J15,DADOS!$A$3:$B$100,2,FALSE)</f>
        <v>EE-GI-001-003</v>
      </c>
      <c r="L15" s="15" t="s">
        <v>260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1</v>
      </c>
      <c r="S15" s="17" t="b">
        <v>0</v>
      </c>
      <c r="T15" s="17" t="b">
        <v>0</v>
      </c>
      <c r="U15" s="17" t="b">
        <v>0</v>
      </c>
      <c r="V15" s="17" t="b">
        <v>0</v>
      </c>
      <c r="W15" s="11" t="s">
        <v>281</v>
      </c>
      <c r="X15" s="12" t="s">
        <v>14</v>
      </c>
      <c r="Y15" s="12" t="s">
        <v>14</v>
      </c>
      <c r="Z15" s="13" t="s">
        <v>261</v>
      </c>
    </row>
    <row r="16" spans="1:26" ht="19.95" customHeight="1" x14ac:dyDescent="0.3">
      <c r="A16" s="6">
        <v>45691</v>
      </c>
      <c r="B16" s="7" t="s">
        <v>254</v>
      </c>
      <c r="C16" s="8" t="s">
        <v>292</v>
      </c>
      <c r="D16" s="8" t="s">
        <v>279</v>
      </c>
      <c r="E16" s="8" t="s">
        <v>295</v>
      </c>
      <c r="F16" s="9" t="s">
        <v>296</v>
      </c>
      <c r="G16" s="9" t="s">
        <v>273</v>
      </c>
      <c r="H16" s="9" t="s">
        <v>297</v>
      </c>
      <c r="I16" s="9" t="s">
        <v>65</v>
      </c>
      <c r="J16" s="10" t="s">
        <v>16</v>
      </c>
      <c r="K16" s="15" t="str">
        <f>VLOOKUP(J16,DADOS!$A$3:$B$100,2,FALSE)</f>
        <v>EE-GI-001-003</v>
      </c>
      <c r="L16" s="15" t="s">
        <v>260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1</v>
      </c>
      <c r="S16" s="17" t="b">
        <v>0</v>
      </c>
      <c r="T16" s="17" t="b">
        <v>0</v>
      </c>
      <c r="U16" s="17" t="b">
        <v>0</v>
      </c>
      <c r="V16" s="17" t="b">
        <v>0</v>
      </c>
      <c r="W16" s="11" t="s">
        <v>279</v>
      </c>
      <c r="X16" s="12" t="s">
        <v>14</v>
      </c>
      <c r="Y16" s="12" t="s">
        <v>14</v>
      </c>
      <c r="Z16" s="13" t="s">
        <v>261</v>
      </c>
    </row>
    <row r="17" spans="1:26" ht="19.95" customHeight="1" x14ac:dyDescent="0.3">
      <c r="A17" s="6">
        <v>45691</v>
      </c>
      <c r="B17" s="7" t="s">
        <v>254</v>
      </c>
      <c r="C17" s="8" t="s">
        <v>298</v>
      </c>
      <c r="D17" s="8" t="s">
        <v>269</v>
      </c>
      <c r="E17" s="8" t="s">
        <v>299</v>
      </c>
      <c r="F17" s="9" t="s">
        <v>300</v>
      </c>
      <c r="G17" s="9" t="s">
        <v>301</v>
      </c>
      <c r="H17" s="9" t="s">
        <v>302</v>
      </c>
      <c r="I17" s="9" t="s">
        <v>69</v>
      </c>
      <c r="J17" s="10" t="s">
        <v>17</v>
      </c>
      <c r="K17" s="15" t="str">
        <f>VLOOKUP(J17,DADOS!$A$3:$B$100,2,FALSE)</f>
        <v>EE-GI-001-001</v>
      </c>
      <c r="L17" s="15" t="s">
        <v>303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0</v>
      </c>
      <c r="W17" s="11" t="s">
        <v>269</v>
      </c>
      <c r="X17" s="12" t="s">
        <v>14</v>
      </c>
      <c r="Y17" s="12" t="s">
        <v>14</v>
      </c>
      <c r="Z17" s="13" t="s">
        <v>261</v>
      </c>
    </row>
    <row r="18" spans="1:26" ht="19.95" customHeight="1" x14ac:dyDescent="0.3">
      <c r="A18" s="6">
        <v>45691</v>
      </c>
      <c r="B18" s="7" t="s">
        <v>254</v>
      </c>
      <c r="C18" s="8" t="s">
        <v>304</v>
      </c>
      <c r="D18" s="8" t="s">
        <v>305</v>
      </c>
      <c r="E18" s="8" t="s">
        <v>270</v>
      </c>
      <c r="F18" s="9" t="s">
        <v>306</v>
      </c>
      <c r="G18" s="9" t="s">
        <v>273</v>
      </c>
      <c r="H18" s="9" t="s">
        <v>276</v>
      </c>
      <c r="I18" s="9" t="s">
        <v>65</v>
      </c>
      <c r="J18" s="10" t="s">
        <v>16</v>
      </c>
      <c r="K18" s="15" t="str">
        <f>VLOOKUP(J18,DADOS!$A$3:$B$100,2,FALSE)</f>
        <v>EE-GI-001-003</v>
      </c>
      <c r="L18" s="15" t="s">
        <v>260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0</v>
      </c>
      <c r="W18" s="11" t="s">
        <v>305</v>
      </c>
      <c r="X18" s="12" t="s">
        <v>14</v>
      </c>
      <c r="Y18" s="12" t="s">
        <v>14</v>
      </c>
      <c r="Z18" s="13" t="s">
        <v>261</v>
      </c>
    </row>
    <row r="19" spans="1:26" ht="19.95" customHeight="1" x14ac:dyDescent="0.3">
      <c r="A19" s="6">
        <v>45691</v>
      </c>
      <c r="B19" s="7" t="s">
        <v>254</v>
      </c>
      <c r="C19" s="8" t="s">
        <v>309</v>
      </c>
      <c r="D19" s="8" t="s">
        <v>307</v>
      </c>
      <c r="E19" s="8" t="s">
        <v>270</v>
      </c>
      <c r="F19" s="9" t="s">
        <v>310</v>
      </c>
      <c r="G19" s="9" t="s">
        <v>311</v>
      </c>
      <c r="H19" s="9" t="s">
        <v>308</v>
      </c>
      <c r="I19" s="9" t="s">
        <v>65</v>
      </c>
      <c r="J19" s="10" t="s">
        <v>16</v>
      </c>
      <c r="K19" s="15" t="str">
        <f>VLOOKUP(J19,DADOS!$A$3:$B$100,2,FALSE)</f>
        <v>EE-GI-001-003</v>
      </c>
      <c r="L19" s="15" t="s">
        <v>260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0</v>
      </c>
      <c r="W19" s="11" t="s">
        <v>307</v>
      </c>
      <c r="X19" s="12" t="s">
        <v>14</v>
      </c>
      <c r="Y19" s="12" t="s">
        <v>14</v>
      </c>
      <c r="Z19" s="13" t="s">
        <v>261</v>
      </c>
    </row>
    <row r="20" spans="1:26" ht="19.95" customHeight="1" x14ac:dyDescent="0.3">
      <c r="A20" s="6">
        <v>45691</v>
      </c>
      <c r="B20" s="7" t="s">
        <v>578</v>
      </c>
      <c r="C20" s="8" t="s">
        <v>602</v>
      </c>
      <c r="D20" s="8" t="s">
        <v>603</v>
      </c>
      <c r="E20" s="8" t="s">
        <v>604</v>
      </c>
      <c r="F20" s="9" t="s">
        <v>605</v>
      </c>
      <c r="G20" s="9" t="s">
        <v>606</v>
      </c>
      <c r="H20" s="9" t="s">
        <v>607</v>
      </c>
      <c r="I20" s="9" t="s">
        <v>68</v>
      </c>
      <c r="J20" s="10" t="s">
        <v>174</v>
      </c>
      <c r="K20" s="15" t="str">
        <f>VLOOKUP(J20,DADOS!$A$3:$B$100,2,FALSE)</f>
        <v>EE-GI-001-007</v>
      </c>
      <c r="L20" s="15" t="s">
        <v>260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603</v>
      </c>
      <c r="X20" s="12" t="s">
        <v>14</v>
      </c>
      <c r="Y20" s="12" t="s">
        <v>14</v>
      </c>
      <c r="Z20" s="13" t="s">
        <v>261</v>
      </c>
    </row>
    <row r="21" spans="1:26" ht="19.95" customHeight="1" x14ac:dyDescent="0.3">
      <c r="A21" s="6">
        <v>45691</v>
      </c>
      <c r="B21" s="7" t="s">
        <v>578</v>
      </c>
      <c r="C21" s="8" t="s">
        <v>608</v>
      </c>
      <c r="D21" s="8" t="s">
        <v>609</v>
      </c>
      <c r="E21" s="8" t="s">
        <v>604</v>
      </c>
      <c r="F21" s="9" t="s">
        <v>610</v>
      </c>
      <c r="G21" s="9" t="s">
        <v>588</v>
      </c>
      <c r="H21" s="9" t="s">
        <v>611</v>
      </c>
      <c r="I21" s="9" t="s">
        <v>66</v>
      </c>
      <c r="J21" s="10" t="s">
        <v>174</v>
      </c>
      <c r="K21" s="15" t="str">
        <f>VLOOKUP(J21,DADOS!$A$3:$B$100,2,FALSE)</f>
        <v>EE-GI-001-007</v>
      </c>
      <c r="L21" s="15" t="s">
        <v>260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609</v>
      </c>
      <c r="X21" s="12" t="s">
        <v>14</v>
      </c>
      <c r="Y21" s="12" t="s">
        <v>14</v>
      </c>
      <c r="Z21" s="13" t="s">
        <v>261</v>
      </c>
    </row>
    <row r="22" spans="1:26" ht="19.95" customHeight="1" x14ac:dyDescent="0.3">
      <c r="A22" s="6">
        <v>45691</v>
      </c>
      <c r="B22" s="7" t="s">
        <v>578</v>
      </c>
      <c r="C22" s="8" t="s">
        <v>579</v>
      </c>
      <c r="D22" s="8" t="s">
        <v>616</v>
      </c>
      <c r="E22" s="8" t="s">
        <v>604</v>
      </c>
      <c r="F22" s="9" t="s">
        <v>582</v>
      </c>
      <c r="G22" s="9" t="s">
        <v>583</v>
      </c>
      <c r="H22" s="9" t="s">
        <v>617</v>
      </c>
      <c r="I22" s="9" t="s">
        <v>66</v>
      </c>
      <c r="J22" s="10" t="s">
        <v>174</v>
      </c>
      <c r="K22" s="15" t="str">
        <f>VLOOKUP(J22,DADOS!$A$3:$B$100,2,FALSE)</f>
        <v>EE-GI-001-007</v>
      </c>
      <c r="L22" s="15" t="s">
        <v>260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616</v>
      </c>
      <c r="X22" s="12" t="s">
        <v>14</v>
      </c>
      <c r="Y22" s="12" t="s">
        <v>14</v>
      </c>
      <c r="Z22" s="13" t="s">
        <v>261</v>
      </c>
    </row>
    <row r="23" spans="1:26" ht="19.95" customHeight="1" x14ac:dyDescent="0.3">
      <c r="A23" s="6">
        <v>45691</v>
      </c>
      <c r="B23" s="7" t="s">
        <v>578</v>
      </c>
      <c r="C23" s="8" t="s">
        <v>625</v>
      </c>
      <c r="D23" s="8" t="s">
        <v>373</v>
      </c>
      <c r="E23" s="8" t="s">
        <v>604</v>
      </c>
      <c r="F23" s="9" t="s">
        <v>626</v>
      </c>
      <c r="G23" s="9" t="s">
        <v>627</v>
      </c>
      <c r="H23" s="9" t="s">
        <v>628</v>
      </c>
      <c r="I23" s="9" t="s">
        <v>68</v>
      </c>
      <c r="J23" s="10" t="s">
        <v>186</v>
      </c>
      <c r="K23" s="15" t="str">
        <f>VLOOKUP(J23,DADOS!$A$3:$B$100,2,FALSE)</f>
        <v>EE-GI-001-008</v>
      </c>
      <c r="L23" s="15" t="s">
        <v>303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373</v>
      </c>
      <c r="X23" s="12" t="s">
        <v>14</v>
      </c>
      <c r="Y23" s="12" t="s">
        <v>14</v>
      </c>
      <c r="Z23" s="13" t="s">
        <v>261</v>
      </c>
    </row>
    <row r="24" spans="1:26" ht="19.95" customHeight="1" x14ac:dyDescent="0.3">
      <c r="A24" s="6">
        <v>45691</v>
      </c>
      <c r="B24" s="7" t="s">
        <v>339</v>
      </c>
      <c r="C24" s="8" t="s">
        <v>2306</v>
      </c>
      <c r="D24" s="8" t="s">
        <v>281</v>
      </c>
      <c r="E24" s="8" t="s">
        <v>342</v>
      </c>
      <c r="F24" s="9" t="s">
        <v>2307</v>
      </c>
      <c r="G24" s="9" t="s">
        <v>2308</v>
      </c>
      <c r="H24" s="9" t="s">
        <v>14</v>
      </c>
      <c r="I24" s="9" t="s">
        <v>69</v>
      </c>
      <c r="J24" s="10" t="s">
        <v>176</v>
      </c>
      <c r="K24" s="15" t="str">
        <f>VLOOKUP(J24,DADOS!$A$3:$B$100,2,FALSE)</f>
        <v>EE-GI-001-011</v>
      </c>
      <c r="L24" s="15" t="s">
        <v>1955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281</v>
      </c>
      <c r="X24" s="12" t="s">
        <v>14</v>
      </c>
      <c r="Y24" s="12" t="s">
        <v>14</v>
      </c>
      <c r="Z24" s="13" t="s">
        <v>355</v>
      </c>
    </row>
    <row r="25" spans="1:26" ht="19.95" customHeight="1" x14ac:dyDescent="0.3">
      <c r="A25" s="6">
        <v>45691</v>
      </c>
      <c r="B25" s="7" t="s">
        <v>339</v>
      </c>
      <c r="C25" s="8" t="s">
        <v>2309</v>
      </c>
      <c r="D25" s="8" t="s">
        <v>281</v>
      </c>
      <c r="E25" s="8" t="s">
        <v>342</v>
      </c>
      <c r="F25" s="9" t="s">
        <v>2310</v>
      </c>
      <c r="G25" s="9" t="s">
        <v>2311</v>
      </c>
      <c r="H25" s="9" t="s">
        <v>14</v>
      </c>
      <c r="I25" s="9" t="s">
        <v>69</v>
      </c>
      <c r="J25" s="10" t="s">
        <v>176</v>
      </c>
      <c r="K25" s="15" t="str">
        <f>VLOOKUP(J25,DADOS!$A$3:$B$100,2,FALSE)</f>
        <v>EE-GI-001-011</v>
      </c>
      <c r="L25" s="15" t="s">
        <v>1955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281</v>
      </c>
      <c r="X25" s="12" t="s">
        <v>14</v>
      </c>
      <c r="Y25" s="12" t="s">
        <v>14</v>
      </c>
      <c r="Z25" s="13" t="s">
        <v>355</v>
      </c>
    </row>
    <row r="26" spans="1:26" ht="19.95" customHeight="1" x14ac:dyDescent="0.3">
      <c r="A26" s="6">
        <v>45691</v>
      </c>
      <c r="B26" s="7" t="s">
        <v>339</v>
      </c>
      <c r="C26" s="8" t="s">
        <v>2312</v>
      </c>
      <c r="D26" s="8" t="s">
        <v>364</v>
      </c>
      <c r="E26" s="8" t="s">
        <v>342</v>
      </c>
      <c r="F26" s="9" t="s">
        <v>2313</v>
      </c>
      <c r="G26" s="9" t="s">
        <v>2311</v>
      </c>
      <c r="H26" s="9" t="s">
        <v>14</v>
      </c>
      <c r="I26" s="9" t="s">
        <v>69</v>
      </c>
      <c r="J26" s="10" t="s">
        <v>176</v>
      </c>
      <c r="K26" s="15" t="str">
        <f>VLOOKUP(J26,DADOS!$A$3:$B$100,2,FALSE)</f>
        <v>EE-GI-001-011</v>
      </c>
      <c r="L26" s="15" t="s">
        <v>1955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364</v>
      </c>
      <c r="X26" s="12" t="s">
        <v>14</v>
      </c>
      <c r="Y26" s="12" t="s">
        <v>14</v>
      </c>
      <c r="Z26" s="13" t="s">
        <v>355</v>
      </c>
    </row>
    <row r="27" spans="1:26" ht="19.95" customHeight="1" x14ac:dyDescent="0.3">
      <c r="A27" s="6">
        <v>45691</v>
      </c>
      <c r="B27" s="7" t="s">
        <v>339</v>
      </c>
      <c r="C27" s="8" t="s">
        <v>2312</v>
      </c>
      <c r="D27" s="8" t="s">
        <v>281</v>
      </c>
      <c r="E27" s="8" t="s">
        <v>342</v>
      </c>
      <c r="F27" s="9" t="s">
        <v>2314</v>
      </c>
      <c r="G27" s="9" t="s">
        <v>2311</v>
      </c>
      <c r="H27" s="9" t="s">
        <v>14</v>
      </c>
      <c r="I27" s="9" t="s">
        <v>69</v>
      </c>
      <c r="J27" s="10" t="s">
        <v>176</v>
      </c>
      <c r="K27" s="15" t="str">
        <f>VLOOKUP(J27,DADOS!$A$3:$B$100,2,FALSE)</f>
        <v>EE-GI-001-011</v>
      </c>
      <c r="L27" s="15" t="s">
        <v>1955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281</v>
      </c>
      <c r="X27" s="12" t="s">
        <v>14</v>
      </c>
      <c r="Y27" s="12" t="s">
        <v>14</v>
      </c>
      <c r="Z27" s="13" t="s">
        <v>355</v>
      </c>
    </row>
    <row r="28" spans="1:26" ht="19.95" customHeight="1" x14ac:dyDescent="0.3">
      <c r="A28" s="6">
        <v>45691</v>
      </c>
      <c r="B28" s="7" t="s">
        <v>339</v>
      </c>
      <c r="C28" s="8" t="s">
        <v>2312</v>
      </c>
      <c r="D28" s="8" t="s">
        <v>281</v>
      </c>
      <c r="E28" s="8" t="s">
        <v>342</v>
      </c>
      <c r="F28" s="9" t="s">
        <v>2315</v>
      </c>
      <c r="G28" s="9" t="s">
        <v>2311</v>
      </c>
      <c r="H28" s="9" t="s">
        <v>14</v>
      </c>
      <c r="I28" s="9" t="s">
        <v>69</v>
      </c>
      <c r="J28" s="10" t="s">
        <v>176</v>
      </c>
      <c r="K28" s="15" t="str">
        <f>VLOOKUP(J28,DADOS!$A$3:$B$100,2,FALSE)</f>
        <v>EE-GI-001-011</v>
      </c>
      <c r="L28" s="15" t="s">
        <v>1955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1</v>
      </c>
      <c r="W28" s="11" t="s">
        <v>281</v>
      </c>
      <c r="X28" s="12" t="s">
        <v>14</v>
      </c>
      <c r="Y28" s="12" t="s">
        <v>14</v>
      </c>
      <c r="Z28" s="13" t="s">
        <v>355</v>
      </c>
    </row>
    <row r="29" spans="1:26" ht="19.95" customHeight="1" x14ac:dyDescent="0.3">
      <c r="A29" s="6">
        <v>45691</v>
      </c>
      <c r="B29" s="7" t="s">
        <v>339</v>
      </c>
      <c r="C29" s="8" t="s">
        <v>2309</v>
      </c>
      <c r="D29" s="8" t="s">
        <v>281</v>
      </c>
      <c r="E29" s="8" t="s">
        <v>342</v>
      </c>
      <c r="F29" s="9" t="s">
        <v>2316</v>
      </c>
      <c r="G29" s="9" t="s">
        <v>2311</v>
      </c>
      <c r="H29" s="9" t="s">
        <v>14</v>
      </c>
      <c r="I29" s="9" t="s">
        <v>69</v>
      </c>
      <c r="J29" s="10" t="s">
        <v>176</v>
      </c>
      <c r="K29" s="15" t="str">
        <f>VLOOKUP(J29,DADOS!$A$3:$B$100,2,FALSE)</f>
        <v>EE-GI-001-011</v>
      </c>
      <c r="L29" s="15" t="s">
        <v>1955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1</v>
      </c>
      <c r="W29" s="11" t="s">
        <v>281</v>
      </c>
      <c r="X29" s="12" t="s">
        <v>14</v>
      </c>
      <c r="Y29" s="12" t="s">
        <v>14</v>
      </c>
      <c r="Z29" s="13" t="s">
        <v>355</v>
      </c>
    </row>
    <row r="30" spans="1:26" ht="19.95" customHeight="1" x14ac:dyDescent="0.3">
      <c r="A30" s="6">
        <v>45691</v>
      </c>
      <c r="B30" s="7" t="s">
        <v>339</v>
      </c>
      <c r="C30" s="8" t="s">
        <v>2309</v>
      </c>
      <c r="D30" s="8" t="s">
        <v>364</v>
      </c>
      <c r="E30" s="8" t="s">
        <v>342</v>
      </c>
      <c r="F30" s="9" t="s">
        <v>2317</v>
      </c>
      <c r="G30" s="9" t="s">
        <v>2311</v>
      </c>
      <c r="H30" s="9" t="s">
        <v>14</v>
      </c>
      <c r="I30" s="9" t="s">
        <v>69</v>
      </c>
      <c r="J30" s="10" t="s">
        <v>176</v>
      </c>
      <c r="K30" s="15" t="str">
        <f>VLOOKUP(J30,DADOS!$A$3:$B$100,2,FALSE)</f>
        <v>EE-GI-001-011</v>
      </c>
      <c r="L30" s="15" t="s">
        <v>1955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1</v>
      </c>
      <c r="W30" s="11" t="s">
        <v>364</v>
      </c>
      <c r="X30" s="12" t="s">
        <v>14</v>
      </c>
      <c r="Y30" s="12" t="s">
        <v>14</v>
      </c>
      <c r="Z30" s="13" t="s">
        <v>355</v>
      </c>
    </row>
    <row r="31" spans="1:26" ht="19.95" customHeight="1" x14ac:dyDescent="0.3">
      <c r="A31" s="6">
        <v>45691</v>
      </c>
      <c r="B31" s="7" t="s">
        <v>339</v>
      </c>
      <c r="C31" s="8" t="s">
        <v>1619</v>
      </c>
      <c r="D31" s="8" t="s">
        <v>373</v>
      </c>
      <c r="E31" s="8" t="s">
        <v>342</v>
      </c>
      <c r="F31" s="9" t="s">
        <v>2318</v>
      </c>
      <c r="G31" s="9" t="s">
        <v>2319</v>
      </c>
      <c r="H31" s="9" t="s">
        <v>14</v>
      </c>
      <c r="I31" s="9" t="s">
        <v>66</v>
      </c>
      <c r="J31" s="10" t="s">
        <v>15</v>
      </c>
      <c r="K31" s="15" t="str">
        <f>VLOOKUP(J31,DADOS!$A$3:$B$100,2,FALSE)</f>
        <v>EE-GI-001-002</v>
      </c>
      <c r="L31" s="15" t="s">
        <v>1955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1</v>
      </c>
      <c r="W31" s="11" t="s">
        <v>373</v>
      </c>
      <c r="X31" s="12" t="s">
        <v>14</v>
      </c>
      <c r="Y31" s="12" t="s">
        <v>14</v>
      </c>
      <c r="Z31" s="13" t="s">
        <v>355</v>
      </c>
    </row>
    <row r="32" spans="1:26" ht="19.95" customHeight="1" x14ac:dyDescent="0.3">
      <c r="A32" s="6">
        <v>45691</v>
      </c>
      <c r="B32" s="7" t="s">
        <v>339</v>
      </c>
      <c r="C32" s="8" t="s">
        <v>2320</v>
      </c>
      <c r="D32" s="8" t="s">
        <v>269</v>
      </c>
      <c r="E32" s="8" t="s">
        <v>342</v>
      </c>
      <c r="F32" s="9" t="s">
        <v>2321</v>
      </c>
      <c r="G32" s="9" t="s">
        <v>2311</v>
      </c>
      <c r="H32" s="9" t="s">
        <v>14</v>
      </c>
      <c r="I32" s="9" t="s">
        <v>69</v>
      </c>
      <c r="J32" s="10" t="s">
        <v>176</v>
      </c>
      <c r="K32" s="15" t="str">
        <f>VLOOKUP(J32,DADOS!$A$3:$B$100,2,FALSE)</f>
        <v>EE-GI-001-011</v>
      </c>
      <c r="L32" s="15" t="s">
        <v>1955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269</v>
      </c>
      <c r="X32" s="12" t="s">
        <v>14</v>
      </c>
      <c r="Y32" s="12" t="s">
        <v>14</v>
      </c>
      <c r="Z32" s="13" t="s">
        <v>355</v>
      </c>
    </row>
    <row r="33" spans="1:26" ht="19.95" customHeight="1" x14ac:dyDescent="0.3">
      <c r="A33" s="6">
        <v>45691</v>
      </c>
      <c r="B33" s="7" t="s">
        <v>339</v>
      </c>
      <c r="C33" s="8" t="s">
        <v>2322</v>
      </c>
      <c r="D33" s="8" t="s">
        <v>269</v>
      </c>
      <c r="E33" s="8" t="s">
        <v>342</v>
      </c>
      <c r="F33" s="9" t="s">
        <v>2323</v>
      </c>
      <c r="G33" s="9" t="s">
        <v>2308</v>
      </c>
      <c r="H33" s="9" t="s">
        <v>14</v>
      </c>
      <c r="I33" s="9" t="s">
        <v>69</v>
      </c>
      <c r="J33" s="10" t="s">
        <v>176</v>
      </c>
      <c r="K33" s="15" t="str">
        <f>VLOOKUP(J33,DADOS!$A$3:$B$100,2,FALSE)</f>
        <v>EE-GI-001-011</v>
      </c>
      <c r="L33" s="15" t="s">
        <v>1955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1</v>
      </c>
      <c r="W33" s="11" t="s">
        <v>269</v>
      </c>
      <c r="X33" s="12" t="s">
        <v>14</v>
      </c>
      <c r="Y33" s="12" t="s">
        <v>14</v>
      </c>
      <c r="Z33" s="13" t="s">
        <v>355</v>
      </c>
    </row>
    <row r="34" spans="1:26" ht="19.95" customHeight="1" x14ac:dyDescent="0.3">
      <c r="A34" s="6">
        <v>45691</v>
      </c>
      <c r="B34" s="7" t="s">
        <v>339</v>
      </c>
      <c r="C34" s="8" t="s">
        <v>2324</v>
      </c>
      <c r="D34" s="8" t="s">
        <v>281</v>
      </c>
      <c r="E34" s="8" t="s">
        <v>342</v>
      </c>
      <c r="F34" s="9" t="s">
        <v>2325</v>
      </c>
      <c r="G34" s="9" t="s">
        <v>2308</v>
      </c>
      <c r="H34" s="9" t="s">
        <v>14</v>
      </c>
      <c r="I34" s="9" t="s">
        <v>69</v>
      </c>
      <c r="J34" s="10" t="s">
        <v>176</v>
      </c>
      <c r="K34" s="15" t="str">
        <f>VLOOKUP(J34,DADOS!$A$3:$B$100,2,FALSE)</f>
        <v>EE-GI-001-011</v>
      </c>
      <c r="L34" s="15" t="s">
        <v>1955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1</v>
      </c>
      <c r="W34" s="11" t="s">
        <v>281</v>
      </c>
      <c r="X34" s="12" t="s">
        <v>14</v>
      </c>
      <c r="Y34" s="12" t="s">
        <v>14</v>
      </c>
      <c r="Z34" s="13" t="s">
        <v>355</v>
      </c>
    </row>
    <row r="35" spans="1:26" ht="19.95" customHeight="1" x14ac:dyDescent="0.3">
      <c r="A35" s="6">
        <v>45691</v>
      </c>
      <c r="B35" s="7" t="s">
        <v>930</v>
      </c>
      <c r="C35" s="8" t="s">
        <v>2537</v>
      </c>
      <c r="D35" s="8" t="s">
        <v>269</v>
      </c>
      <c r="E35" s="8" t="s">
        <v>2566</v>
      </c>
      <c r="F35" s="9" t="s">
        <v>2567</v>
      </c>
      <c r="G35" s="9" t="s">
        <v>2540</v>
      </c>
      <c r="H35" s="9" t="s">
        <v>2568</v>
      </c>
      <c r="I35" s="9" t="s">
        <v>70</v>
      </c>
      <c r="J35" s="10" t="s">
        <v>174</v>
      </c>
      <c r="K35" s="15" t="str">
        <f>VLOOKUP(J35,DADOS!$A$3:$B$100,2,FALSE)</f>
        <v>EE-GI-001-007</v>
      </c>
      <c r="L35" s="15" t="s">
        <v>260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1</v>
      </c>
      <c r="W35" s="11" t="s">
        <v>269</v>
      </c>
      <c r="X35" s="12" t="s">
        <v>14</v>
      </c>
      <c r="Y35" s="12" t="s">
        <v>14</v>
      </c>
      <c r="Z35" s="13" t="s">
        <v>2536</v>
      </c>
    </row>
    <row r="36" spans="1:26" ht="19.95" customHeight="1" x14ac:dyDescent="0.3">
      <c r="A36" s="6">
        <v>45691</v>
      </c>
      <c r="B36" s="7" t="s">
        <v>930</v>
      </c>
      <c r="C36" s="8" t="s">
        <v>2537</v>
      </c>
      <c r="D36" s="8" t="s">
        <v>269</v>
      </c>
      <c r="E36" s="8" t="s">
        <v>2566</v>
      </c>
      <c r="F36" s="9" t="s">
        <v>2569</v>
      </c>
      <c r="G36" s="9" t="s">
        <v>2540</v>
      </c>
      <c r="H36" s="9" t="s">
        <v>2568</v>
      </c>
      <c r="I36" s="9" t="s">
        <v>70</v>
      </c>
      <c r="J36" s="10" t="s">
        <v>174</v>
      </c>
      <c r="K36" s="15" t="str">
        <f>VLOOKUP(J36,DADOS!$A$3:$B$100,2,FALSE)</f>
        <v>EE-GI-001-007</v>
      </c>
      <c r="L36" s="15" t="s">
        <v>260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1</v>
      </c>
      <c r="W36" s="11" t="s">
        <v>269</v>
      </c>
      <c r="X36" s="12" t="s">
        <v>14</v>
      </c>
      <c r="Y36" s="12" t="s">
        <v>14</v>
      </c>
      <c r="Z36" s="13" t="s">
        <v>2536</v>
      </c>
    </row>
    <row r="37" spans="1:26" ht="19.95" customHeight="1" x14ac:dyDescent="0.3">
      <c r="A37" s="6">
        <v>45691</v>
      </c>
      <c r="B37" s="7" t="s">
        <v>930</v>
      </c>
      <c r="C37" s="8" t="s">
        <v>2537</v>
      </c>
      <c r="D37" s="8" t="s">
        <v>269</v>
      </c>
      <c r="E37" s="8" t="s">
        <v>2566</v>
      </c>
      <c r="F37" s="9" t="s">
        <v>2570</v>
      </c>
      <c r="G37" s="9" t="s">
        <v>2540</v>
      </c>
      <c r="H37" s="9" t="s">
        <v>2568</v>
      </c>
      <c r="I37" s="9" t="s">
        <v>70</v>
      </c>
      <c r="J37" s="10" t="s">
        <v>174</v>
      </c>
      <c r="K37" s="15" t="str">
        <f>VLOOKUP(J37,DADOS!$A$3:$B$100,2,FALSE)</f>
        <v>EE-GI-001-007</v>
      </c>
      <c r="L37" s="15" t="s">
        <v>260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281</v>
      </c>
      <c r="X37" s="12" t="s">
        <v>14</v>
      </c>
      <c r="Y37" s="12" t="s">
        <v>14</v>
      </c>
      <c r="Z37" s="13" t="s">
        <v>2536</v>
      </c>
    </row>
    <row r="38" spans="1:26" ht="19.95" customHeight="1" x14ac:dyDescent="0.3">
      <c r="A38" s="6">
        <v>45691</v>
      </c>
      <c r="B38" s="7" t="s">
        <v>930</v>
      </c>
      <c r="C38" s="8" t="s">
        <v>2537</v>
      </c>
      <c r="D38" s="8" t="s">
        <v>281</v>
      </c>
      <c r="E38" s="8" t="s">
        <v>2566</v>
      </c>
      <c r="F38" s="9" t="s">
        <v>2571</v>
      </c>
      <c r="G38" s="9" t="s">
        <v>2540</v>
      </c>
      <c r="H38" s="9" t="s">
        <v>2568</v>
      </c>
      <c r="I38" s="9" t="s">
        <v>70</v>
      </c>
      <c r="J38" s="10" t="s">
        <v>174</v>
      </c>
      <c r="K38" s="15" t="str">
        <f>VLOOKUP(J38,DADOS!$A$3:$B$100,2,FALSE)</f>
        <v>EE-GI-001-007</v>
      </c>
      <c r="L38" s="15" t="s">
        <v>260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269</v>
      </c>
      <c r="X38" s="12" t="s">
        <v>14</v>
      </c>
      <c r="Y38" s="12" t="s">
        <v>14</v>
      </c>
      <c r="Z38" s="13" t="s">
        <v>2536</v>
      </c>
    </row>
    <row r="39" spans="1:26" ht="19.95" customHeight="1" x14ac:dyDescent="0.3">
      <c r="A39" s="6">
        <v>45691</v>
      </c>
      <c r="B39" s="7" t="s">
        <v>930</v>
      </c>
      <c r="C39" s="8" t="s">
        <v>2572</v>
      </c>
      <c r="D39" s="8" t="s">
        <v>730</v>
      </c>
      <c r="E39" s="8" t="s">
        <v>2566</v>
      </c>
      <c r="F39" s="9" t="s">
        <v>2573</v>
      </c>
      <c r="G39" s="9" t="s">
        <v>2574</v>
      </c>
      <c r="H39" s="9" t="s">
        <v>2568</v>
      </c>
      <c r="I39" s="9" t="s">
        <v>68</v>
      </c>
      <c r="J39" s="10" t="s">
        <v>174</v>
      </c>
      <c r="K39" s="15" t="str">
        <f>VLOOKUP(J39,DADOS!$A$3:$B$100,2,FALSE)</f>
        <v>EE-GI-001-007</v>
      </c>
      <c r="L39" s="15" t="s">
        <v>260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730</v>
      </c>
      <c r="X39" s="12" t="s">
        <v>14</v>
      </c>
      <c r="Y39" s="12" t="s">
        <v>14</v>
      </c>
      <c r="Z39" s="13" t="s">
        <v>2536</v>
      </c>
    </row>
    <row r="40" spans="1:26" ht="19.95" customHeight="1" x14ac:dyDescent="0.3">
      <c r="A40" s="6">
        <v>45691</v>
      </c>
      <c r="B40" s="7" t="s">
        <v>930</v>
      </c>
      <c r="C40" s="8" t="s">
        <v>2575</v>
      </c>
      <c r="D40" s="8" t="s">
        <v>269</v>
      </c>
      <c r="E40" s="8" t="s">
        <v>2566</v>
      </c>
      <c r="F40" s="9" t="s">
        <v>2576</v>
      </c>
      <c r="G40" s="9" t="s">
        <v>2577</v>
      </c>
      <c r="H40" s="9" t="s">
        <v>2568</v>
      </c>
      <c r="I40" s="9" t="s">
        <v>70</v>
      </c>
      <c r="J40" s="10" t="s">
        <v>174</v>
      </c>
      <c r="K40" s="15" t="str">
        <f>VLOOKUP(J40,DADOS!$A$3:$B$100,2,FALSE)</f>
        <v>EE-GI-001-007</v>
      </c>
      <c r="L40" s="15" t="s">
        <v>260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1</v>
      </c>
      <c r="W40" s="11" t="s">
        <v>269</v>
      </c>
      <c r="X40" s="12" t="s">
        <v>14</v>
      </c>
      <c r="Y40" s="12" t="s">
        <v>14</v>
      </c>
      <c r="Z40" s="13" t="s">
        <v>2536</v>
      </c>
    </row>
    <row r="41" spans="1:26" ht="19.95" customHeight="1" x14ac:dyDescent="0.3">
      <c r="A41" s="6">
        <v>45691</v>
      </c>
      <c r="B41" s="7" t="s">
        <v>930</v>
      </c>
      <c r="C41" s="8" t="s">
        <v>2575</v>
      </c>
      <c r="D41" s="8" t="s">
        <v>269</v>
      </c>
      <c r="E41" s="8" t="s">
        <v>2566</v>
      </c>
      <c r="F41" s="9" t="s">
        <v>2679</v>
      </c>
      <c r="G41" s="9" t="s">
        <v>2577</v>
      </c>
      <c r="H41" s="9" t="s">
        <v>2568</v>
      </c>
      <c r="I41" s="9" t="s">
        <v>70</v>
      </c>
      <c r="J41" s="10" t="s">
        <v>174</v>
      </c>
      <c r="K41" s="15" t="str">
        <f>VLOOKUP(J41,DADOS!$A$3:$B$100,2,FALSE)</f>
        <v>EE-GI-001-007</v>
      </c>
      <c r="L41" s="15" t="s">
        <v>260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1</v>
      </c>
      <c r="W41" s="11" t="s">
        <v>269</v>
      </c>
      <c r="X41" s="12" t="s">
        <v>14</v>
      </c>
      <c r="Y41" s="12" t="s">
        <v>14</v>
      </c>
      <c r="Z41" s="13" t="s">
        <v>2536</v>
      </c>
    </row>
    <row r="42" spans="1:26" ht="19.95" customHeight="1" x14ac:dyDescent="0.3">
      <c r="A42" s="6">
        <v>45691</v>
      </c>
      <c r="B42" s="7" t="s">
        <v>362</v>
      </c>
      <c r="C42" s="8" t="s">
        <v>2735</v>
      </c>
      <c r="D42" s="8" t="s">
        <v>364</v>
      </c>
      <c r="E42" s="8" t="s">
        <v>2736</v>
      </c>
      <c r="F42" s="9" t="s">
        <v>2737</v>
      </c>
      <c r="G42" s="34"/>
      <c r="H42" s="9" t="s">
        <v>2738</v>
      </c>
      <c r="I42" s="9" t="s">
        <v>2734</v>
      </c>
      <c r="J42" s="10" t="s">
        <v>16</v>
      </c>
      <c r="K42" s="15" t="str">
        <f>VLOOKUP(J42,DADOS!$A$3:$B$100,2,FALSE)</f>
        <v>EE-GI-001-003</v>
      </c>
      <c r="L42" s="15" t="s">
        <v>1955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1</v>
      </c>
      <c r="W42" s="11" t="s">
        <v>364</v>
      </c>
      <c r="X42" s="12" t="s">
        <v>14</v>
      </c>
      <c r="Y42" s="12" t="s">
        <v>14</v>
      </c>
      <c r="Z42" s="13" t="s">
        <v>2536</v>
      </c>
    </row>
    <row r="43" spans="1:26" ht="19.95" customHeight="1" x14ac:dyDescent="0.3">
      <c r="A43" s="6">
        <v>45691</v>
      </c>
      <c r="B43" s="7" t="s">
        <v>362</v>
      </c>
      <c r="C43" s="8" t="s">
        <v>2735</v>
      </c>
      <c r="D43" s="8" t="s">
        <v>269</v>
      </c>
      <c r="E43" s="8" t="s">
        <v>2746</v>
      </c>
      <c r="F43" s="9" t="s">
        <v>2747</v>
      </c>
      <c r="G43" s="34"/>
      <c r="H43" s="9" t="s">
        <v>2748</v>
      </c>
      <c r="I43" s="9" t="s">
        <v>2734</v>
      </c>
      <c r="J43" s="10" t="s">
        <v>16</v>
      </c>
      <c r="K43" s="15" t="str">
        <f>VLOOKUP(J43,DADOS!$A$3:$B$100,2,FALSE)</f>
        <v>EE-GI-001-003</v>
      </c>
      <c r="L43" s="15" t="s">
        <v>1955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1</v>
      </c>
      <c r="W43" s="11" t="s">
        <v>269</v>
      </c>
      <c r="X43" s="12" t="s">
        <v>14</v>
      </c>
      <c r="Y43" s="12" t="s">
        <v>14</v>
      </c>
      <c r="Z43" s="13" t="s">
        <v>2536</v>
      </c>
    </row>
    <row r="44" spans="1:26" ht="19.95" customHeight="1" x14ac:dyDescent="0.3">
      <c r="A44" s="6">
        <v>45691</v>
      </c>
      <c r="B44" s="7" t="s">
        <v>339</v>
      </c>
      <c r="C44" s="8" t="s">
        <v>2306</v>
      </c>
      <c r="D44" s="8" t="s">
        <v>269</v>
      </c>
      <c r="E44" s="8" t="s">
        <v>342</v>
      </c>
      <c r="F44" s="9" t="s">
        <v>2326</v>
      </c>
      <c r="G44" s="9" t="s">
        <v>2308</v>
      </c>
      <c r="H44" s="9" t="s">
        <v>14</v>
      </c>
      <c r="I44" s="9" t="s">
        <v>69</v>
      </c>
      <c r="J44" s="10" t="s">
        <v>176</v>
      </c>
      <c r="K44" s="15" t="str">
        <f>VLOOKUP(J44,DADOS!$A$3:$B$100,2,FALSE)</f>
        <v>EE-GI-001-011</v>
      </c>
      <c r="L44" s="15" t="s">
        <v>1955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1</v>
      </c>
      <c r="W44" s="11" t="s">
        <v>269</v>
      </c>
      <c r="X44" s="12" t="s">
        <v>14</v>
      </c>
      <c r="Y44" s="12" t="s">
        <v>14</v>
      </c>
      <c r="Z44" s="13" t="s">
        <v>355</v>
      </c>
    </row>
    <row r="45" spans="1:26" ht="19.95" customHeight="1" x14ac:dyDescent="0.3">
      <c r="A45" s="6">
        <v>45692</v>
      </c>
      <c r="B45" s="7" t="s">
        <v>345</v>
      </c>
      <c r="C45" s="8" t="s">
        <v>346</v>
      </c>
      <c r="D45" s="8" t="s">
        <v>269</v>
      </c>
      <c r="E45" s="8" t="s">
        <v>347</v>
      </c>
      <c r="F45" s="9" t="s">
        <v>349</v>
      </c>
      <c r="G45" s="9" t="s">
        <v>350</v>
      </c>
      <c r="H45" s="34"/>
      <c r="I45" s="9" t="s">
        <v>64</v>
      </c>
      <c r="J45" s="10" t="s">
        <v>186</v>
      </c>
      <c r="K45" s="15" t="str">
        <f>VLOOKUP(J45,DADOS!$A$3:$B$100,2,FALSE)</f>
        <v>EE-GI-001-008</v>
      </c>
      <c r="L45" s="15" t="s">
        <v>354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1</v>
      </c>
      <c r="U45" s="17" t="b">
        <v>1</v>
      </c>
      <c r="V45" s="17" t="b">
        <v>1</v>
      </c>
      <c r="W45" s="11" t="s">
        <v>269</v>
      </c>
      <c r="X45" s="12" t="s">
        <v>14</v>
      </c>
      <c r="Y45" s="12" t="s">
        <v>14</v>
      </c>
      <c r="Z45" s="13" t="s">
        <v>355</v>
      </c>
    </row>
    <row r="46" spans="1:26" ht="19.95" customHeight="1" x14ac:dyDescent="0.3">
      <c r="A46" s="6">
        <v>45692</v>
      </c>
      <c r="B46" s="7" t="s">
        <v>345</v>
      </c>
      <c r="C46" s="8" t="s">
        <v>346</v>
      </c>
      <c r="D46" s="8" t="s">
        <v>269</v>
      </c>
      <c r="E46" s="8" t="s">
        <v>347</v>
      </c>
      <c r="F46" s="9" t="s">
        <v>358</v>
      </c>
      <c r="G46" s="9" t="s">
        <v>315</v>
      </c>
      <c r="H46" s="34"/>
      <c r="I46" s="9" t="s">
        <v>351</v>
      </c>
      <c r="J46" s="10" t="s">
        <v>186</v>
      </c>
      <c r="K46" s="15" t="str">
        <f>VLOOKUP(J46,DADOS!$A$3:$B$100,2,FALSE)</f>
        <v>EE-GI-001-008</v>
      </c>
      <c r="L46" s="15" t="s">
        <v>354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1</v>
      </c>
      <c r="U46" s="17" t="b">
        <v>1</v>
      </c>
      <c r="V46" s="17" t="b">
        <v>1</v>
      </c>
      <c r="W46" s="11" t="s">
        <v>269</v>
      </c>
      <c r="X46" s="12" t="s">
        <v>14</v>
      </c>
      <c r="Y46" s="12" t="s">
        <v>14</v>
      </c>
      <c r="Z46" s="13" t="s">
        <v>355</v>
      </c>
    </row>
    <row r="47" spans="1:26" ht="19.95" customHeight="1" x14ac:dyDescent="0.3">
      <c r="A47" s="6">
        <v>45692</v>
      </c>
      <c r="B47" s="7" t="s">
        <v>345</v>
      </c>
      <c r="C47" s="8" t="s">
        <v>346</v>
      </c>
      <c r="D47" s="8" t="s">
        <v>269</v>
      </c>
      <c r="E47" s="8" t="s">
        <v>348</v>
      </c>
      <c r="F47" s="9" t="s">
        <v>359</v>
      </c>
      <c r="G47" s="9" t="s">
        <v>315</v>
      </c>
      <c r="H47" s="34"/>
      <c r="I47" s="9" t="s">
        <v>352</v>
      </c>
      <c r="J47" s="10" t="s">
        <v>186</v>
      </c>
      <c r="K47" s="15" t="str">
        <f>VLOOKUP(J47,DADOS!$A$3:$B$100,2,FALSE)</f>
        <v>EE-GI-001-008</v>
      </c>
      <c r="L47" s="15" t="s">
        <v>354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1</v>
      </c>
      <c r="U47" s="17" t="b">
        <v>1</v>
      </c>
      <c r="V47" s="17" t="b">
        <v>1</v>
      </c>
      <c r="W47" s="11" t="s">
        <v>356</v>
      </c>
      <c r="X47" s="12" t="s">
        <v>269</v>
      </c>
      <c r="Y47" s="12" t="s">
        <v>357</v>
      </c>
      <c r="Z47" s="12" t="s">
        <v>355</v>
      </c>
    </row>
    <row r="48" spans="1:26" ht="19.95" customHeight="1" x14ac:dyDescent="0.3">
      <c r="A48" s="6">
        <v>45692</v>
      </c>
      <c r="B48" s="7" t="s">
        <v>345</v>
      </c>
      <c r="C48" s="8" t="s">
        <v>346</v>
      </c>
      <c r="D48" s="8" t="s">
        <v>269</v>
      </c>
      <c r="E48" s="8" t="s">
        <v>348</v>
      </c>
      <c r="F48" s="9" t="s">
        <v>360</v>
      </c>
      <c r="G48" s="9" t="s">
        <v>361</v>
      </c>
      <c r="H48" s="34"/>
      <c r="I48" s="9" t="s">
        <v>353</v>
      </c>
      <c r="J48" s="10" t="s">
        <v>186</v>
      </c>
      <c r="K48" s="15" t="str">
        <f>VLOOKUP(J48,DADOS!$A$3:$B$100,2,FALSE)</f>
        <v>EE-GI-001-008</v>
      </c>
      <c r="L48" s="15" t="s">
        <v>354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1</v>
      </c>
      <c r="U48" s="17" t="b">
        <v>1</v>
      </c>
      <c r="V48" s="17" t="b">
        <v>1</v>
      </c>
      <c r="W48" s="11" t="s">
        <v>356</v>
      </c>
      <c r="X48" s="12" t="s">
        <v>269</v>
      </c>
      <c r="Y48" s="12" t="s">
        <v>357</v>
      </c>
      <c r="Z48" s="12" t="s">
        <v>355</v>
      </c>
    </row>
    <row r="49" spans="1:26" ht="19.95" customHeight="1" x14ac:dyDescent="0.3">
      <c r="A49" s="6">
        <v>45692</v>
      </c>
      <c r="B49" s="7" t="s">
        <v>401</v>
      </c>
      <c r="C49" s="8" t="s">
        <v>402</v>
      </c>
      <c r="D49" s="8" t="s">
        <v>373</v>
      </c>
      <c r="E49" s="8" t="s">
        <v>403</v>
      </c>
      <c r="F49" s="9" t="s">
        <v>404</v>
      </c>
      <c r="G49" s="9" t="s">
        <v>405</v>
      </c>
      <c r="H49" s="66" t="s">
        <v>2794</v>
      </c>
      <c r="I49" s="9" t="s">
        <v>66</v>
      </c>
      <c r="J49" s="10" t="s">
        <v>186</v>
      </c>
      <c r="K49" s="15" t="str">
        <f>VLOOKUP(J49,DADOS!$A$3:$B$100,2,FALSE)</f>
        <v>EE-GI-001-008</v>
      </c>
      <c r="L49" s="15" t="s">
        <v>260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1</v>
      </c>
      <c r="W49" s="11" t="s">
        <v>373</v>
      </c>
      <c r="X49" s="12" t="s">
        <v>14</v>
      </c>
      <c r="Y49" s="12" t="s">
        <v>14</v>
      </c>
      <c r="Z49" s="13" t="s">
        <v>261</v>
      </c>
    </row>
    <row r="50" spans="1:26" ht="19.95" customHeight="1" x14ac:dyDescent="0.3">
      <c r="A50" s="6">
        <v>45692</v>
      </c>
      <c r="B50" s="7" t="s">
        <v>362</v>
      </c>
      <c r="C50" s="8" t="s">
        <v>363</v>
      </c>
      <c r="D50" s="8" t="s">
        <v>364</v>
      </c>
      <c r="E50" s="8" t="s">
        <v>365</v>
      </c>
      <c r="F50" s="9" t="s">
        <v>366</v>
      </c>
      <c r="G50" s="9" t="s">
        <v>367</v>
      </c>
      <c r="H50" s="9" t="s">
        <v>14</v>
      </c>
      <c r="I50" s="9" t="s">
        <v>74</v>
      </c>
      <c r="J50" s="10" t="s">
        <v>14</v>
      </c>
      <c r="K50" s="15" t="e">
        <f>VLOOKUP(J50,DADOS!$A$3:$B$100,2,FALSE)</f>
        <v>#N/A</v>
      </c>
      <c r="L50" s="15" t="s">
        <v>260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364</v>
      </c>
      <c r="X50" s="12" t="s">
        <v>14</v>
      </c>
      <c r="Y50" s="12" t="s">
        <v>14</v>
      </c>
      <c r="Z50" s="13" t="s">
        <v>261</v>
      </c>
    </row>
    <row r="51" spans="1:26" ht="19.95" customHeight="1" x14ac:dyDescent="0.3">
      <c r="A51" s="6">
        <v>45692</v>
      </c>
      <c r="B51" s="7" t="s">
        <v>362</v>
      </c>
      <c r="C51" s="8" t="s">
        <v>515</v>
      </c>
      <c r="D51" s="8" t="s">
        <v>269</v>
      </c>
      <c r="E51" s="8" t="s">
        <v>516</v>
      </c>
      <c r="F51" s="9" t="s">
        <v>518</v>
      </c>
      <c r="G51" s="9" t="s">
        <v>519</v>
      </c>
      <c r="H51" s="9" t="s">
        <v>520</v>
      </c>
      <c r="I51" s="9" t="s">
        <v>69</v>
      </c>
      <c r="J51" s="10" t="s">
        <v>176</v>
      </c>
      <c r="K51" s="15" t="str">
        <f>VLOOKUP(J51,DADOS!$A$3:$B$100,2,FALSE)</f>
        <v>EE-GI-001-011</v>
      </c>
      <c r="L51" s="15" t="s">
        <v>260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1</v>
      </c>
      <c r="W51" s="11" t="s">
        <v>269</v>
      </c>
      <c r="X51" s="12" t="s">
        <v>14</v>
      </c>
      <c r="Y51" s="12" t="s">
        <v>14</v>
      </c>
      <c r="Z51" s="13" t="s">
        <v>261</v>
      </c>
    </row>
    <row r="52" spans="1:26" ht="19.95" customHeight="1" x14ac:dyDescent="0.3">
      <c r="A52" s="6">
        <v>45692</v>
      </c>
      <c r="B52" s="7" t="s">
        <v>362</v>
      </c>
      <c r="C52" s="8" t="s">
        <v>515</v>
      </c>
      <c r="D52" s="8" t="s">
        <v>269</v>
      </c>
      <c r="E52" s="8" t="s">
        <v>517</v>
      </c>
      <c r="F52" s="9" t="s">
        <v>522</v>
      </c>
      <c r="G52" s="9" t="s">
        <v>519</v>
      </c>
      <c r="H52" s="9" t="s">
        <v>521</v>
      </c>
      <c r="I52" s="9" t="s">
        <v>69</v>
      </c>
      <c r="J52" s="10" t="s">
        <v>176</v>
      </c>
      <c r="K52" s="15" t="str">
        <f>VLOOKUP(J52,DADOS!$A$3:$B$100,2,FALSE)</f>
        <v>EE-GI-001-011</v>
      </c>
      <c r="L52" s="15" t="s">
        <v>260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1</v>
      </c>
      <c r="W52" s="11" t="s">
        <v>269</v>
      </c>
      <c r="X52" s="12" t="s">
        <v>14</v>
      </c>
      <c r="Y52" s="12" t="s">
        <v>14</v>
      </c>
      <c r="Z52" s="13" t="s">
        <v>261</v>
      </c>
    </row>
    <row r="53" spans="1:26" ht="19.95" customHeight="1" x14ac:dyDescent="0.3">
      <c r="A53" s="6">
        <v>45692</v>
      </c>
      <c r="B53" s="7" t="s">
        <v>362</v>
      </c>
      <c r="C53" s="8" t="s">
        <v>2722</v>
      </c>
      <c r="D53" s="8" t="s">
        <v>269</v>
      </c>
      <c r="E53" s="8" t="s">
        <v>2723</v>
      </c>
      <c r="F53" s="9" t="s">
        <v>2724</v>
      </c>
      <c r="G53" s="34"/>
      <c r="H53" s="9" t="s">
        <v>2725</v>
      </c>
      <c r="I53" s="9" t="s">
        <v>70</v>
      </c>
      <c r="J53" s="10" t="s">
        <v>16</v>
      </c>
      <c r="K53" s="15" t="str">
        <f>VLOOKUP(J53,DADOS!$A$3:$B$100,2,FALSE)</f>
        <v>EE-GI-001-003</v>
      </c>
      <c r="L53" s="15" t="s">
        <v>260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269</v>
      </c>
      <c r="X53" s="12" t="s">
        <v>14</v>
      </c>
      <c r="Y53" s="12" t="s">
        <v>14</v>
      </c>
      <c r="Z53" s="13" t="s">
        <v>2536</v>
      </c>
    </row>
    <row r="54" spans="1:26" ht="19.95" customHeight="1" x14ac:dyDescent="0.3">
      <c r="A54" s="6">
        <v>45692</v>
      </c>
      <c r="B54" s="7" t="s">
        <v>362</v>
      </c>
      <c r="C54" s="8" t="s">
        <v>2722</v>
      </c>
      <c r="D54" s="8" t="s">
        <v>269</v>
      </c>
      <c r="E54" s="8" t="s">
        <v>2723</v>
      </c>
      <c r="F54" s="9" t="s">
        <v>2726</v>
      </c>
      <c r="G54" s="34"/>
      <c r="H54" s="9" t="s">
        <v>2725</v>
      </c>
      <c r="I54" s="9" t="s">
        <v>70</v>
      </c>
      <c r="J54" s="10" t="s">
        <v>16</v>
      </c>
      <c r="K54" s="15" t="str">
        <f>VLOOKUP(J54,DADOS!$A$3:$B$100,2,FALSE)</f>
        <v>EE-GI-001-003</v>
      </c>
      <c r="L54" s="15" t="s">
        <v>260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1</v>
      </c>
      <c r="W54" s="11" t="s">
        <v>269</v>
      </c>
      <c r="X54" s="12" t="s">
        <v>14</v>
      </c>
      <c r="Y54" s="12" t="s">
        <v>14</v>
      </c>
      <c r="Z54" s="13" t="s">
        <v>2536</v>
      </c>
    </row>
    <row r="55" spans="1:26" ht="19.95" customHeight="1" x14ac:dyDescent="0.3">
      <c r="A55" s="6">
        <v>45692</v>
      </c>
      <c r="B55" s="7" t="s">
        <v>362</v>
      </c>
      <c r="C55" s="8" t="s">
        <v>2722</v>
      </c>
      <c r="D55" s="8" t="s">
        <v>269</v>
      </c>
      <c r="E55" s="8" t="s">
        <v>2727</v>
      </c>
      <c r="F55" s="9" t="s">
        <v>2728</v>
      </c>
      <c r="G55" s="34"/>
      <c r="H55" s="9" t="s">
        <v>2733</v>
      </c>
      <c r="I55" s="9" t="s">
        <v>70</v>
      </c>
      <c r="J55" s="10" t="s">
        <v>16</v>
      </c>
      <c r="K55" s="15" t="str">
        <f>VLOOKUP(J55,DADOS!$A$3:$B$100,2,FALSE)</f>
        <v>EE-GI-001-003</v>
      </c>
      <c r="L55" s="15" t="s">
        <v>260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1</v>
      </c>
      <c r="W55" s="11" t="s">
        <v>269</v>
      </c>
      <c r="X55" s="12" t="s">
        <v>14</v>
      </c>
      <c r="Y55" s="12" t="s">
        <v>14</v>
      </c>
      <c r="Z55" s="13" t="s">
        <v>2536</v>
      </c>
    </row>
    <row r="56" spans="1:26" ht="19.95" customHeight="1" x14ac:dyDescent="0.3">
      <c r="A56" s="6">
        <v>45692</v>
      </c>
      <c r="B56" s="7" t="s">
        <v>362</v>
      </c>
      <c r="C56" s="8" t="s">
        <v>2729</v>
      </c>
      <c r="D56" s="8" t="s">
        <v>269</v>
      </c>
      <c r="E56" s="8" t="s">
        <v>2727</v>
      </c>
      <c r="F56" s="9" t="s">
        <v>2730</v>
      </c>
      <c r="G56" s="34"/>
      <c r="H56" s="9" t="s">
        <v>2733</v>
      </c>
      <c r="I56" s="9" t="s">
        <v>70</v>
      </c>
      <c r="J56" s="10" t="s">
        <v>16</v>
      </c>
      <c r="K56" s="15" t="str">
        <f>VLOOKUP(J56,DADOS!$A$3:$B$100,2,FALSE)</f>
        <v>EE-GI-001-003</v>
      </c>
      <c r="L56" s="15" t="s">
        <v>260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1</v>
      </c>
      <c r="W56" s="11" t="s">
        <v>269</v>
      </c>
      <c r="X56" s="12" t="s">
        <v>14</v>
      </c>
      <c r="Y56" s="12" t="s">
        <v>14</v>
      </c>
      <c r="Z56" s="13" t="s">
        <v>2536</v>
      </c>
    </row>
    <row r="57" spans="1:26" ht="19.95" customHeight="1" x14ac:dyDescent="0.3">
      <c r="A57" s="6">
        <v>45692</v>
      </c>
      <c r="B57" s="7" t="s">
        <v>362</v>
      </c>
      <c r="C57" s="8" t="s">
        <v>2731</v>
      </c>
      <c r="D57" s="8" t="s">
        <v>269</v>
      </c>
      <c r="E57" s="8" t="s">
        <v>2727</v>
      </c>
      <c r="F57" s="9" t="s">
        <v>2732</v>
      </c>
      <c r="G57" s="34"/>
      <c r="H57" s="9" t="s">
        <v>2733</v>
      </c>
      <c r="I57" s="9" t="s">
        <v>70</v>
      </c>
      <c r="J57" s="10" t="s">
        <v>16</v>
      </c>
      <c r="K57" s="15" t="str">
        <f>VLOOKUP(J57,DADOS!$A$3:$B$100,2,FALSE)</f>
        <v>EE-GI-001-003</v>
      </c>
      <c r="L57" s="15" t="s">
        <v>260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0</v>
      </c>
      <c r="S57" s="17" t="b">
        <v>0</v>
      </c>
      <c r="T57" s="17" t="b">
        <v>0</v>
      </c>
      <c r="U57" s="17" t="b">
        <v>0</v>
      </c>
      <c r="V57" s="17" t="b">
        <v>1</v>
      </c>
      <c r="W57" s="11" t="s">
        <v>269</v>
      </c>
      <c r="X57" s="12" t="s">
        <v>14</v>
      </c>
      <c r="Y57" s="12" t="s">
        <v>14</v>
      </c>
      <c r="Z57" s="13" t="s">
        <v>2536</v>
      </c>
    </row>
    <row r="58" spans="1:26" ht="19.95" customHeight="1" x14ac:dyDescent="0.3">
      <c r="A58" s="6">
        <v>45692</v>
      </c>
      <c r="B58" s="7" t="s">
        <v>362</v>
      </c>
      <c r="C58" s="8" t="s">
        <v>2722</v>
      </c>
      <c r="D58" s="8" t="s">
        <v>269</v>
      </c>
      <c r="E58" s="8" t="s">
        <v>2739</v>
      </c>
      <c r="F58" s="9" t="s">
        <v>2740</v>
      </c>
      <c r="G58" s="34"/>
      <c r="H58" s="9" t="s">
        <v>2744</v>
      </c>
      <c r="I58" s="9" t="s">
        <v>70</v>
      </c>
      <c r="J58" s="10" t="s">
        <v>16</v>
      </c>
      <c r="K58" s="15" t="str">
        <f>VLOOKUP(J58,DADOS!$A$3:$B$100,2,FALSE)</f>
        <v>EE-GI-001-003</v>
      </c>
      <c r="L58" s="15" t="s">
        <v>260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269</v>
      </c>
      <c r="X58" s="12" t="s">
        <v>14</v>
      </c>
      <c r="Y58" s="12" t="s">
        <v>14</v>
      </c>
      <c r="Z58" s="13" t="s">
        <v>2536</v>
      </c>
    </row>
    <row r="59" spans="1:26" ht="19.95" customHeight="1" x14ac:dyDescent="0.3">
      <c r="A59" s="6">
        <v>45692</v>
      </c>
      <c r="B59" s="7" t="s">
        <v>362</v>
      </c>
      <c r="C59" s="8" t="s">
        <v>2722</v>
      </c>
      <c r="D59" s="8" t="s">
        <v>269</v>
      </c>
      <c r="E59" s="8" t="s">
        <v>365</v>
      </c>
      <c r="F59" s="9" t="s">
        <v>2741</v>
      </c>
      <c r="G59" s="34"/>
      <c r="H59" s="9" t="s">
        <v>2744</v>
      </c>
      <c r="I59" s="9" t="s">
        <v>70</v>
      </c>
      <c r="J59" s="10" t="s">
        <v>16</v>
      </c>
      <c r="K59" s="15" t="str">
        <f>VLOOKUP(J59,DADOS!$A$3:$B$100,2,FALSE)</f>
        <v>EE-GI-001-003</v>
      </c>
      <c r="L59" s="15" t="s">
        <v>260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269</v>
      </c>
      <c r="X59" s="12" t="s">
        <v>14</v>
      </c>
      <c r="Y59" s="12" t="s">
        <v>14</v>
      </c>
      <c r="Z59" s="13" t="s">
        <v>2536</v>
      </c>
    </row>
    <row r="60" spans="1:26" ht="19.95" customHeight="1" x14ac:dyDescent="0.3">
      <c r="A60" s="6">
        <v>45692</v>
      </c>
      <c r="B60" s="7" t="s">
        <v>362</v>
      </c>
      <c r="C60" s="8" t="s">
        <v>2722</v>
      </c>
      <c r="D60" s="8" t="s">
        <v>364</v>
      </c>
      <c r="E60" s="8" t="s">
        <v>2742</v>
      </c>
      <c r="F60" s="9" t="s">
        <v>2743</v>
      </c>
      <c r="G60" s="34"/>
      <c r="H60" s="9" t="s">
        <v>2745</v>
      </c>
      <c r="I60" s="9" t="s">
        <v>70</v>
      </c>
      <c r="J60" s="10" t="s">
        <v>16</v>
      </c>
      <c r="K60" s="15" t="str">
        <f>VLOOKUP(J60,DADOS!$A$3:$B$100,2,FALSE)</f>
        <v>EE-GI-001-003</v>
      </c>
      <c r="L60" s="15" t="s">
        <v>260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1</v>
      </c>
      <c r="W60" s="11" t="s">
        <v>364</v>
      </c>
      <c r="X60" s="12" t="s">
        <v>14</v>
      </c>
      <c r="Y60" s="12" t="s">
        <v>14</v>
      </c>
      <c r="Z60" s="13" t="s">
        <v>2536</v>
      </c>
    </row>
    <row r="61" spans="1:26" ht="19.95" customHeight="1" x14ac:dyDescent="0.3">
      <c r="A61" s="6">
        <v>45692</v>
      </c>
      <c r="B61" s="7" t="s">
        <v>930</v>
      </c>
      <c r="C61" s="8" t="s">
        <v>2530</v>
      </c>
      <c r="D61" s="8" t="s">
        <v>445</v>
      </c>
      <c r="E61" s="8" t="s">
        <v>2531</v>
      </c>
      <c r="F61" s="9" t="s">
        <v>2532</v>
      </c>
      <c r="G61" s="9" t="s">
        <v>2533</v>
      </c>
      <c r="H61" s="9" t="s">
        <v>2534</v>
      </c>
      <c r="I61" s="9" t="s">
        <v>67</v>
      </c>
      <c r="J61" s="10" t="s">
        <v>230</v>
      </c>
      <c r="K61" s="15" t="str">
        <f>VLOOKUP(J61,DADOS!$A$3:$B$100,2,FALSE)</f>
        <v>EE-GI-026-001</v>
      </c>
      <c r="L61" s="15" t="s">
        <v>260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0</v>
      </c>
      <c r="W61" s="11" t="s">
        <v>445</v>
      </c>
      <c r="X61" s="12" t="s">
        <v>14</v>
      </c>
      <c r="Y61" s="12" t="s">
        <v>14</v>
      </c>
      <c r="Z61" s="13" t="s">
        <v>2536</v>
      </c>
    </row>
    <row r="62" spans="1:26" ht="19.95" customHeight="1" x14ac:dyDescent="0.3">
      <c r="A62" s="6">
        <v>45692</v>
      </c>
      <c r="B62" s="7" t="s">
        <v>339</v>
      </c>
      <c r="C62" s="8" t="s">
        <v>340</v>
      </c>
      <c r="D62" s="8" t="s">
        <v>341</v>
      </c>
      <c r="E62" s="8" t="s">
        <v>342</v>
      </c>
      <c r="F62" s="9" t="s">
        <v>343</v>
      </c>
      <c r="G62" s="9" t="s">
        <v>344</v>
      </c>
      <c r="H62" s="9" t="s">
        <v>14</v>
      </c>
      <c r="I62" s="9" t="s">
        <v>66</v>
      </c>
      <c r="J62" s="10" t="s">
        <v>186</v>
      </c>
      <c r="K62" s="15" t="str">
        <f>VLOOKUP(J62,DADOS!$A$3:$B$100,2,FALSE)</f>
        <v>EE-GI-001-008</v>
      </c>
      <c r="L62" s="15" t="s">
        <v>303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1</v>
      </c>
      <c r="W62" s="11" t="s">
        <v>341</v>
      </c>
      <c r="X62" s="12" t="s">
        <v>14</v>
      </c>
      <c r="Y62" s="12" t="s">
        <v>14</v>
      </c>
      <c r="Z62" s="13" t="s">
        <v>261</v>
      </c>
    </row>
    <row r="63" spans="1:26" ht="19.95" customHeight="1" x14ac:dyDescent="0.3">
      <c r="A63" s="6">
        <v>45692</v>
      </c>
      <c r="B63" s="7" t="s">
        <v>339</v>
      </c>
      <c r="C63" s="8" t="s">
        <v>463</v>
      </c>
      <c r="D63" s="8" t="s">
        <v>269</v>
      </c>
      <c r="E63" s="8" t="s">
        <v>342</v>
      </c>
      <c r="F63" s="9" t="s">
        <v>464</v>
      </c>
      <c r="G63" s="9" t="s">
        <v>465</v>
      </c>
      <c r="H63" s="9" t="s">
        <v>14</v>
      </c>
      <c r="I63" s="9" t="s">
        <v>66</v>
      </c>
      <c r="J63" s="10" t="s">
        <v>15</v>
      </c>
      <c r="K63" s="15" t="str">
        <f>VLOOKUP(J63,DADOS!$A$3:$B$100,2,FALSE)</f>
        <v>EE-GI-001-002</v>
      </c>
      <c r="L63" s="15" t="s">
        <v>260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269</v>
      </c>
      <c r="X63" s="12" t="s">
        <v>14</v>
      </c>
      <c r="Y63" s="12" t="s">
        <v>14</v>
      </c>
      <c r="Z63" s="13" t="s">
        <v>261</v>
      </c>
    </row>
    <row r="64" spans="1:26" ht="19.95" customHeight="1" x14ac:dyDescent="0.3">
      <c r="A64" s="6">
        <v>45692</v>
      </c>
      <c r="B64" s="7" t="s">
        <v>339</v>
      </c>
      <c r="C64" s="8" t="s">
        <v>463</v>
      </c>
      <c r="D64" s="8" t="s">
        <v>466</v>
      </c>
      <c r="E64" s="8" t="s">
        <v>342</v>
      </c>
      <c r="F64" s="9" t="s">
        <v>468</v>
      </c>
      <c r="G64" s="9" t="s">
        <v>467</v>
      </c>
      <c r="H64" s="9" t="s">
        <v>14</v>
      </c>
      <c r="I64" s="9" t="s">
        <v>66</v>
      </c>
      <c r="J64" s="10" t="s">
        <v>15</v>
      </c>
      <c r="K64" s="15" t="str">
        <f>VLOOKUP(J64,DADOS!$A$3:$B$100,2,FALSE)</f>
        <v>EE-GI-001-002</v>
      </c>
      <c r="L64" s="15" t="s">
        <v>260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466</v>
      </c>
      <c r="X64" s="12" t="s">
        <v>14</v>
      </c>
      <c r="Y64" s="12" t="s">
        <v>14</v>
      </c>
      <c r="Z64" s="13" t="s">
        <v>261</v>
      </c>
    </row>
    <row r="65" spans="1:26" ht="19.95" customHeight="1" x14ac:dyDescent="0.3">
      <c r="A65" s="6">
        <v>45692</v>
      </c>
      <c r="B65" s="7" t="s">
        <v>339</v>
      </c>
      <c r="C65" s="8" t="s">
        <v>1598</v>
      </c>
      <c r="D65" s="8" t="s">
        <v>281</v>
      </c>
      <c r="E65" s="8" t="s">
        <v>1665</v>
      </c>
      <c r="F65" s="9" t="s">
        <v>1599</v>
      </c>
      <c r="G65" s="9" t="s">
        <v>1666</v>
      </c>
      <c r="H65" s="9" t="s">
        <v>14</v>
      </c>
      <c r="I65" s="9" t="s">
        <v>66</v>
      </c>
      <c r="J65" s="10" t="s">
        <v>185</v>
      </c>
      <c r="K65" s="15" t="str">
        <f>VLOOKUP(J65,DADOS!$A$3:$B$100,2,FALSE)</f>
        <v>EE-GI-001-031</v>
      </c>
      <c r="L65" s="15" t="s">
        <v>260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281</v>
      </c>
      <c r="X65" s="12" t="s">
        <v>14</v>
      </c>
      <c r="Y65" s="12" t="s">
        <v>14</v>
      </c>
      <c r="Z65" s="13" t="s">
        <v>355</v>
      </c>
    </row>
    <row r="66" spans="1:26" ht="19.95" customHeight="1" x14ac:dyDescent="0.3">
      <c r="A66" s="6">
        <v>45692</v>
      </c>
      <c r="B66" s="7" t="s">
        <v>339</v>
      </c>
      <c r="C66" s="8" t="s">
        <v>1667</v>
      </c>
      <c r="D66" s="8" t="s">
        <v>364</v>
      </c>
      <c r="E66" s="8" t="s">
        <v>1665</v>
      </c>
      <c r="F66" s="9" t="s">
        <v>1668</v>
      </c>
      <c r="G66" s="9" t="s">
        <v>1669</v>
      </c>
      <c r="H66" s="9" t="s">
        <v>14</v>
      </c>
      <c r="I66" s="9" t="s">
        <v>66</v>
      </c>
      <c r="J66" s="10" t="s">
        <v>185</v>
      </c>
      <c r="K66" s="15" t="str">
        <f>VLOOKUP(J66,DADOS!$A$3:$B$100,2,FALSE)</f>
        <v>EE-GI-001-031</v>
      </c>
      <c r="L66" s="15" t="s">
        <v>260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364</v>
      </c>
      <c r="X66" s="12" t="s">
        <v>14</v>
      </c>
      <c r="Y66" s="12" t="s">
        <v>14</v>
      </c>
      <c r="Z66" s="13" t="s">
        <v>355</v>
      </c>
    </row>
    <row r="67" spans="1:26" ht="19.95" customHeight="1" x14ac:dyDescent="0.3">
      <c r="A67" s="6">
        <v>45692</v>
      </c>
      <c r="B67" s="7" t="s">
        <v>339</v>
      </c>
      <c r="C67" s="8" t="s">
        <v>1670</v>
      </c>
      <c r="D67" s="8" t="s">
        <v>971</v>
      </c>
      <c r="E67" s="8" t="s">
        <v>1665</v>
      </c>
      <c r="F67" s="9" t="s">
        <v>1671</v>
      </c>
      <c r="G67" s="9" t="s">
        <v>367</v>
      </c>
      <c r="H67" s="9" t="s">
        <v>14</v>
      </c>
      <c r="I67" s="9" t="s">
        <v>65</v>
      </c>
      <c r="J67" s="10" t="s">
        <v>181</v>
      </c>
      <c r="K67" s="15" t="str">
        <f>VLOOKUP(J67,DADOS!$A$3:$B$100,2,FALSE)</f>
        <v>EE-GI-001-023</v>
      </c>
      <c r="L67" s="15" t="s">
        <v>260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1</v>
      </c>
      <c r="U67" s="17" t="b">
        <v>1</v>
      </c>
      <c r="V67" s="17" t="b">
        <v>1</v>
      </c>
      <c r="W67" s="11" t="s">
        <v>971</v>
      </c>
      <c r="X67" s="12" t="s">
        <v>14</v>
      </c>
      <c r="Y67" s="12" t="s">
        <v>14</v>
      </c>
      <c r="Z67" s="13" t="s">
        <v>355</v>
      </c>
    </row>
    <row r="68" spans="1:26" ht="19.95" customHeight="1" x14ac:dyDescent="0.3">
      <c r="A68" s="6">
        <v>45692</v>
      </c>
      <c r="B68" s="7" t="s">
        <v>339</v>
      </c>
      <c r="C68" s="8" t="s">
        <v>1672</v>
      </c>
      <c r="D68" s="8" t="s">
        <v>279</v>
      </c>
      <c r="E68" s="8" t="s">
        <v>1665</v>
      </c>
      <c r="F68" s="9" t="s">
        <v>1673</v>
      </c>
      <c r="G68" s="9" t="s">
        <v>367</v>
      </c>
      <c r="H68" s="9" t="s">
        <v>14</v>
      </c>
      <c r="I68" s="9" t="s">
        <v>65</v>
      </c>
      <c r="J68" s="10" t="s">
        <v>181</v>
      </c>
      <c r="K68" s="15" t="str">
        <f>VLOOKUP(J68,DADOS!$A$3:$B$100,2,FALSE)</f>
        <v>EE-GI-001-023</v>
      </c>
      <c r="L68" s="15" t="s">
        <v>260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1</v>
      </c>
      <c r="U68" s="17" t="b">
        <v>1</v>
      </c>
      <c r="V68" s="17" t="b">
        <v>1</v>
      </c>
      <c r="W68" s="11" t="s">
        <v>279</v>
      </c>
      <c r="X68" s="12" t="s">
        <v>14</v>
      </c>
      <c r="Y68" s="12" t="s">
        <v>14</v>
      </c>
      <c r="Z68" s="13" t="s">
        <v>355</v>
      </c>
    </row>
    <row r="69" spans="1:26" ht="19.95" customHeight="1" x14ac:dyDescent="0.3">
      <c r="A69" s="6">
        <v>45692</v>
      </c>
      <c r="B69" s="7" t="s">
        <v>339</v>
      </c>
      <c r="C69" s="8" t="s">
        <v>1795</v>
      </c>
      <c r="D69" s="8" t="s">
        <v>281</v>
      </c>
      <c r="E69" s="8" t="s">
        <v>1796</v>
      </c>
      <c r="F69" s="9" t="s">
        <v>1797</v>
      </c>
      <c r="G69" s="9" t="s">
        <v>367</v>
      </c>
      <c r="H69" s="9" t="s">
        <v>14</v>
      </c>
      <c r="I69" s="9" t="s">
        <v>69</v>
      </c>
      <c r="J69" s="10" t="s">
        <v>15</v>
      </c>
      <c r="K69" s="15" t="str">
        <f>VLOOKUP(J69,DADOS!$A$3:$B$100,2,FALSE)</f>
        <v>EE-GI-001-002</v>
      </c>
      <c r="L69" s="15" t="s">
        <v>260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1</v>
      </c>
      <c r="W69" s="11" t="s">
        <v>281</v>
      </c>
      <c r="X69" s="12" t="s">
        <v>14</v>
      </c>
      <c r="Y69" s="12" t="s">
        <v>14</v>
      </c>
      <c r="Z69" s="13" t="s">
        <v>355</v>
      </c>
    </row>
    <row r="70" spans="1:26" ht="19.95" customHeight="1" x14ac:dyDescent="0.3">
      <c r="A70" s="6">
        <v>45692</v>
      </c>
      <c r="B70" s="7" t="s">
        <v>339</v>
      </c>
      <c r="C70" s="8" t="s">
        <v>2303</v>
      </c>
      <c r="D70" s="8" t="s">
        <v>269</v>
      </c>
      <c r="E70" s="8" t="s">
        <v>1665</v>
      </c>
      <c r="F70" s="9" t="s">
        <v>2301</v>
      </c>
      <c r="G70" s="9" t="s">
        <v>2302</v>
      </c>
      <c r="H70" s="9" t="s">
        <v>14</v>
      </c>
      <c r="I70" s="9" t="s">
        <v>66</v>
      </c>
      <c r="J70" s="10" t="s">
        <v>185</v>
      </c>
      <c r="K70" s="15" t="str">
        <f>VLOOKUP(J70,DADOS!$A$3:$B$100,2,FALSE)</f>
        <v>EE-GI-001-031</v>
      </c>
      <c r="L70" s="15" t="s">
        <v>260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1</v>
      </c>
      <c r="S70" s="17" t="b">
        <v>0</v>
      </c>
      <c r="T70" s="17" t="b">
        <v>0</v>
      </c>
      <c r="U70" s="17" t="b">
        <v>0</v>
      </c>
      <c r="V70" s="17" t="b">
        <v>0</v>
      </c>
      <c r="W70" s="11" t="s">
        <v>269</v>
      </c>
      <c r="X70" s="12" t="s">
        <v>14</v>
      </c>
      <c r="Y70" s="12" t="s">
        <v>14</v>
      </c>
      <c r="Z70" s="13" t="s">
        <v>355</v>
      </c>
    </row>
    <row r="71" spans="1:26" ht="19.95" customHeight="1" x14ac:dyDescent="0.3">
      <c r="A71" s="6">
        <v>45692</v>
      </c>
      <c r="B71" s="7" t="s">
        <v>339</v>
      </c>
      <c r="C71" s="8" t="s">
        <v>2304</v>
      </c>
      <c r="D71" s="8" t="s">
        <v>287</v>
      </c>
      <c r="E71" s="8" t="s">
        <v>1665</v>
      </c>
      <c r="F71" s="9" t="s">
        <v>2305</v>
      </c>
      <c r="G71" s="9" t="s">
        <v>773</v>
      </c>
      <c r="H71" s="9" t="s">
        <v>14</v>
      </c>
      <c r="I71" s="9" t="s">
        <v>66</v>
      </c>
      <c r="J71" s="10" t="s">
        <v>15</v>
      </c>
      <c r="K71" s="15" t="str">
        <f>VLOOKUP(J71,DADOS!$A$3:$B$100,2,FALSE)</f>
        <v>EE-GI-001-002</v>
      </c>
      <c r="L71" s="15" t="s">
        <v>1955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1</v>
      </c>
      <c r="S71" s="17" t="b">
        <v>0</v>
      </c>
      <c r="T71" s="17" t="b">
        <v>0</v>
      </c>
      <c r="U71" s="17" t="b">
        <v>0</v>
      </c>
      <c r="V71" s="17" t="b">
        <v>0</v>
      </c>
      <c r="W71" s="11" t="s">
        <v>287</v>
      </c>
      <c r="X71" s="12" t="s">
        <v>14</v>
      </c>
      <c r="Y71" s="12" t="s">
        <v>14</v>
      </c>
      <c r="Z71" s="13" t="s">
        <v>355</v>
      </c>
    </row>
    <row r="72" spans="1:26" ht="19.95" customHeight="1" x14ac:dyDescent="0.3">
      <c r="A72" s="6">
        <v>45692</v>
      </c>
      <c r="B72" s="7" t="s">
        <v>339</v>
      </c>
      <c r="C72" s="8" t="s">
        <v>2375</v>
      </c>
      <c r="D72" s="8" t="s">
        <v>373</v>
      </c>
      <c r="E72" s="8" t="s">
        <v>1665</v>
      </c>
      <c r="F72" s="9" t="s">
        <v>2711</v>
      </c>
      <c r="G72" s="34"/>
      <c r="H72" s="34"/>
      <c r="I72" s="9" t="s">
        <v>66</v>
      </c>
      <c r="J72" s="10" t="s">
        <v>185</v>
      </c>
      <c r="K72" s="15" t="str">
        <f>VLOOKUP(J72,DADOS!$A$3:$B$100,2,FALSE)</f>
        <v>EE-GI-001-031</v>
      </c>
      <c r="L72" s="15" t="s">
        <v>260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1</v>
      </c>
      <c r="S72" s="17" t="b">
        <v>0</v>
      </c>
      <c r="T72" s="17" t="b">
        <v>0</v>
      </c>
      <c r="U72" s="17" t="b">
        <v>0</v>
      </c>
      <c r="V72" s="17" t="b">
        <v>0</v>
      </c>
      <c r="W72" s="11" t="s">
        <v>373</v>
      </c>
      <c r="X72" s="12" t="s">
        <v>14</v>
      </c>
      <c r="Y72" s="12" t="s">
        <v>14</v>
      </c>
      <c r="Z72" s="13" t="s">
        <v>355</v>
      </c>
    </row>
    <row r="73" spans="1:26" ht="19.95" customHeight="1" x14ac:dyDescent="0.3">
      <c r="A73" s="6">
        <v>45692</v>
      </c>
      <c r="B73" s="7" t="s">
        <v>339</v>
      </c>
      <c r="C73" s="8" t="s">
        <v>2375</v>
      </c>
      <c r="D73" s="8" t="s">
        <v>373</v>
      </c>
      <c r="E73" s="8" t="s">
        <v>1665</v>
      </c>
      <c r="F73" s="9" t="s">
        <v>2712</v>
      </c>
      <c r="G73" s="34"/>
      <c r="H73" s="34"/>
      <c r="I73" s="9" t="s">
        <v>66</v>
      </c>
      <c r="J73" s="10" t="s">
        <v>185</v>
      </c>
      <c r="K73" s="15" t="str">
        <f>VLOOKUP(J73,DADOS!$A$3:$B$100,2,FALSE)</f>
        <v>EE-GI-001-031</v>
      </c>
      <c r="L73" s="15" t="s">
        <v>260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1</v>
      </c>
      <c r="S73" s="17" t="b">
        <v>0</v>
      </c>
      <c r="T73" s="17" t="b">
        <v>0</v>
      </c>
      <c r="U73" s="17" t="b">
        <v>0</v>
      </c>
      <c r="V73" s="17" t="b">
        <v>0</v>
      </c>
      <c r="W73" s="11" t="s">
        <v>373</v>
      </c>
      <c r="X73" s="12" t="s">
        <v>14</v>
      </c>
      <c r="Y73" s="12" t="s">
        <v>14</v>
      </c>
      <c r="Z73" s="13" t="s">
        <v>355</v>
      </c>
    </row>
    <row r="74" spans="1:26" ht="19.95" customHeight="1" x14ac:dyDescent="0.3">
      <c r="A74" s="6">
        <v>45692</v>
      </c>
      <c r="B74" s="7" t="s">
        <v>254</v>
      </c>
      <c r="C74" s="8" t="s">
        <v>312</v>
      </c>
      <c r="D74" s="8" t="s">
        <v>269</v>
      </c>
      <c r="E74" s="8" t="s">
        <v>313</v>
      </c>
      <c r="F74" s="9" t="s">
        <v>314</v>
      </c>
      <c r="G74" s="9" t="s">
        <v>315</v>
      </c>
      <c r="H74" s="9" t="s">
        <v>316</v>
      </c>
      <c r="I74" s="9" t="s">
        <v>64</v>
      </c>
      <c r="J74" s="10" t="s">
        <v>186</v>
      </c>
      <c r="K74" s="15" t="str">
        <f>VLOOKUP(J74,DADOS!$A$3:$B$100,2,FALSE)</f>
        <v>EE-GI-001-008</v>
      </c>
      <c r="L74" s="15" t="s">
        <v>303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0</v>
      </c>
      <c r="W74" s="11" t="s">
        <v>14</v>
      </c>
      <c r="X74" s="12" t="s">
        <v>269</v>
      </c>
      <c r="Y74" s="12" t="s">
        <v>317</v>
      </c>
      <c r="Z74" s="12" t="s">
        <v>261</v>
      </c>
    </row>
    <row r="75" spans="1:26" ht="19.95" customHeight="1" x14ac:dyDescent="0.3">
      <c r="A75" s="6">
        <v>45692</v>
      </c>
      <c r="B75" s="7" t="s">
        <v>254</v>
      </c>
      <c r="C75" s="8" t="s">
        <v>318</v>
      </c>
      <c r="D75" s="8" t="s">
        <v>269</v>
      </c>
      <c r="E75" s="8" t="s">
        <v>319</v>
      </c>
      <c r="F75" s="9" t="s">
        <v>320</v>
      </c>
      <c r="G75" s="9" t="s">
        <v>321</v>
      </c>
      <c r="H75" s="9" t="s">
        <v>322</v>
      </c>
      <c r="I75" s="9" t="s">
        <v>64</v>
      </c>
      <c r="J75" s="10" t="s">
        <v>186</v>
      </c>
      <c r="K75" s="15" t="str">
        <f>VLOOKUP(J75,DADOS!$A$3:$B$100,2,FALSE)</f>
        <v>EE-GI-001-008</v>
      </c>
      <c r="L75" s="15" t="s">
        <v>323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0</v>
      </c>
      <c r="W75" s="11" t="s">
        <v>269</v>
      </c>
      <c r="X75" s="12" t="s">
        <v>14</v>
      </c>
      <c r="Y75" s="12" t="s">
        <v>14</v>
      </c>
      <c r="Z75" s="13" t="s">
        <v>261</v>
      </c>
    </row>
    <row r="76" spans="1:26" ht="19.95" customHeight="1" x14ac:dyDescent="0.3">
      <c r="A76" s="6">
        <v>45692</v>
      </c>
      <c r="B76" s="7" t="s">
        <v>324</v>
      </c>
      <c r="C76" s="8" t="s">
        <v>325</v>
      </c>
      <c r="D76" s="8" t="s">
        <v>269</v>
      </c>
      <c r="E76" s="8" t="s">
        <v>326</v>
      </c>
      <c r="F76" s="9" t="s">
        <v>327</v>
      </c>
      <c r="G76" s="9" t="s">
        <v>331</v>
      </c>
      <c r="H76" s="9" t="s">
        <v>332</v>
      </c>
      <c r="I76" s="9" t="s">
        <v>69</v>
      </c>
      <c r="J76" s="10" t="s">
        <v>15</v>
      </c>
      <c r="K76" s="15" t="str">
        <f>VLOOKUP(J76,DADOS!$A$3:$B$100,2,FALSE)</f>
        <v>EE-GI-001-002</v>
      </c>
      <c r="L76" s="15" t="s">
        <v>303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1</v>
      </c>
      <c r="S76" s="17" t="b">
        <v>0</v>
      </c>
      <c r="T76" s="17" t="b">
        <v>0</v>
      </c>
      <c r="U76" s="17" t="b">
        <v>0</v>
      </c>
      <c r="V76" s="17" t="b">
        <v>0</v>
      </c>
      <c r="W76" s="11" t="s">
        <v>269</v>
      </c>
      <c r="X76" s="12" t="s">
        <v>14</v>
      </c>
      <c r="Y76" s="12" t="s">
        <v>14</v>
      </c>
      <c r="Z76" s="13" t="s">
        <v>261</v>
      </c>
    </row>
    <row r="77" spans="1:26" ht="19.95" customHeight="1" x14ac:dyDescent="0.3">
      <c r="A77" s="6">
        <v>45692</v>
      </c>
      <c r="B77" s="7" t="s">
        <v>324</v>
      </c>
      <c r="C77" s="8" t="s">
        <v>325</v>
      </c>
      <c r="D77" s="8" t="s">
        <v>269</v>
      </c>
      <c r="E77" s="8" t="s">
        <v>326</v>
      </c>
      <c r="F77" s="9" t="s">
        <v>328</v>
      </c>
      <c r="G77" s="9" t="s">
        <v>333</v>
      </c>
      <c r="H77" s="9" t="s">
        <v>334</v>
      </c>
      <c r="I77" s="9" t="s">
        <v>69</v>
      </c>
      <c r="J77" s="10" t="s">
        <v>15</v>
      </c>
      <c r="K77" s="15" t="str">
        <f>VLOOKUP(J77,DADOS!$A$3:$B$100,2,FALSE)</f>
        <v>EE-GI-001-002</v>
      </c>
      <c r="L77" s="15" t="s">
        <v>303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1</v>
      </c>
      <c r="S77" s="17" t="b">
        <v>0</v>
      </c>
      <c r="T77" s="17" t="b">
        <v>0</v>
      </c>
      <c r="U77" s="17" t="b">
        <v>0</v>
      </c>
      <c r="V77" s="17" t="b">
        <v>0</v>
      </c>
      <c r="W77" s="11" t="s">
        <v>269</v>
      </c>
      <c r="X77" s="12" t="s">
        <v>14</v>
      </c>
      <c r="Y77" s="12" t="s">
        <v>14</v>
      </c>
      <c r="Z77" s="13" t="s">
        <v>261</v>
      </c>
    </row>
    <row r="78" spans="1:26" ht="19.95" customHeight="1" x14ac:dyDescent="0.3">
      <c r="A78" s="6">
        <v>45692</v>
      </c>
      <c r="B78" s="7" t="s">
        <v>324</v>
      </c>
      <c r="C78" s="8" t="s">
        <v>325</v>
      </c>
      <c r="D78" s="8" t="s">
        <v>281</v>
      </c>
      <c r="E78" s="8" t="s">
        <v>326</v>
      </c>
      <c r="F78" s="9" t="s">
        <v>329</v>
      </c>
      <c r="G78" s="9" t="s">
        <v>337</v>
      </c>
      <c r="H78" s="9" t="s">
        <v>335</v>
      </c>
      <c r="I78" s="9" t="s">
        <v>69</v>
      </c>
      <c r="J78" s="10" t="s">
        <v>15</v>
      </c>
      <c r="K78" s="15" t="str">
        <f>VLOOKUP(J78,DADOS!$A$3:$B$100,2,FALSE)</f>
        <v>EE-GI-001-002</v>
      </c>
      <c r="L78" s="15" t="s">
        <v>303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1</v>
      </c>
      <c r="S78" s="17" t="b">
        <v>0</v>
      </c>
      <c r="T78" s="17" t="b">
        <v>0</v>
      </c>
      <c r="U78" s="17" t="b">
        <v>0</v>
      </c>
      <c r="V78" s="17" t="b">
        <v>0</v>
      </c>
      <c r="W78" s="11" t="s">
        <v>281</v>
      </c>
      <c r="X78" s="12" t="s">
        <v>14</v>
      </c>
      <c r="Y78" s="12" t="s">
        <v>14</v>
      </c>
      <c r="Z78" s="13" t="s">
        <v>261</v>
      </c>
    </row>
    <row r="79" spans="1:26" ht="19.95" customHeight="1" x14ac:dyDescent="0.3">
      <c r="A79" s="6">
        <v>45692</v>
      </c>
      <c r="B79" s="7" t="s">
        <v>324</v>
      </c>
      <c r="C79" s="8" t="s">
        <v>325</v>
      </c>
      <c r="D79" s="8" t="s">
        <v>269</v>
      </c>
      <c r="E79" s="8" t="s">
        <v>326</v>
      </c>
      <c r="F79" s="9" t="s">
        <v>330</v>
      </c>
      <c r="G79" s="9" t="s">
        <v>338</v>
      </c>
      <c r="H79" s="9" t="s">
        <v>336</v>
      </c>
      <c r="I79" s="9" t="s">
        <v>69</v>
      </c>
      <c r="J79" s="10" t="s">
        <v>15</v>
      </c>
      <c r="K79" s="15" t="str">
        <f>VLOOKUP(J79,DADOS!$A$3:$B$100,2,FALSE)</f>
        <v>EE-GI-001-002</v>
      </c>
      <c r="L79" s="15" t="s">
        <v>303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1</v>
      </c>
      <c r="S79" s="17" t="b">
        <v>0</v>
      </c>
      <c r="T79" s="17" t="b">
        <v>0</v>
      </c>
      <c r="U79" s="17" t="b">
        <v>0</v>
      </c>
      <c r="V79" s="17" t="b">
        <v>0</v>
      </c>
      <c r="W79" s="11" t="s">
        <v>269</v>
      </c>
      <c r="X79" s="12" t="s">
        <v>14</v>
      </c>
      <c r="Y79" s="12" t="s">
        <v>14</v>
      </c>
      <c r="Z79" s="13" t="s">
        <v>261</v>
      </c>
    </row>
    <row r="80" spans="1:26" ht="19.95" customHeight="1" x14ac:dyDescent="0.3">
      <c r="A80" s="6">
        <v>45692</v>
      </c>
      <c r="B80" s="7" t="s">
        <v>916</v>
      </c>
      <c r="C80" s="8" t="s">
        <v>956</v>
      </c>
      <c r="D80" s="8" t="s">
        <v>364</v>
      </c>
      <c r="E80" s="8" t="s">
        <v>957</v>
      </c>
      <c r="F80" s="9" t="s">
        <v>958</v>
      </c>
      <c r="G80" s="9" t="s">
        <v>367</v>
      </c>
      <c r="H80" s="9" t="s">
        <v>14</v>
      </c>
      <c r="I80" s="9" t="s">
        <v>70</v>
      </c>
      <c r="J80" s="10" t="s">
        <v>14</v>
      </c>
      <c r="K80" s="15" t="e">
        <f>VLOOKUP(J80,DADOS!$A$3:$B$100,2,FALSE)</f>
        <v>#N/A</v>
      </c>
      <c r="L80" s="15" t="s">
        <v>260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0</v>
      </c>
      <c r="S80" s="17" t="b">
        <v>0</v>
      </c>
      <c r="T80" s="17" t="b">
        <v>0</v>
      </c>
      <c r="U80" s="17" t="b">
        <v>0</v>
      </c>
      <c r="V80" s="17" t="b">
        <v>1</v>
      </c>
      <c r="W80" s="11" t="s">
        <v>364</v>
      </c>
      <c r="X80" s="12" t="s">
        <v>14</v>
      </c>
      <c r="Y80" s="12" t="s">
        <v>14</v>
      </c>
      <c r="Z80" s="13" t="s">
        <v>261</v>
      </c>
    </row>
    <row r="81" spans="1:26" ht="19.95" customHeight="1" x14ac:dyDescent="0.3">
      <c r="A81" s="6">
        <v>45692</v>
      </c>
      <c r="B81" s="7" t="s">
        <v>1568</v>
      </c>
      <c r="C81" s="8" t="s">
        <v>1951</v>
      </c>
      <c r="D81" s="8" t="s">
        <v>281</v>
      </c>
      <c r="E81" s="8" t="s">
        <v>1952</v>
      </c>
      <c r="F81" s="9" t="s">
        <v>1953</v>
      </c>
      <c r="G81" s="9" t="s">
        <v>1958</v>
      </c>
      <c r="H81" s="9" t="s">
        <v>1954</v>
      </c>
      <c r="I81" s="9" t="s">
        <v>69</v>
      </c>
      <c r="J81" s="10" t="s">
        <v>185</v>
      </c>
      <c r="K81" s="15" t="str">
        <f>VLOOKUP(J81,DADOS!$A$3:$B$100,2,FALSE)</f>
        <v>EE-GI-001-031</v>
      </c>
      <c r="L81" s="15" t="s">
        <v>1955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1</v>
      </c>
      <c r="S81" s="17" t="b">
        <v>0</v>
      </c>
      <c r="T81" s="17" t="b">
        <v>0</v>
      </c>
      <c r="U81" s="17" t="b">
        <v>0</v>
      </c>
      <c r="V81" s="17" t="b">
        <v>0</v>
      </c>
      <c r="W81" s="11" t="s">
        <v>281</v>
      </c>
      <c r="X81" s="12" t="s">
        <v>14</v>
      </c>
      <c r="Y81" s="12" t="s">
        <v>14</v>
      </c>
      <c r="Z81" s="13" t="s">
        <v>355</v>
      </c>
    </row>
    <row r="82" spans="1:26" ht="19.95" customHeight="1" x14ac:dyDescent="0.3">
      <c r="A82" s="6">
        <v>45692</v>
      </c>
      <c r="B82" s="7" t="s">
        <v>1568</v>
      </c>
      <c r="C82" s="8" t="s">
        <v>1956</v>
      </c>
      <c r="D82" s="8" t="s">
        <v>364</v>
      </c>
      <c r="E82" s="8" t="s">
        <v>1952</v>
      </c>
      <c r="F82" s="9" t="s">
        <v>1957</v>
      </c>
      <c r="G82" s="9" t="s">
        <v>1964</v>
      </c>
      <c r="H82" s="9" t="s">
        <v>1954</v>
      </c>
      <c r="I82" s="9" t="s">
        <v>69</v>
      </c>
      <c r="J82" s="10" t="s">
        <v>185</v>
      </c>
      <c r="K82" s="15" t="str">
        <f>VLOOKUP(J82,DADOS!$A$3:$B$100,2,FALSE)</f>
        <v>EE-GI-001-031</v>
      </c>
      <c r="L82" s="15" t="s">
        <v>1955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1</v>
      </c>
      <c r="S82" s="17" t="b">
        <v>0</v>
      </c>
      <c r="T82" s="17" t="b">
        <v>0</v>
      </c>
      <c r="U82" s="17" t="b">
        <v>0</v>
      </c>
      <c r="V82" s="17" t="b">
        <v>0</v>
      </c>
      <c r="W82" s="11" t="s">
        <v>364</v>
      </c>
      <c r="X82" s="12" t="s">
        <v>14</v>
      </c>
      <c r="Y82" s="12" t="s">
        <v>14</v>
      </c>
      <c r="Z82" s="13" t="s">
        <v>355</v>
      </c>
    </row>
    <row r="83" spans="1:26" ht="19.95" customHeight="1" x14ac:dyDescent="0.3">
      <c r="A83" s="6">
        <v>45692</v>
      </c>
      <c r="B83" s="7" t="s">
        <v>1568</v>
      </c>
      <c r="C83" s="8" t="s">
        <v>1959</v>
      </c>
      <c r="D83" s="8" t="s">
        <v>364</v>
      </c>
      <c r="E83" s="8" t="s">
        <v>1952</v>
      </c>
      <c r="F83" s="9" t="s">
        <v>1960</v>
      </c>
      <c r="G83" s="9" t="s">
        <v>1965</v>
      </c>
      <c r="H83" s="9" t="s">
        <v>1961</v>
      </c>
      <c r="I83" s="9" t="s">
        <v>69</v>
      </c>
      <c r="J83" s="10" t="s">
        <v>185</v>
      </c>
      <c r="K83" s="15" t="str">
        <f>VLOOKUP(J83,DADOS!$A$3:$B$100,2,FALSE)</f>
        <v>EE-GI-001-031</v>
      </c>
      <c r="L83" s="15" t="s">
        <v>1955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1</v>
      </c>
      <c r="S83" s="17" t="b">
        <v>0</v>
      </c>
      <c r="T83" s="17" t="b">
        <v>0</v>
      </c>
      <c r="U83" s="17" t="b">
        <v>0</v>
      </c>
      <c r="V83" s="17" t="b">
        <v>0</v>
      </c>
      <c r="W83" s="11" t="s">
        <v>364</v>
      </c>
      <c r="X83" s="12" t="s">
        <v>14</v>
      </c>
      <c r="Y83" s="12" t="s">
        <v>14</v>
      </c>
      <c r="Z83" s="13" t="s">
        <v>355</v>
      </c>
    </row>
    <row r="84" spans="1:26" ht="19.95" customHeight="1" x14ac:dyDescent="0.3">
      <c r="A84" s="6">
        <v>45692</v>
      </c>
      <c r="B84" s="7" t="s">
        <v>1568</v>
      </c>
      <c r="C84" s="8" t="s">
        <v>1962</v>
      </c>
      <c r="D84" s="8" t="s">
        <v>287</v>
      </c>
      <c r="E84" s="8" t="s">
        <v>1952</v>
      </c>
      <c r="F84" s="9" t="s">
        <v>1963</v>
      </c>
      <c r="G84" s="9" t="s">
        <v>1966</v>
      </c>
      <c r="H84" s="9" t="s">
        <v>1967</v>
      </c>
      <c r="I84" s="9" t="s">
        <v>69</v>
      </c>
      <c r="J84" s="10" t="s">
        <v>185</v>
      </c>
      <c r="K84" s="15" t="str">
        <f>VLOOKUP(J84,DADOS!$A$3:$B$100,2,FALSE)</f>
        <v>EE-GI-001-031</v>
      </c>
      <c r="L84" s="15" t="s">
        <v>1955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1</v>
      </c>
      <c r="S84" s="17" t="b">
        <v>0</v>
      </c>
      <c r="T84" s="17" t="b">
        <v>0</v>
      </c>
      <c r="U84" s="17" t="b">
        <v>0</v>
      </c>
      <c r="V84" s="17" t="b">
        <v>0</v>
      </c>
      <c r="W84" s="11" t="s">
        <v>287</v>
      </c>
      <c r="X84" s="12" t="s">
        <v>14</v>
      </c>
      <c r="Y84" s="12" t="s">
        <v>14</v>
      </c>
      <c r="Z84" s="13" t="s">
        <v>355</v>
      </c>
    </row>
    <row r="85" spans="1:26" ht="19.95" customHeight="1" x14ac:dyDescent="0.3">
      <c r="A85" s="6">
        <v>45692</v>
      </c>
      <c r="B85" s="7" t="s">
        <v>1568</v>
      </c>
      <c r="C85" s="8" t="s">
        <v>1962</v>
      </c>
      <c r="D85" s="8" t="s">
        <v>281</v>
      </c>
      <c r="E85" s="8" t="s">
        <v>1952</v>
      </c>
      <c r="F85" s="9" t="s">
        <v>1968</v>
      </c>
      <c r="G85" s="9" t="s">
        <v>1969</v>
      </c>
      <c r="H85" s="9" t="s">
        <v>1967</v>
      </c>
      <c r="I85" s="9" t="s">
        <v>69</v>
      </c>
      <c r="J85" s="10" t="s">
        <v>185</v>
      </c>
      <c r="K85" s="15" t="str">
        <f>VLOOKUP(J85,DADOS!$A$3:$B$100,2,FALSE)</f>
        <v>EE-GI-001-031</v>
      </c>
      <c r="L85" s="15" t="s">
        <v>1955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1</v>
      </c>
      <c r="S85" s="17" t="b">
        <v>0</v>
      </c>
      <c r="T85" s="17" t="b">
        <v>0</v>
      </c>
      <c r="U85" s="17" t="b">
        <v>0</v>
      </c>
      <c r="V85" s="17" t="b">
        <v>0</v>
      </c>
      <c r="W85" s="11" t="s">
        <v>281</v>
      </c>
      <c r="X85" s="12" t="s">
        <v>14</v>
      </c>
      <c r="Y85" s="12" t="s">
        <v>14</v>
      </c>
      <c r="Z85" s="13" t="s">
        <v>355</v>
      </c>
    </row>
    <row r="86" spans="1:26" ht="19.95" customHeight="1" x14ac:dyDescent="0.3">
      <c r="A86" s="6">
        <v>45693</v>
      </c>
      <c r="B86" s="7" t="s">
        <v>377</v>
      </c>
      <c r="C86" s="8" t="s">
        <v>454</v>
      </c>
      <c r="D86" s="8" t="s">
        <v>373</v>
      </c>
      <c r="E86" s="8" t="s">
        <v>460</v>
      </c>
      <c r="F86" s="9" t="s">
        <v>455</v>
      </c>
      <c r="G86" s="9" t="s">
        <v>456</v>
      </c>
      <c r="H86" s="9" t="s">
        <v>457</v>
      </c>
      <c r="I86" s="9" t="s">
        <v>68</v>
      </c>
      <c r="J86" s="10" t="s">
        <v>15</v>
      </c>
      <c r="K86" s="15" t="str">
        <f>VLOOKUP(J86,DADOS!$A$3:$B$100,2,FALSE)</f>
        <v>EE-GI-001-002</v>
      </c>
      <c r="L86" s="15" t="s">
        <v>303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0</v>
      </c>
      <c r="U86" s="17" t="b">
        <v>0</v>
      </c>
      <c r="V86" s="17" t="b">
        <v>1</v>
      </c>
      <c r="W86" s="11" t="s">
        <v>373</v>
      </c>
      <c r="X86" s="12" t="s">
        <v>14</v>
      </c>
      <c r="Y86" s="12" t="s">
        <v>14</v>
      </c>
      <c r="Z86" s="13" t="s">
        <v>261</v>
      </c>
    </row>
    <row r="87" spans="1:26" ht="19.95" customHeight="1" x14ac:dyDescent="0.3">
      <c r="A87" s="6">
        <v>45693</v>
      </c>
      <c r="B87" s="7" t="s">
        <v>377</v>
      </c>
      <c r="C87" s="8" t="s">
        <v>402</v>
      </c>
      <c r="D87" s="8" t="s">
        <v>458</v>
      </c>
      <c r="E87" s="8" t="s">
        <v>460</v>
      </c>
      <c r="F87" s="9" t="s">
        <v>461</v>
      </c>
      <c r="G87" s="9" t="s">
        <v>462</v>
      </c>
      <c r="H87" s="9" t="s">
        <v>459</v>
      </c>
      <c r="I87" s="9" t="s">
        <v>66</v>
      </c>
      <c r="J87" s="10" t="s">
        <v>186</v>
      </c>
      <c r="K87" s="15" t="str">
        <f>VLOOKUP(J87,DADOS!$A$3:$B$100,2,FALSE)</f>
        <v>EE-GI-001-008</v>
      </c>
      <c r="L87" s="15" t="s">
        <v>303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1</v>
      </c>
      <c r="W87" s="11" t="s">
        <v>458</v>
      </c>
      <c r="X87" s="12" t="s">
        <v>14</v>
      </c>
      <c r="Y87" s="12" t="s">
        <v>14</v>
      </c>
      <c r="Z87" s="13" t="s">
        <v>261</v>
      </c>
    </row>
    <row r="88" spans="1:26" ht="19.95" customHeight="1" x14ac:dyDescent="0.3">
      <c r="A88" s="6">
        <v>45693</v>
      </c>
      <c r="B88" s="7" t="s">
        <v>377</v>
      </c>
      <c r="C88" s="8" t="s">
        <v>472</v>
      </c>
      <c r="D88" s="8" t="s">
        <v>473</v>
      </c>
      <c r="E88" s="8" t="s">
        <v>460</v>
      </c>
      <c r="F88" s="9" t="s">
        <v>474</v>
      </c>
      <c r="G88" s="9" t="s">
        <v>475</v>
      </c>
      <c r="H88" s="9" t="s">
        <v>476</v>
      </c>
      <c r="I88" s="9" t="s">
        <v>68</v>
      </c>
      <c r="J88" s="10" t="s">
        <v>186</v>
      </c>
      <c r="K88" s="15" t="str">
        <f>VLOOKUP(J88,DADOS!$A$3:$B$100,2,FALSE)</f>
        <v>EE-GI-001-008</v>
      </c>
      <c r="L88" s="15" t="s">
        <v>303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0</v>
      </c>
      <c r="U88" s="17" t="b">
        <v>0</v>
      </c>
      <c r="V88" s="17" t="b">
        <v>1</v>
      </c>
      <c r="W88" s="11" t="s">
        <v>473</v>
      </c>
      <c r="X88" s="12" t="s">
        <v>14</v>
      </c>
      <c r="Y88" s="12" t="s">
        <v>14</v>
      </c>
      <c r="Z88" s="13" t="s">
        <v>261</v>
      </c>
    </row>
    <row r="89" spans="1:26" ht="19.95" customHeight="1" x14ac:dyDescent="0.3">
      <c r="A89" s="6">
        <v>45693</v>
      </c>
      <c r="B89" s="7" t="s">
        <v>377</v>
      </c>
      <c r="C89" s="8" t="s">
        <v>477</v>
      </c>
      <c r="D89" s="8" t="s">
        <v>279</v>
      </c>
      <c r="E89" s="8" t="s">
        <v>478</v>
      </c>
      <c r="F89" s="9" t="s">
        <v>479</v>
      </c>
      <c r="G89" s="9" t="s">
        <v>481</v>
      </c>
      <c r="H89" s="9" t="s">
        <v>482</v>
      </c>
      <c r="I89" s="9" t="s">
        <v>65</v>
      </c>
      <c r="J89" s="10" t="s">
        <v>16</v>
      </c>
      <c r="K89" s="15" t="str">
        <f>VLOOKUP(J89,DADOS!$A$3:$B$100,2,FALSE)</f>
        <v>EE-GI-001-003</v>
      </c>
      <c r="L89" s="15" t="s">
        <v>303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1</v>
      </c>
      <c r="U89" s="17" t="b">
        <v>1</v>
      </c>
      <c r="V89" s="17" t="b">
        <v>1</v>
      </c>
      <c r="W89" s="11" t="s">
        <v>279</v>
      </c>
      <c r="X89" s="12" t="s">
        <v>14</v>
      </c>
      <c r="Y89" s="12" t="s">
        <v>14</v>
      </c>
      <c r="Z89" s="13" t="s">
        <v>261</v>
      </c>
    </row>
    <row r="90" spans="1:26" ht="19.95" customHeight="1" x14ac:dyDescent="0.3">
      <c r="A90" s="6">
        <v>45693</v>
      </c>
      <c r="B90" s="7" t="s">
        <v>377</v>
      </c>
      <c r="C90" s="8" t="s">
        <v>477</v>
      </c>
      <c r="D90" s="8" t="s">
        <v>279</v>
      </c>
      <c r="E90" s="8" t="s">
        <v>478</v>
      </c>
      <c r="F90" s="9" t="s">
        <v>480</v>
      </c>
      <c r="G90" s="9" t="s">
        <v>483</v>
      </c>
      <c r="H90" s="9" t="s">
        <v>482</v>
      </c>
      <c r="I90" s="9" t="s">
        <v>65</v>
      </c>
      <c r="J90" s="10" t="s">
        <v>16</v>
      </c>
      <c r="K90" s="15" t="str">
        <f>VLOOKUP(J90,DADOS!$A$3:$B$100,2,FALSE)</f>
        <v>EE-GI-001-003</v>
      </c>
      <c r="L90" s="15" t="s">
        <v>303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1</v>
      </c>
      <c r="U90" s="17" t="b">
        <v>1</v>
      </c>
      <c r="V90" s="17" t="b">
        <v>1</v>
      </c>
      <c r="W90" s="11" t="s">
        <v>279</v>
      </c>
      <c r="X90" s="12" t="s">
        <v>14</v>
      </c>
      <c r="Y90" s="12" t="s">
        <v>14</v>
      </c>
      <c r="Z90" s="13" t="s">
        <v>261</v>
      </c>
    </row>
    <row r="91" spans="1:26" ht="19.95" customHeight="1" x14ac:dyDescent="0.3">
      <c r="A91" s="6">
        <v>45693</v>
      </c>
      <c r="B91" s="7" t="s">
        <v>377</v>
      </c>
      <c r="C91" s="8" t="s">
        <v>484</v>
      </c>
      <c r="D91" s="8" t="s">
        <v>269</v>
      </c>
      <c r="E91" s="8" t="s">
        <v>485</v>
      </c>
      <c r="F91" s="9" t="s">
        <v>486</v>
      </c>
      <c r="G91" s="34"/>
      <c r="H91" s="9" t="s">
        <v>489</v>
      </c>
      <c r="I91" s="9" t="s">
        <v>65</v>
      </c>
      <c r="J91" s="10" t="s">
        <v>17</v>
      </c>
      <c r="K91" s="15" t="str">
        <f>VLOOKUP(J91,DADOS!$A$3:$B$100,2,FALSE)</f>
        <v>EE-GI-001-001</v>
      </c>
      <c r="L91" s="15" t="s">
        <v>303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1</v>
      </c>
      <c r="U91" s="17" t="b">
        <v>1</v>
      </c>
      <c r="V91" s="17" t="b">
        <v>1</v>
      </c>
      <c r="W91" s="11" t="s">
        <v>269</v>
      </c>
      <c r="X91" s="12" t="s">
        <v>14</v>
      </c>
      <c r="Y91" s="12" t="s">
        <v>14</v>
      </c>
      <c r="Z91" s="13" t="s">
        <v>261</v>
      </c>
    </row>
    <row r="92" spans="1:26" ht="19.95" customHeight="1" x14ac:dyDescent="0.3">
      <c r="A92" s="6">
        <v>45693</v>
      </c>
      <c r="B92" s="7" t="s">
        <v>377</v>
      </c>
      <c r="C92" s="8" t="s">
        <v>484</v>
      </c>
      <c r="D92" s="8" t="s">
        <v>269</v>
      </c>
      <c r="E92" s="8" t="s">
        <v>485</v>
      </c>
      <c r="F92" s="9" t="s">
        <v>487</v>
      </c>
      <c r="G92" s="34"/>
      <c r="H92" s="9" t="s">
        <v>489</v>
      </c>
      <c r="I92" s="9" t="s">
        <v>65</v>
      </c>
      <c r="J92" s="10" t="s">
        <v>17</v>
      </c>
      <c r="K92" s="15" t="str">
        <f>VLOOKUP(J92,DADOS!$A$3:$B$100,2,FALSE)</f>
        <v>EE-GI-001-001</v>
      </c>
      <c r="L92" s="15" t="s">
        <v>303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1</v>
      </c>
      <c r="U92" s="17" t="b">
        <v>1</v>
      </c>
      <c r="V92" s="17" t="b">
        <v>1</v>
      </c>
      <c r="W92" s="11" t="s">
        <v>269</v>
      </c>
      <c r="X92" s="12" t="s">
        <v>14</v>
      </c>
      <c r="Y92" s="12" t="s">
        <v>14</v>
      </c>
      <c r="Z92" s="13" t="s">
        <v>261</v>
      </c>
    </row>
    <row r="93" spans="1:26" ht="19.95" customHeight="1" x14ac:dyDescent="0.3">
      <c r="A93" s="6">
        <v>45693</v>
      </c>
      <c r="B93" s="7" t="s">
        <v>377</v>
      </c>
      <c r="C93" s="8" t="s">
        <v>484</v>
      </c>
      <c r="D93" s="8" t="s">
        <v>305</v>
      </c>
      <c r="E93" s="8" t="s">
        <v>485</v>
      </c>
      <c r="F93" s="9" t="s">
        <v>488</v>
      </c>
      <c r="G93" s="34"/>
      <c r="H93" s="9" t="s">
        <v>489</v>
      </c>
      <c r="I93" s="9" t="s">
        <v>65</v>
      </c>
      <c r="J93" s="10" t="s">
        <v>17</v>
      </c>
      <c r="K93" s="15" t="str">
        <f>VLOOKUP(J93,DADOS!$A$3:$B$100,2,FALSE)</f>
        <v>EE-GI-001-001</v>
      </c>
      <c r="L93" s="15" t="s">
        <v>303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1</v>
      </c>
      <c r="U93" s="17" t="b">
        <v>1</v>
      </c>
      <c r="V93" s="17" t="b">
        <v>1</v>
      </c>
      <c r="W93" s="11" t="s">
        <v>305</v>
      </c>
      <c r="X93" s="12" t="s">
        <v>14</v>
      </c>
      <c r="Y93" s="12" t="s">
        <v>14</v>
      </c>
      <c r="Z93" s="13" t="s">
        <v>261</v>
      </c>
    </row>
    <row r="94" spans="1:26" ht="19.95" customHeight="1" x14ac:dyDescent="0.3">
      <c r="A94" s="6">
        <v>45693</v>
      </c>
      <c r="B94" s="7" t="s">
        <v>377</v>
      </c>
      <c r="C94" s="8" t="s">
        <v>490</v>
      </c>
      <c r="D94" s="8" t="s">
        <v>281</v>
      </c>
      <c r="E94" s="8" t="s">
        <v>379</v>
      </c>
      <c r="F94" s="9" t="s">
        <v>493</v>
      </c>
      <c r="G94" s="9" t="s">
        <v>494</v>
      </c>
      <c r="H94" s="9" t="s">
        <v>838</v>
      </c>
      <c r="I94" s="9" t="s">
        <v>67</v>
      </c>
      <c r="J94" s="10" t="s">
        <v>186</v>
      </c>
      <c r="K94" s="15" t="str">
        <f>VLOOKUP(J94,DADOS!$A$3:$B$100,2,FALSE)</f>
        <v>EE-GI-001-008</v>
      </c>
      <c r="L94" s="15" t="s">
        <v>303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281</v>
      </c>
      <c r="X94" s="12" t="s">
        <v>14</v>
      </c>
      <c r="Y94" s="12" t="s">
        <v>14</v>
      </c>
      <c r="Z94" s="13" t="s">
        <v>261</v>
      </c>
    </row>
    <row r="95" spans="1:26" ht="19.95" customHeight="1" x14ac:dyDescent="0.3">
      <c r="A95" s="6">
        <v>45693</v>
      </c>
      <c r="B95" s="7" t="s">
        <v>377</v>
      </c>
      <c r="C95" s="8" t="s">
        <v>491</v>
      </c>
      <c r="D95" s="8" t="s">
        <v>269</v>
      </c>
      <c r="E95" s="8" t="s">
        <v>379</v>
      </c>
      <c r="F95" s="9" t="s">
        <v>495</v>
      </c>
      <c r="G95" s="9" t="s">
        <v>494</v>
      </c>
      <c r="H95" s="9" t="s">
        <v>839</v>
      </c>
      <c r="I95" s="9" t="s">
        <v>66</v>
      </c>
      <c r="J95" s="10" t="s">
        <v>186</v>
      </c>
      <c r="K95" s="15" t="str">
        <f>VLOOKUP(J95,DADOS!$A$3:$B$100,2,FALSE)</f>
        <v>EE-GI-001-008</v>
      </c>
      <c r="L95" s="15" t="s">
        <v>303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269</v>
      </c>
      <c r="X95" s="12" t="s">
        <v>14</v>
      </c>
      <c r="Y95" s="12" t="s">
        <v>14</v>
      </c>
      <c r="Z95" s="13" t="s">
        <v>261</v>
      </c>
    </row>
    <row r="96" spans="1:26" ht="19.95" customHeight="1" x14ac:dyDescent="0.3">
      <c r="A96" s="6">
        <v>45693</v>
      </c>
      <c r="B96" s="7" t="s">
        <v>377</v>
      </c>
      <c r="C96" s="8" t="s">
        <v>492</v>
      </c>
      <c r="D96" s="8" t="s">
        <v>281</v>
      </c>
      <c r="E96" s="8" t="s">
        <v>379</v>
      </c>
      <c r="F96" s="9" t="s">
        <v>496</v>
      </c>
      <c r="G96" s="9" t="s">
        <v>494</v>
      </c>
      <c r="H96" s="9" t="s">
        <v>840</v>
      </c>
      <c r="I96" s="9" t="s">
        <v>66</v>
      </c>
      <c r="J96" s="10" t="s">
        <v>186</v>
      </c>
      <c r="K96" s="15" t="str">
        <f>VLOOKUP(J96,DADOS!$A$3:$B$100,2,FALSE)</f>
        <v>EE-GI-001-008</v>
      </c>
      <c r="L96" s="15" t="s">
        <v>303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0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281</v>
      </c>
      <c r="X96" s="12" t="s">
        <v>14</v>
      </c>
      <c r="Y96" s="12" t="s">
        <v>14</v>
      </c>
      <c r="Z96" s="13" t="s">
        <v>261</v>
      </c>
    </row>
    <row r="97" spans="1:26" ht="19.95" customHeight="1" x14ac:dyDescent="0.3">
      <c r="A97" s="6">
        <v>45693</v>
      </c>
      <c r="B97" s="7" t="s">
        <v>377</v>
      </c>
      <c r="C97" s="9" t="s">
        <v>497</v>
      </c>
      <c r="D97" s="8" t="s">
        <v>269</v>
      </c>
      <c r="E97" s="8" t="s">
        <v>478</v>
      </c>
      <c r="F97" s="9" t="s">
        <v>498</v>
      </c>
      <c r="G97" s="9" t="s">
        <v>301</v>
      </c>
      <c r="H97" s="9" t="s">
        <v>499</v>
      </c>
      <c r="I97" s="9" t="s">
        <v>69</v>
      </c>
      <c r="J97" s="10" t="s">
        <v>17</v>
      </c>
      <c r="K97" s="15" t="str">
        <f>VLOOKUP(J97,[1]DADOS!$A$3:$B$100,2,FALSE)</f>
        <v>EE-GI-001-001</v>
      </c>
      <c r="L97" s="15" t="s">
        <v>354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1</v>
      </c>
      <c r="U97" s="17" t="b">
        <v>1</v>
      </c>
      <c r="V97" s="17" t="b">
        <v>1</v>
      </c>
      <c r="W97" s="11" t="s">
        <v>269</v>
      </c>
      <c r="X97" s="12" t="s">
        <v>14</v>
      </c>
      <c r="Y97" s="12" t="s">
        <v>14</v>
      </c>
      <c r="Z97" s="13" t="s">
        <v>355</v>
      </c>
    </row>
    <row r="98" spans="1:26" ht="19.95" customHeight="1" x14ac:dyDescent="0.3">
      <c r="A98" s="6">
        <v>45693</v>
      </c>
      <c r="B98" s="7" t="s">
        <v>377</v>
      </c>
      <c r="C98" s="9" t="s">
        <v>497</v>
      </c>
      <c r="D98" s="8" t="s">
        <v>269</v>
      </c>
      <c r="E98" s="8" t="s">
        <v>478</v>
      </c>
      <c r="F98" s="9" t="s">
        <v>500</v>
      </c>
      <c r="G98" s="9" t="s">
        <v>301</v>
      </c>
      <c r="H98" s="9" t="s">
        <v>499</v>
      </c>
      <c r="I98" s="9" t="s">
        <v>69</v>
      </c>
      <c r="J98" s="10" t="s">
        <v>17</v>
      </c>
      <c r="K98" s="15" t="str">
        <f>VLOOKUP(J98,[1]DADOS!$A$3:$B$100,2,FALSE)</f>
        <v>EE-GI-001-001</v>
      </c>
      <c r="L98" s="15" t="s">
        <v>354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1</v>
      </c>
      <c r="U98" s="17" t="b">
        <v>1</v>
      </c>
      <c r="V98" s="17" t="b">
        <v>1</v>
      </c>
      <c r="W98" s="11" t="s">
        <v>269</v>
      </c>
      <c r="X98" s="12" t="s">
        <v>14</v>
      </c>
      <c r="Y98" s="12" t="s">
        <v>14</v>
      </c>
      <c r="Z98" s="13" t="s">
        <v>355</v>
      </c>
    </row>
    <row r="99" spans="1:26" ht="19.95" customHeight="1" x14ac:dyDescent="0.3">
      <c r="A99" s="6">
        <v>45693</v>
      </c>
      <c r="B99" s="7" t="s">
        <v>377</v>
      </c>
      <c r="C99" s="9" t="s">
        <v>497</v>
      </c>
      <c r="D99" s="8" t="s">
        <v>269</v>
      </c>
      <c r="E99" s="8" t="s">
        <v>478</v>
      </c>
      <c r="F99" s="9" t="s">
        <v>501</v>
      </c>
      <c r="G99" s="9" t="s">
        <v>301</v>
      </c>
      <c r="H99" s="9" t="s">
        <v>499</v>
      </c>
      <c r="I99" s="9" t="s">
        <v>69</v>
      </c>
      <c r="J99" s="10" t="s">
        <v>17</v>
      </c>
      <c r="K99" s="15" t="str">
        <f>VLOOKUP(J99,[1]DADOS!$A$3:$B$100,2,FALSE)</f>
        <v>EE-GI-001-001</v>
      </c>
      <c r="L99" s="15" t="s">
        <v>354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1</v>
      </c>
      <c r="U99" s="17" t="b">
        <v>1</v>
      </c>
      <c r="V99" s="17" t="b">
        <v>1</v>
      </c>
      <c r="W99" s="11" t="s">
        <v>269</v>
      </c>
      <c r="X99" s="12" t="s">
        <v>14</v>
      </c>
      <c r="Y99" s="12" t="s">
        <v>14</v>
      </c>
      <c r="Z99" s="13" t="s">
        <v>355</v>
      </c>
    </row>
    <row r="100" spans="1:26" ht="19.95" customHeight="1" x14ac:dyDescent="0.3">
      <c r="A100" s="6">
        <v>45693</v>
      </c>
      <c r="B100" s="7" t="s">
        <v>377</v>
      </c>
      <c r="C100" s="8" t="s">
        <v>502</v>
      </c>
      <c r="D100" s="8" t="s">
        <v>269</v>
      </c>
      <c r="E100" s="8" t="s">
        <v>478</v>
      </c>
      <c r="F100" s="9" t="s">
        <v>503</v>
      </c>
      <c r="G100" s="9" t="s">
        <v>504</v>
      </c>
      <c r="H100" s="9" t="s">
        <v>505</v>
      </c>
      <c r="I100" s="9" t="s">
        <v>69</v>
      </c>
      <c r="J100" s="10" t="s">
        <v>17</v>
      </c>
      <c r="K100" s="15" t="str">
        <f>VLOOKUP(J100,[1]DADOS!$A$3:$B$100,2,FALSE)</f>
        <v>EE-GI-001-001</v>
      </c>
      <c r="L100" s="15" t="s">
        <v>354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1</v>
      </c>
      <c r="U100" s="17" t="b">
        <v>1</v>
      </c>
      <c r="V100" s="17" t="b">
        <v>1</v>
      </c>
      <c r="W100" s="11" t="s">
        <v>269</v>
      </c>
      <c r="X100" s="12" t="s">
        <v>14</v>
      </c>
      <c r="Y100" s="12" t="s">
        <v>14</v>
      </c>
      <c r="Z100" s="13" t="s">
        <v>355</v>
      </c>
    </row>
    <row r="101" spans="1:26" ht="19.95" customHeight="1" x14ac:dyDescent="0.3">
      <c r="A101" s="6">
        <v>45693</v>
      </c>
      <c r="B101" s="7" t="s">
        <v>377</v>
      </c>
      <c r="C101" s="8" t="s">
        <v>502</v>
      </c>
      <c r="D101" s="8" t="s">
        <v>269</v>
      </c>
      <c r="E101" s="8" t="s">
        <v>478</v>
      </c>
      <c r="F101" s="9" t="s">
        <v>506</v>
      </c>
      <c r="G101" s="9" t="s">
        <v>504</v>
      </c>
      <c r="H101" s="9" t="s">
        <v>505</v>
      </c>
      <c r="I101" s="9" t="s">
        <v>69</v>
      </c>
      <c r="J101" s="10" t="s">
        <v>17</v>
      </c>
      <c r="K101" s="15" t="str">
        <f>VLOOKUP(J101,[1]DADOS!$A$3:$B$100,2,FALSE)</f>
        <v>EE-GI-001-001</v>
      </c>
      <c r="L101" s="15" t="s">
        <v>354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0</v>
      </c>
      <c r="S101" s="17" t="b">
        <v>0</v>
      </c>
      <c r="T101" s="17" t="b">
        <v>1</v>
      </c>
      <c r="U101" s="17" t="b">
        <v>1</v>
      </c>
      <c r="V101" s="17" t="b">
        <v>1</v>
      </c>
      <c r="W101" s="11" t="s">
        <v>269</v>
      </c>
      <c r="X101" s="12" t="s">
        <v>14</v>
      </c>
      <c r="Y101" s="12" t="s">
        <v>14</v>
      </c>
      <c r="Z101" s="13" t="s">
        <v>355</v>
      </c>
    </row>
    <row r="102" spans="1:26" ht="19.95" customHeight="1" x14ac:dyDescent="0.3">
      <c r="A102" s="6">
        <v>45693</v>
      </c>
      <c r="B102" s="7" t="s">
        <v>377</v>
      </c>
      <c r="C102" s="8" t="s">
        <v>502</v>
      </c>
      <c r="D102" s="8" t="s">
        <v>281</v>
      </c>
      <c r="E102" s="8" t="s">
        <v>478</v>
      </c>
      <c r="F102" s="9" t="s">
        <v>507</v>
      </c>
      <c r="G102" s="9" t="s">
        <v>504</v>
      </c>
      <c r="H102" s="9" t="s">
        <v>505</v>
      </c>
      <c r="I102" s="9" t="s">
        <v>69</v>
      </c>
      <c r="J102" s="10" t="s">
        <v>17</v>
      </c>
      <c r="K102" s="15" t="str">
        <f>VLOOKUP(J102,[1]DADOS!$A$3:$B$100,2,FALSE)</f>
        <v>EE-GI-001-001</v>
      </c>
      <c r="L102" s="15" t="s">
        <v>354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0</v>
      </c>
      <c r="S102" s="17" t="b">
        <v>0</v>
      </c>
      <c r="T102" s="17" t="b">
        <v>1</v>
      </c>
      <c r="U102" s="17" t="b">
        <v>1</v>
      </c>
      <c r="V102" s="17" t="b">
        <v>1</v>
      </c>
      <c r="W102" s="11" t="s">
        <v>281</v>
      </c>
      <c r="X102" s="12" t="s">
        <v>14</v>
      </c>
      <c r="Y102" s="12" t="s">
        <v>14</v>
      </c>
      <c r="Z102" s="13" t="s">
        <v>355</v>
      </c>
    </row>
    <row r="103" spans="1:26" ht="19.95" customHeight="1" x14ac:dyDescent="0.3">
      <c r="A103" s="6">
        <v>45693</v>
      </c>
      <c r="B103" s="7" t="s">
        <v>377</v>
      </c>
      <c r="C103" s="8" t="s">
        <v>612</v>
      </c>
      <c r="D103" s="8" t="s">
        <v>281</v>
      </c>
      <c r="E103" s="8" t="s">
        <v>485</v>
      </c>
      <c r="F103" s="9" t="s">
        <v>613</v>
      </c>
      <c r="G103" s="9" t="s">
        <v>614</v>
      </c>
      <c r="H103" s="9" t="s">
        <v>615</v>
      </c>
      <c r="I103" s="9" t="s">
        <v>69</v>
      </c>
      <c r="J103" s="10" t="s">
        <v>15</v>
      </c>
      <c r="K103" s="15" t="str">
        <f>VLOOKUP(J103,[1]DADOS!$A$3:$B$100,2,FALSE)</f>
        <v>EE-GI-001-002</v>
      </c>
      <c r="L103" s="15" t="s">
        <v>354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1</v>
      </c>
      <c r="W103" s="11" t="s">
        <v>281</v>
      </c>
      <c r="X103" s="12" t="s">
        <v>14</v>
      </c>
      <c r="Y103" s="12" t="s">
        <v>14</v>
      </c>
      <c r="Z103" s="13" t="s">
        <v>355</v>
      </c>
    </row>
    <row r="104" spans="1:26" ht="19.95" customHeight="1" x14ac:dyDescent="0.3">
      <c r="A104" s="6">
        <v>45693</v>
      </c>
      <c r="B104" s="7" t="s">
        <v>339</v>
      </c>
      <c r="C104" s="8" t="s">
        <v>463</v>
      </c>
      <c r="D104" s="8" t="s">
        <v>414</v>
      </c>
      <c r="E104" s="8" t="s">
        <v>469</v>
      </c>
      <c r="F104" s="9" t="s">
        <v>468</v>
      </c>
      <c r="G104" s="9" t="s">
        <v>470</v>
      </c>
      <c r="H104" s="9" t="s">
        <v>14</v>
      </c>
      <c r="I104" s="9" t="s">
        <v>471</v>
      </c>
      <c r="J104" s="10" t="s">
        <v>15</v>
      </c>
      <c r="K104" s="15" t="str">
        <f>VLOOKUP(J104,DADOS!$A$3:$B$100,2,FALSE)</f>
        <v>EE-GI-001-002</v>
      </c>
      <c r="L104" s="15" t="s">
        <v>260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1</v>
      </c>
      <c r="W104" s="11" t="s">
        <v>414</v>
      </c>
      <c r="X104" s="12" t="s">
        <v>14</v>
      </c>
      <c r="Y104" s="12" t="s">
        <v>14</v>
      </c>
      <c r="Z104" s="13" t="s">
        <v>261</v>
      </c>
    </row>
    <row r="105" spans="1:26" ht="19.95" customHeight="1" x14ac:dyDescent="0.3">
      <c r="A105" s="6">
        <v>45693</v>
      </c>
      <c r="B105" s="7" t="s">
        <v>339</v>
      </c>
      <c r="C105" s="8" t="s">
        <v>512</v>
      </c>
      <c r="D105" s="8" t="s">
        <v>281</v>
      </c>
      <c r="E105" s="8" t="s">
        <v>469</v>
      </c>
      <c r="F105" s="9" t="s">
        <v>513</v>
      </c>
      <c r="G105" s="9" t="s">
        <v>514</v>
      </c>
      <c r="H105" s="9" t="s">
        <v>14</v>
      </c>
      <c r="I105" s="9" t="s">
        <v>69</v>
      </c>
      <c r="J105" s="10" t="s">
        <v>176</v>
      </c>
      <c r="K105" s="15" t="str">
        <f>VLOOKUP(J105,DADOS!$A$3:$B$100,2,FALSE)</f>
        <v>EE-GI-001-011</v>
      </c>
      <c r="L105" s="15" t="s">
        <v>303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1</v>
      </c>
      <c r="W105" s="11" t="s">
        <v>281</v>
      </c>
      <c r="X105" s="12" t="s">
        <v>14</v>
      </c>
      <c r="Y105" s="12" t="s">
        <v>14</v>
      </c>
      <c r="Z105" s="13" t="s">
        <v>261</v>
      </c>
    </row>
    <row r="106" spans="1:26" ht="19.95" customHeight="1" x14ac:dyDescent="0.3">
      <c r="A106" s="6">
        <v>45693</v>
      </c>
      <c r="B106" s="7" t="s">
        <v>339</v>
      </c>
      <c r="C106" s="8" t="s">
        <v>1674</v>
      </c>
      <c r="D106" s="8" t="s">
        <v>269</v>
      </c>
      <c r="E106" s="8" t="s">
        <v>469</v>
      </c>
      <c r="F106" s="9" t="s">
        <v>1675</v>
      </c>
      <c r="G106" s="9" t="s">
        <v>367</v>
      </c>
      <c r="H106" s="9" t="s">
        <v>14</v>
      </c>
      <c r="I106" s="9" t="s">
        <v>65</v>
      </c>
      <c r="J106" s="10" t="s">
        <v>181</v>
      </c>
      <c r="K106" s="15" t="str">
        <f>VLOOKUP(J106,DADOS!$A$3:$B$100,2,FALSE)</f>
        <v>EE-GI-001-023</v>
      </c>
      <c r="L106" s="15" t="s">
        <v>1676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1</v>
      </c>
      <c r="U106" s="17" t="b">
        <v>1</v>
      </c>
      <c r="V106" s="17" t="b">
        <v>1</v>
      </c>
      <c r="W106" s="11" t="s">
        <v>269</v>
      </c>
      <c r="X106" s="12" t="s">
        <v>14</v>
      </c>
      <c r="Y106" s="12" t="s">
        <v>14</v>
      </c>
      <c r="Z106" s="13" t="s">
        <v>355</v>
      </c>
    </row>
    <row r="107" spans="1:26" ht="19.95" customHeight="1" x14ac:dyDescent="0.3">
      <c r="A107" s="6">
        <v>45693</v>
      </c>
      <c r="B107" s="7" t="s">
        <v>578</v>
      </c>
      <c r="C107" s="8" t="s">
        <v>590</v>
      </c>
      <c r="D107" s="8" t="s">
        <v>591</v>
      </c>
      <c r="E107" s="8" t="s">
        <v>592</v>
      </c>
      <c r="F107" s="9" t="s">
        <v>593</v>
      </c>
      <c r="G107" s="9" t="s">
        <v>594</v>
      </c>
      <c r="H107" s="9" t="s">
        <v>595</v>
      </c>
      <c r="I107" s="9" t="s">
        <v>66</v>
      </c>
      <c r="J107" s="10" t="s">
        <v>174</v>
      </c>
      <c r="K107" s="15" t="str">
        <f>VLOOKUP(J107,DADOS!$A$3:$B$100,2,FALSE)</f>
        <v>EE-GI-001-007</v>
      </c>
      <c r="L107" s="15" t="s">
        <v>260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1</v>
      </c>
      <c r="W107" s="11" t="s">
        <v>591</v>
      </c>
      <c r="X107" s="12" t="s">
        <v>14</v>
      </c>
      <c r="Y107" s="12" t="s">
        <v>14</v>
      </c>
      <c r="Z107" s="13" t="s">
        <v>261</v>
      </c>
    </row>
    <row r="108" spans="1:26" ht="19.95" customHeight="1" x14ac:dyDescent="0.3">
      <c r="A108" s="6">
        <v>45693</v>
      </c>
      <c r="B108" s="7" t="s">
        <v>578</v>
      </c>
      <c r="C108" s="8" t="s">
        <v>618</v>
      </c>
      <c r="D108" s="8" t="s">
        <v>619</v>
      </c>
      <c r="E108" s="8" t="s">
        <v>592</v>
      </c>
      <c r="F108" s="9" t="s">
        <v>620</v>
      </c>
      <c r="G108" s="9" t="s">
        <v>621</v>
      </c>
      <c r="H108" s="9" t="s">
        <v>622</v>
      </c>
      <c r="I108" s="9" t="s">
        <v>66</v>
      </c>
      <c r="J108" s="10" t="s">
        <v>186</v>
      </c>
      <c r="K108" s="15" t="str">
        <f>VLOOKUP(J108,DADOS!$A$3:$B$100,2,FALSE)</f>
        <v>EE-GI-001-008</v>
      </c>
      <c r="L108" s="15" t="s">
        <v>303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0</v>
      </c>
      <c r="T108" s="17" t="b">
        <v>0</v>
      </c>
      <c r="U108" s="17" t="b">
        <v>0</v>
      </c>
      <c r="V108" s="17" t="b">
        <v>1</v>
      </c>
      <c r="W108" s="11" t="s">
        <v>619</v>
      </c>
      <c r="X108" s="12" t="s">
        <v>14</v>
      </c>
      <c r="Y108" s="12" t="s">
        <v>14</v>
      </c>
      <c r="Z108" s="13" t="s">
        <v>261</v>
      </c>
    </row>
    <row r="109" spans="1:26" ht="19.95" customHeight="1" x14ac:dyDescent="0.3">
      <c r="A109" s="6">
        <v>45693</v>
      </c>
      <c r="B109" s="7" t="s">
        <v>2155</v>
      </c>
      <c r="C109" s="8" t="s">
        <v>2217</v>
      </c>
      <c r="D109" s="8" t="s">
        <v>287</v>
      </c>
      <c r="E109" s="8" t="s">
        <v>2223</v>
      </c>
      <c r="F109" s="9" t="s">
        <v>2218</v>
      </c>
      <c r="G109" s="9" t="s">
        <v>2219</v>
      </c>
      <c r="H109" s="9" t="s">
        <v>2220</v>
      </c>
      <c r="I109" s="9" t="s">
        <v>66</v>
      </c>
      <c r="J109" s="10" t="s">
        <v>186</v>
      </c>
      <c r="K109" s="15" t="str">
        <f>VLOOKUP(J109,DADOS!$A$3:$B$100,2,FALSE)</f>
        <v>EE-GI-001-008</v>
      </c>
      <c r="L109" s="15" t="s">
        <v>260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1</v>
      </c>
      <c r="S109" s="17" t="b">
        <v>0</v>
      </c>
      <c r="T109" s="17" t="b">
        <v>0</v>
      </c>
      <c r="U109" s="17" t="b">
        <v>0</v>
      </c>
      <c r="V109" s="17" t="b">
        <v>0</v>
      </c>
      <c r="W109" s="11" t="s">
        <v>287</v>
      </c>
      <c r="X109" s="12" t="s">
        <v>14</v>
      </c>
      <c r="Y109" s="12" t="s">
        <v>14</v>
      </c>
      <c r="Z109" s="13" t="s">
        <v>355</v>
      </c>
    </row>
    <row r="110" spans="1:26" ht="19.95" customHeight="1" x14ac:dyDescent="0.3">
      <c r="A110" s="6">
        <v>45693</v>
      </c>
      <c r="B110" s="7" t="s">
        <v>2155</v>
      </c>
      <c r="C110" s="8" t="s">
        <v>2217</v>
      </c>
      <c r="D110" s="8" t="s">
        <v>373</v>
      </c>
      <c r="E110" s="8" t="s">
        <v>2223</v>
      </c>
      <c r="F110" s="9" t="s">
        <v>2221</v>
      </c>
      <c r="G110" s="9" t="s">
        <v>2219</v>
      </c>
      <c r="H110" s="9" t="s">
        <v>2220</v>
      </c>
      <c r="I110" s="9" t="s">
        <v>66</v>
      </c>
      <c r="J110" s="10" t="s">
        <v>186</v>
      </c>
      <c r="K110" s="15" t="str">
        <f>VLOOKUP(J110,DADOS!$A$3:$B$100,2,FALSE)</f>
        <v>EE-GI-001-008</v>
      </c>
      <c r="L110" s="15" t="s">
        <v>260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1</v>
      </c>
      <c r="S110" s="17" t="b">
        <v>0</v>
      </c>
      <c r="T110" s="17" t="b">
        <v>0</v>
      </c>
      <c r="U110" s="17" t="b">
        <v>0</v>
      </c>
      <c r="V110" s="17" t="b">
        <v>0</v>
      </c>
      <c r="W110" s="11" t="s">
        <v>373</v>
      </c>
      <c r="X110" s="12" t="s">
        <v>14</v>
      </c>
      <c r="Y110" s="12" t="s">
        <v>14</v>
      </c>
      <c r="Z110" s="13" t="s">
        <v>355</v>
      </c>
    </row>
    <row r="111" spans="1:26" ht="19.95" customHeight="1" x14ac:dyDescent="0.3">
      <c r="A111" s="6">
        <v>45693</v>
      </c>
      <c r="B111" s="7" t="s">
        <v>2155</v>
      </c>
      <c r="C111" s="8" t="s">
        <v>2222</v>
      </c>
      <c r="D111" s="8" t="s">
        <v>373</v>
      </c>
      <c r="E111" s="8" t="s">
        <v>2223</v>
      </c>
      <c r="F111" s="9" t="s">
        <v>2224</v>
      </c>
      <c r="G111" s="9" t="s">
        <v>2215</v>
      </c>
      <c r="H111" s="9" t="s">
        <v>2225</v>
      </c>
      <c r="I111" s="9" t="s">
        <v>68</v>
      </c>
      <c r="J111" s="10" t="s">
        <v>186</v>
      </c>
      <c r="K111" s="15" t="str">
        <f>VLOOKUP(J111,DADOS!$A$3:$B$100,2,FALSE)</f>
        <v>EE-GI-001-008</v>
      </c>
      <c r="L111" s="15" t="s">
        <v>1955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1</v>
      </c>
      <c r="S111" s="17" t="b">
        <v>0</v>
      </c>
      <c r="T111" s="17" t="b">
        <v>0</v>
      </c>
      <c r="U111" s="17" t="b">
        <v>0</v>
      </c>
      <c r="V111" s="17" t="b">
        <v>0</v>
      </c>
      <c r="W111" s="11" t="s">
        <v>373</v>
      </c>
      <c r="X111" s="12" t="s">
        <v>14</v>
      </c>
      <c r="Y111" s="12" t="s">
        <v>14</v>
      </c>
      <c r="Z111" s="13" t="s">
        <v>355</v>
      </c>
    </row>
    <row r="112" spans="1:26" ht="19.95" customHeight="1" x14ac:dyDescent="0.3">
      <c r="A112" s="6">
        <v>45693</v>
      </c>
      <c r="B112" s="7" t="s">
        <v>2155</v>
      </c>
      <c r="C112" s="8" t="s">
        <v>2213</v>
      </c>
      <c r="D112" s="8" t="s">
        <v>458</v>
      </c>
      <c r="E112" s="8" t="s">
        <v>2223</v>
      </c>
      <c r="F112" s="9" t="s">
        <v>2214</v>
      </c>
      <c r="G112" s="9" t="s">
        <v>2215</v>
      </c>
      <c r="H112" s="9" t="s">
        <v>2226</v>
      </c>
      <c r="I112" s="9" t="s">
        <v>68</v>
      </c>
      <c r="J112" s="10" t="s">
        <v>186</v>
      </c>
      <c r="K112" s="15" t="str">
        <f>VLOOKUP(J112,DADOS!$A$3:$B$100,2,FALSE)</f>
        <v>EE-GI-001-008</v>
      </c>
      <c r="L112" s="15" t="s">
        <v>2096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1</v>
      </c>
      <c r="S112" s="17" t="b">
        <v>0</v>
      </c>
      <c r="T112" s="17" t="b">
        <v>0</v>
      </c>
      <c r="U112" s="17" t="b">
        <v>0</v>
      </c>
      <c r="V112" s="17" t="b">
        <v>0</v>
      </c>
      <c r="W112" s="11" t="s">
        <v>458</v>
      </c>
      <c r="X112" s="12" t="s">
        <v>14</v>
      </c>
      <c r="Y112" s="12" t="s">
        <v>14</v>
      </c>
      <c r="Z112" s="13" t="s">
        <v>355</v>
      </c>
    </row>
    <row r="113" spans="1:26" ht="19.95" customHeight="1" x14ac:dyDescent="0.3">
      <c r="A113" s="6">
        <v>45693</v>
      </c>
      <c r="B113" s="7" t="s">
        <v>2155</v>
      </c>
      <c r="C113" s="8" t="s">
        <v>2227</v>
      </c>
      <c r="D113" s="8" t="s">
        <v>269</v>
      </c>
      <c r="E113" s="8" t="s">
        <v>2223</v>
      </c>
      <c r="F113" s="9" t="s">
        <v>2228</v>
      </c>
      <c r="G113" s="9" t="s">
        <v>1008</v>
      </c>
      <c r="H113" s="9" t="s">
        <v>2229</v>
      </c>
      <c r="I113" s="9" t="s">
        <v>68</v>
      </c>
      <c r="J113" s="10" t="s">
        <v>186</v>
      </c>
      <c r="K113" s="15" t="str">
        <f>VLOOKUP(J113,DADOS!$A$3:$B$100,2,FALSE)</f>
        <v>EE-GI-001-008</v>
      </c>
      <c r="L113" s="15" t="s">
        <v>2096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1</v>
      </c>
      <c r="S113" s="17" t="b">
        <v>0</v>
      </c>
      <c r="T113" s="17" t="b">
        <v>0</v>
      </c>
      <c r="U113" s="17" t="b">
        <v>0</v>
      </c>
      <c r="V113" s="17" t="b">
        <v>0</v>
      </c>
      <c r="W113" s="11" t="s">
        <v>269</v>
      </c>
      <c r="X113" s="12" t="s">
        <v>14</v>
      </c>
      <c r="Y113" s="12" t="s">
        <v>14</v>
      </c>
      <c r="Z113" s="13" t="s">
        <v>355</v>
      </c>
    </row>
    <row r="114" spans="1:26" ht="19.95" customHeight="1" x14ac:dyDescent="0.3">
      <c r="A114" s="6">
        <v>45693</v>
      </c>
      <c r="B114" s="7" t="s">
        <v>2155</v>
      </c>
      <c r="C114" s="8" t="s">
        <v>2230</v>
      </c>
      <c r="D114" s="8" t="s">
        <v>281</v>
      </c>
      <c r="E114" s="8" t="s">
        <v>2223</v>
      </c>
      <c r="F114" s="9" t="s">
        <v>2231</v>
      </c>
      <c r="G114" s="9" t="s">
        <v>2232</v>
      </c>
      <c r="H114" s="9" t="s">
        <v>2233</v>
      </c>
      <c r="I114" s="9" t="s">
        <v>68</v>
      </c>
      <c r="J114" s="10" t="s">
        <v>186</v>
      </c>
      <c r="K114" s="15" t="str">
        <f>VLOOKUP(J114,DADOS!$A$3:$B$100,2,FALSE)</f>
        <v>EE-GI-001-008</v>
      </c>
      <c r="L114" s="15" t="s">
        <v>1955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1</v>
      </c>
      <c r="S114" s="17" t="b">
        <v>0</v>
      </c>
      <c r="T114" s="17" t="b">
        <v>0</v>
      </c>
      <c r="U114" s="17" t="b">
        <v>0</v>
      </c>
      <c r="V114" s="17" t="b">
        <v>0</v>
      </c>
      <c r="W114" s="11" t="s">
        <v>281</v>
      </c>
      <c r="X114" s="12" t="s">
        <v>14</v>
      </c>
      <c r="Y114" s="12" t="s">
        <v>14</v>
      </c>
      <c r="Z114" s="13" t="s">
        <v>355</v>
      </c>
    </row>
    <row r="115" spans="1:26" ht="19.95" customHeight="1" x14ac:dyDescent="0.3">
      <c r="A115" s="6">
        <v>45693</v>
      </c>
      <c r="B115" s="7" t="s">
        <v>2155</v>
      </c>
      <c r="C115" s="8" t="s">
        <v>2165</v>
      </c>
      <c r="D115" s="8" t="s">
        <v>1271</v>
      </c>
      <c r="E115" s="8" t="s">
        <v>2223</v>
      </c>
      <c r="F115" s="9" t="s">
        <v>2234</v>
      </c>
      <c r="G115" s="9" t="s">
        <v>2171</v>
      </c>
      <c r="H115" s="9" t="s">
        <v>2235</v>
      </c>
      <c r="I115" s="9" t="s">
        <v>66</v>
      </c>
      <c r="J115" s="10" t="s">
        <v>186</v>
      </c>
      <c r="K115" s="15" t="str">
        <f>VLOOKUP(J115,DADOS!$A$3:$B$100,2,FALSE)</f>
        <v>EE-GI-001-008</v>
      </c>
      <c r="L115" s="15" t="s">
        <v>1955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1</v>
      </c>
      <c r="S115" s="17" t="b">
        <v>0</v>
      </c>
      <c r="T115" s="17" t="b">
        <v>0</v>
      </c>
      <c r="U115" s="17" t="b">
        <v>0</v>
      </c>
      <c r="V115" s="17" t="b">
        <v>0</v>
      </c>
      <c r="W115" s="11" t="s">
        <v>1271</v>
      </c>
      <c r="X115" s="12" t="s">
        <v>14</v>
      </c>
      <c r="Y115" s="12" t="s">
        <v>14</v>
      </c>
      <c r="Z115" s="13" t="s">
        <v>355</v>
      </c>
    </row>
    <row r="116" spans="1:26" ht="19.95" customHeight="1" x14ac:dyDescent="0.3">
      <c r="A116" s="6">
        <v>45693</v>
      </c>
      <c r="B116" s="7" t="s">
        <v>2155</v>
      </c>
      <c r="C116" s="8" t="s">
        <v>2236</v>
      </c>
      <c r="D116" s="8" t="s">
        <v>373</v>
      </c>
      <c r="E116" s="8" t="s">
        <v>2223</v>
      </c>
      <c r="F116" s="9" t="s">
        <v>2237</v>
      </c>
      <c r="G116" s="9" t="s">
        <v>2238</v>
      </c>
      <c r="H116" s="9" t="s">
        <v>2239</v>
      </c>
      <c r="I116" s="9" t="s">
        <v>66</v>
      </c>
      <c r="J116" s="10" t="s">
        <v>186</v>
      </c>
      <c r="K116" s="15" t="str">
        <f>VLOOKUP(J116,DADOS!$A$3:$B$100,2,FALSE)</f>
        <v>EE-GI-001-008</v>
      </c>
      <c r="L116" s="15" t="s">
        <v>1955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1</v>
      </c>
      <c r="S116" s="17" t="b">
        <v>0</v>
      </c>
      <c r="T116" s="17" t="b">
        <v>0</v>
      </c>
      <c r="U116" s="17" t="b">
        <v>0</v>
      </c>
      <c r="V116" s="17" t="b">
        <v>0</v>
      </c>
      <c r="W116" s="11" t="s">
        <v>373</v>
      </c>
      <c r="X116" s="12" t="s">
        <v>14</v>
      </c>
      <c r="Y116" s="12" t="s">
        <v>14</v>
      </c>
      <c r="Z116" s="13" t="s">
        <v>355</v>
      </c>
    </row>
    <row r="117" spans="1:26" ht="19.95" customHeight="1" x14ac:dyDescent="0.3">
      <c r="A117" s="6">
        <v>45693</v>
      </c>
      <c r="B117" s="7" t="s">
        <v>2155</v>
      </c>
      <c r="C117" s="8" t="s">
        <v>2240</v>
      </c>
      <c r="D117" s="8" t="s">
        <v>421</v>
      </c>
      <c r="E117" s="8" t="s">
        <v>2223</v>
      </c>
      <c r="F117" s="9" t="s">
        <v>2241</v>
      </c>
      <c r="G117" s="9" t="s">
        <v>2242</v>
      </c>
      <c r="H117" s="9" t="s">
        <v>2243</v>
      </c>
      <c r="I117" s="9" t="s">
        <v>66</v>
      </c>
      <c r="J117" s="10" t="s">
        <v>186</v>
      </c>
      <c r="K117" s="15" t="str">
        <f>VLOOKUP(J117,DADOS!$A$3:$B$100,2,FALSE)</f>
        <v>EE-GI-001-008</v>
      </c>
      <c r="L117" s="15" t="s">
        <v>1955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1</v>
      </c>
      <c r="S117" s="17" t="b">
        <v>0</v>
      </c>
      <c r="T117" s="17" t="b">
        <v>0</v>
      </c>
      <c r="U117" s="17" t="b">
        <v>0</v>
      </c>
      <c r="V117" s="17" t="b">
        <v>0</v>
      </c>
      <c r="W117" s="11" t="s">
        <v>421</v>
      </c>
      <c r="X117" s="12" t="s">
        <v>14</v>
      </c>
      <c r="Y117" s="12" t="s">
        <v>14</v>
      </c>
      <c r="Z117" s="13" t="s">
        <v>355</v>
      </c>
    </row>
    <row r="118" spans="1:26" ht="19.95" customHeight="1" x14ac:dyDescent="0.3">
      <c r="A118" s="6">
        <v>45693</v>
      </c>
      <c r="B118" s="7" t="s">
        <v>2155</v>
      </c>
      <c r="C118" s="8" t="s">
        <v>2240</v>
      </c>
      <c r="D118" s="8" t="s">
        <v>287</v>
      </c>
      <c r="E118" s="8" t="s">
        <v>2223</v>
      </c>
      <c r="F118" s="9" t="s">
        <v>2244</v>
      </c>
      <c r="G118" s="9" t="s">
        <v>2242</v>
      </c>
      <c r="H118" s="9" t="s">
        <v>2243</v>
      </c>
      <c r="I118" s="9" t="s">
        <v>66</v>
      </c>
      <c r="J118" s="10" t="s">
        <v>186</v>
      </c>
      <c r="K118" s="15" t="str">
        <f>VLOOKUP(J118,DADOS!$A$3:$B$100,2,FALSE)</f>
        <v>EE-GI-001-008</v>
      </c>
      <c r="L118" s="15" t="s">
        <v>1955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1</v>
      </c>
      <c r="S118" s="17" t="b">
        <v>0</v>
      </c>
      <c r="T118" s="17" t="b">
        <v>0</v>
      </c>
      <c r="U118" s="17" t="b">
        <v>0</v>
      </c>
      <c r="V118" s="17" t="b">
        <v>0</v>
      </c>
      <c r="W118" s="11" t="s">
        <v>287</v>
      </c>
      <c r="X118" s="12" t="s">
        <v>14</v>
      </c>
      <c r="Y118" s="12" t="s">
        <v>14</v>
      </c>
      <c r="Z118" s="13" t="s">
        <v>355</v>
      </c>
    </row>
    <row r="119" spans="1:26" ht="19.95" customHeight="1" x14ac:dyDescent="0.3">
      <c r="A119" s="6">
        <v>45693</v>
      </c>
      <c r="B119" s="7" t="s">
        <v>2281</v>
      </c>
      <c r="C119" s="8" t="s">
        <v>2282</v>
      </c>
      <c r="D119" s="8" t="s">
        <v>269</v>
      </c>
      <c r="E119" s="8" t="s">
        <v>2283</v>
      </c>
      <c r="F119" s="9" t="s">
        <v>2284</v>
      </c>
      <c r="G119" s="9" t="s">
        <v>2285</v>
      </c>
      <c r="H119" s="9" t="s">
        <v>2286</v>
      </c>
      <c r="I119" s="9" t="s">
        <v>69</v>
      </c>
      <c r="J119" s="10" t="s">
        <v>190</v>
      </c>
      <c r="K119" s="15" t="str">
        <f>VLOOKUP(J119,DADOS!$A$3:$B$100,2,FALSE)</f>
        <v>EE-GI-001-037</v>
      </c>
      <c r="L119" s="15" t="s">
        <v>260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0</v>
      </c>
      <c r="R119" s="17" t="b">
        <v>1</v>
      </c>
      <c r="S119" s="17" t="b">
        <v>0</v>
      </c>
      <c r="T119" s="17" t="b">
        <v>0</v>
      </c>
      <c r="U119" s="17" t="b">
        <v>0</v>
      </c>
      <c r="V119" s="17" t="b">
        <v>0</v>
      </c>
      <c r="W119" s="11" t="s">
        <v>269</v>
      </c>
      <c r="X119" s="12" t="s">
        <v>14</v>
      </c>
      <c r="Y119" s="12" t="s">
        <v>14</v>
      </c>
      <c r="Z119" s="13" t="s">
        <v>355</v>
      </c>
    </row>
    <row r="120" spans="1:26" ht="19.95" customHeight="1" x14ac:dyDescent="0.3">
      <c r="A120" s="6">
        <v>45694</v>
      </c>
      <c r="B120" s="7" t="s">
        <v>377</v>
      </c>
      <c r="C120" s="8" t="s">
        <v>378</v>
      </c>
      <c r="D120" s="8" t="s">
        <v>281</v>
      </c>
      <c r="E120" s="8" t="s">
        <v>379</v>
      </c>
      <c r="F120" s="9" t="s">
        <v>380</v>
      </c>
      <c r="G120" s="9" t="s">
        <v>382</v>
      </c>
      <c r="H120" s="9" t="s">
        <v>384</v>
      </c>
      <c r="I120" s="9" t="s">
        <v>66</v>
      </c>
      <c r="J120" s="10" t="s">
        <v>186</v>
      </c>
      <c r="K120" s="15" t="str">
        <f>VLOOKUP(J120,DADOS!$A$3:$B$100,2,FALSE)</f>
        <v>EE-GI-001-008</v>
      </c>
      <c r="L120" s="15" t="s">
        <v>303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281</v>
      </c>
      <c r="X120" s="12" t="s">
        <v>14</v>
      </c>
      <c r="Y120" s="12" t="s">
        <v>14</v>
      </c>
      <c r="Z120" s="13" t="s">
        <v>261</v>
      </c>
    </row>
    <row r="121" spans="1:26" ht="19.95" customHeight="1" x14ac:dyDescent="0.3">
      <c r="A121" s="6">
        <v>45694</v>
      </c>
      <c r="B121" s="7" t="s">
        <v>377</v>
      </c>
      <c r="C121" s="8" t="s">
        <v>378</v>
      </c>
      <c r="D121" s="8" t="s">
        <v>281</v>
      </c>
      <c r="E121" s="8" t="s">
        <v>379</v>
      </c>
      <c r="F121" s="9" t="s">
        <v>381</v>
      </c>
      <c r="G121" s="9" t="s">
        <v>383</v>
      </c>
      <c r="H121" s="9" t="s">
        <v>384</v>
      </c>
      <c r="I121" s="9" t="s">
        <v>66</v>
      </c>
      <c r="J121" s="10" t="s">
        <v>186</v>
      </c>
      <c r="K121" s="15" t="str">
        <f>VLOOKUP(J121,DADOS!$A$3:$B$100,2,FALSE)</f>
        <v>EE-GI-001-008</v>
      </c>
      <c r="L121" s="15" t="s">
        <v>303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281</v>
      </c>
      <c r="X121" s="12" t="s">
        <v>14</v>
      </c>
      <c r="Y121" s="12" t="s">
        <v>14</v>
      </c>
      <c r="Z121" s="13" t="s">
        <v>261</v>
      </c>
    </row>
    <row r="122" spans="1:26" ht="19.95" customHeight="1" x14ac:dyDescent="0.3">
      <c r="A122" s="6">
        <v>45694</v>
      </c>
      <c r="B122" s="7" t="s">
        <v>377</v>
      </c>
      <c r="C122" s="8" t="s">
        <v>385</v>
      </c>
      <c r="D122" s="8" t="s">
        <v>364</v>
      </c>
      <c r="E122" s="8" t="s">
        <v>386</v>
      </c>
      <c r="F122" s="9" t="s">
        <v>387</v>
      </c>
      <c r="G122" s="9" t="s">
        <v>388</v>
      </c>
      <c r="H122" s="9" t="s">
        <v>389</v>
      </c>
      <c r="I122" s="9" t="s">
        <v>68</v>
      </c>
      <c r="J122" s="10" t="s">
        <v>186</v>
      </c>
      <c r="K122" s="15" t="str">
        <f>VLOOKUP(J122,DADOS!$A$3:$B$100,2,FALSE)</f>
        <v>EE-GI-001-008</v>
      </c>
      <c r="L122" s="15" t="s">
        <v>303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364</v>
      </c>
      <c r="X122" s="12" t="s">
        <v>14</v>
      </c>
      <c r="Y122" s="12" t="s">
        <v>14</v>
      </c>
      <c r="Z122" s="13" t="s">
        <v>261</v>
      </c>
    </row>
    <row r="123" spans="1:26" ht="19.95" customHeight="1" x14ac:dyDescent="0.3">
      <c r="A123" s="6">
        <v>45694</v>
      </c>
      <c r="B123" s="7" t="s">
        <v>377</v>
      </c>
      <c r="C123" s="8" t="s">
        <v>508</v>
      </c>
      <c r="D123" s="8" t="s">
        <v>281</v>
      </c>
      <c r="E123" s="8" t="s">
        <v>379</v>
      </c>
      <c r="F123" s="9" t="s">
        <v>509</v>
      </c>
      <c r="G123" s="9" t="s">
        <v>510</v>
      </c>
      <c r="H123" s="9" t="s">
        <v>511</v>
      </c>
      <c r="I123" s="9" t="s">
        <v>69</v>
      </c>
      <c r="J123" s="10" t="s">
        <v>17</v>
      </c>
      <c r="K123" s="15" t="str">
        <f>VLOOKUP(J123,[1]DADOS!$A$3:$B$100,2,FALSE)</f>
        <v>EE-GI-001-001</v>
      </c>
      <c r="L123" s="15" t="s">
        <v>354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1</v>
      </c>
      <c r="U123" s="17" t="b">
        <v>1</v>
      </c>
      <c r="V123" s="17" t="b">
        <v>1</v>
      </c>
      <c r="W123" s="11" t="s">
        <v>281</v>
      </c>
      <c r="X123" s="12" t="s">
        <v>14</v>
      </c>
      <c r="Y123" s="12" t="s">
        <v>14</v>
      </c>
      <c r="Z123" s="13" t="s">
        <v>355</v>
      </c>
    </row>
    <row r="124" spans="1:26" ht="19.95" customHeight="1" x14ac:dyDescent="0.3">
      <c r="A124" s="6">
        <v>45694</v>
      </c>
      <c r="B124" s="7" t="s">
        <v>254</v>
      </c>
      <c r="C124" s="8" t="s">
        <v>2772</v>
      </c>
      <c r="D124" s="8" t="s">
        <v>269</v>
      </c>
      <c r="E124" s="8" t="s">
        <v>2773</v>
      </c>
      <c r="F124" s="9" t="s">
        <v>2774</v>
      </c>
      <c r="G124" s="9" t="s">
        <v>2775</v>
      </c>
      <c r="H124" s="9" t="s">
        <v>2776</v>
      </c>
      <c r="I124" s="9" t="s">
        <v>64</v>
      </c>
      <c r="J124" s="10" t="s">
        <v>186</v>
      </c>
      <c r="K124" s="15" t="str">
        <f>VLOOKUP(J124,[1]DADOS!$A$3:$B$100,2,FALSE)</f>
        <v>EE-GI-001-008</v>
      </c>
      <c r="L124" s="15" t="s">
        <v>1955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0</v>
      </c>
      <c r="U124" s="17" t="b">
        <v>0</v>
      </c>
      <c r="V124" s="17" t="b">
        <v>0</v>
      </c>
      <c r="W124" s="11" t="s">
        <v>269</v>
      </c>
      <c r="X124" s="12"/>
      <c r="Y124" s="12"/>
      <c r="Z124" s="13" t="s">
        <v>261</v>
      </c>
    </row>
    <row r="125" spans="1:26" ht="19.95" customHeight="1" x14ac:dyDescent="0.3">
      <c r="A125" s="6">
        <v>45694</v>
      </c>
      <c r="B125" s="7" t="s">
        <v>371</v>
      </c>
      <c r="C125" s="8" t="s">
        <v>372</v>
      </c>
      <c r="D125" s="8" t="s">
        <v>373</v>
      </c>
      <c r="E125" s="8" t="s">
        <v>374</v>
      </c>
      <c r="F125" s="9" t="s">
        <v>375</v>
      </c>
      <c r="G125" s="9" t="s">
        <v>376</v>
      </c>
      <c r="H125" s="9" t="s">
        <v>1812</v>
      </c>
      <c r="I125" s="9" t="s">
        <v>65</v>
      </c>
      <c r="J125" s="10" t="s">
        <v>173</v>
      </c>
      <c r="K125" s="15" t="str">
        <f>VLOOKUP(J125,DADOS!$A$3:$B$100,2,FALSE)</f>
        <v>EE-GI-001-006</v>
      </c>
      <c r="L125" s="15" t="s">
        <v>303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0</v>
      </c>
      <c r="W125" s="11" t="s">
        <v>373</v>
      </c>
      <c r="X125" s="12" t="s">
        <v>14</v>
      </c>
      <c r="Y125" s="12" t="s">
        <v>14</v>
      </c>
      <c r="Z125" s="13" t="s">
        <v>261</v>
      </c>
    </row>
    <row r="126" spans="1:26" ht="19.95" customHeight="1" x14ac:dyDescent="0.3">
      <c r="A126" s="6">
        <v>45694</v>
      </c>
      <c r="B126" s="7" t="s">
        <v>390</v>
      </c>
      <c r="C126" s="8" t="s">
        <v>391</v>
      </c>
      <c r="D126" s="8" t="s">
        <v>364</v>
      </c>
      <c r="E126" s="8" t="s">
        <v>392</v>
      </c>
      <c r="F126" s="9" t="s">
        <v>393</v>
      </c>
      <c r="G126" s="9" t="s">
        <v>394</v>
      </c>
      <c r="H126" s="9" t="s">
        <v>395</v>
      </c>
      <c r="I126" s="9" t="s">
        <v>64</v>
      </c>
      <c r="J126" s="10" t="s">
        <v>186</v>
      </c>
      <c r="K126" s="15" t="str">
        <f>VLOOKUP(J126,DADOS!$A$3:$B$100,2,FALSE)</f>
        <v>EE-GI-001-008</v>
      </c>
      <c r="L126" s="15" t="s">
        <v>303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0</v>
      </c>
      <c r="S126" s="17" t="b">
        <v>0</v>
      </c>
      <c r="T126" s="17" t="b">
        <v>0</v>
      </c>
      <c r="U126" s="17" t="b">
        <v>0</v>
      </c>
      <c r="V126" s="17" t="b">
        <v>0</v>
      </c>
      <c r="W126" s="11" t="s">
        <v>14</v>
      </c>
      <c r="X126" s="12" t="s">
        <v>364</v>
      </c>
      <c r="Y126" s="12" t="s">
        <v>837</v>
      </c>
      <c r="Z126" s="12" t="s">
        <v>261</v>
      </c>
    </row>
    <row r="127" spans="1:26" ht="19.95" customHeight="1" x14ac:dyDescent="0.3">
      <c r="A127" s="6">
        <v>45694</v>
      </c>
      <c r="B127" s="7" t="s">
        <v>390</v>
      </c>
      <c r="C127" s="8" t="s">
        <v>391</v>
      </c>
      <c r="D127" s="8" t="s">
        <v>281</v>
      </c>
      <c r="E127" s="8" t="s">
        <v>392</v>
      </c>
      <c r="F127" s="9" t="s">
        <v>396</v>
      </c>
      <c r="G127" s="9" t="s">
        <v>394</v>
      </c>
      <c r="H127" s="9" t="s">
        <v>395</v>
      </c>
      <c r="I127" s="9" t="s">
        <v>64</v>
      </c>
      <c r="J127" s="10" t="s">
        <v>186</v>
      </c>
      <c r="K127" s="15" t="str">
        <f>VLOOKUP(J127,DADOS!$A$3:$B$100,2,FALSE)</f>
        <v>EE-GI-001-008</v>
      </c>
      <c r="L127" s="15" t="s">
        <v>303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0</v>
      </c>
      <c r="S127" s="17" t="b">
        <v>0</v>
      </c>
      <c r="T127" s="17" t="b">
        <v>0</v>
      </c>
      <c r="U127" s="17" t="b">
        <v>0</v>
      </c>
      <c r="V127" s="17" t="b">
        <v>0</v>
      </c>
      <c r="W127" s="11" t="s">
        <v>14</v>
      </c>
      <c r="X127" s="12" t="s">
        <v>281</v>
      </c>
      <c r="Y127" s="12" t="s">
        <v>837</v>
      </c>
      <c r="Z127" s="12" t="s">
        <v>261</v>
      </c>
    </row>
    <row r="128" spans="1:26" ht="19.95" customHeight="1" x14ac:dyDescent="0.3">
      <c r="A128" s="6">
        <v>45694</v>
      </c>
      <c r="B128" s="7" t="s">
        <v>390</v>
      </c>
      <c r="C128" s="8" t="s">
        <v>391</v>
      </c>
      <c r="D128" s="8" t="s">
        <v>269</v>
      </c>
      <c r="E128" s="8" t="s">
        <v>392</v>
      </c>
      <c r="F128" s="9" t="s">
        <v>397</v>
      </c>
      <c r="G128" s="9" t="s">
        <v>394</v>
      </c>
      <c r="H128" s="9" t="s">
        <v>395</v>
      </c>
      <c r="I128" s="9" t="s">
        <v>64</v>
      </c>
      <c r="J128" s="10" t="s">
        <v>186</v>
      </c>
      <c r="K128" s="15" t="str">
        <f>VLOOKUP(J128,DADOS!$A$3:$B$100,2,FALSE)</f>
        <v>EE-GI-001-008</v>
      </c>
      <c r="L128" s="15" t="s">
        <v>303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0</v>
      </c>
      <c r="S128" s="17" t="b">
        <v>0</v>
      </c>
      <c r="T128" s="17" t="b">
        <v>0</v>
      </c>
      <c r="U128" s="17" t="b">
        <v>0</v>
      </c>
      <c r="V128" s="17" t="b">
        <v>0</v>
      </c>
      <c r="W128" s="11" t="s">
        <v>14</v>
      </c>
      <c r="X128" s="12" t="s">
        <v>269</v>
      </c>
      <c r="Y128" s="12" t="s">
        <v>837</v>
      </c>
      <c r="Z128" s="12" t="s">
        <v>261</v>
      </c>
    </row>
    <row r="129" spans="1:26" ht="19.95" customHeight="1" x14ac:dyDescent="0.3">
      <c r="A129" s="6">
        <v>45694</v>
      </c>
      <c r="B129" s="7" t="s">
        <v>390</v>
      </c>
      <c r="C129" s="8" t="s">
        <v>398</v>
      </c>
      <c r="D129" s="8" t="s">
        <v>364</v>
      </c>
      <c r="E129" s="8" t="s">
        <v>392</v>
      </c>
      <c r="F129" s="9" t="s">
        <v>400</v>
      </c>
      <c r="G129" s="9" t="s">
        <v>394</v>
      </c>
      <c r="H129" s="9" t="s">
        <v>395</v>
      </c>
      <c r="I129" s="9" t="s">
        <v>64</v>
      </c>
      <c r="J129" s="10" t="s">
        <v>186</v>
      </c>
      <c r="K129" s="15" t="str">
        <f>VLOOKUP(J129,DADOS!$A$3:$B$100,2,FALSE)</f>
        <v>EE-GI-001-008</v>
      </c>
      <c r="L129" s="15" t="s">
        <v>303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0</v>
      </c>
      <c r="S129" s="17" t="b">
        <v>0</v>
      </c>
      <c r="T129" s="17" t="b">
        <v>0</v>
      </c>
      <c r="U129" s="17" t="b">
        <v>0</v>
      </c>
      <c r="V129" s="17" t="b">
        <v>0</v>
      </c>
      <c r="W129" s="11" t="s">
        <v>364</v>
      </c>
      <c r="X129" s="12" t="s">
        <v>14</v>
      </c>
      <c r="Y129" s="12" t="s">
        <v>14</v>
      </c>
      <c r="Z129" s="13" t="s">
        <v>261</v>
      </c>
    </row>
    <row r="130" spans="1:26" ht="19.95" customHeight="1" x14ac:dyDescent="0.3">
      <c r="A130" s="6">
        <v>45694</v>
      </c>
      <c r="B130" s="7" t="s">
        <v>390</v>
      </c>
      <c r="C130" s="8" t="s">
        <v>398</v>
      </c>
      <c r="D130" s="8" t="s">
        <v>269</v>
      </c>
      <c r="E130" s="8" t="s">
        <v>392</v>
      </c>
      <c r="F130" s="9" t="s">
        <v>399</v>
      </c>
      <c r="G130" s="9" t="s">
        <v>394</v>
      </c>
      <c r="H130" s="9" t="s">
        <v>395</v>
      </c>
      <c r="I130" s="9" t="s">
        <v>64</v>
      </c>
      <c r="J130" s="10" t="s">
        <v>186</v>
      </c>
      <c r="K130" s="15" t="str">
        <f>VLOOKUP(J130,DADOS!$A$3:$B$100,2,FALSE)</f>
        <v>EE-GI-001-008</v>
      </c>
      <c r="L130" s="15" t="s">
        <v>303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0</v>
      </c>
      <c r="S130" s="17" t="b">
        <v>0</v>
      </c>
      <c r="T130" s="17" t="b">
        <v>0</v>
      </c>
      <c r="U130" s="17" t="b">
        <v>0</v>
      </c>
      <c r="V130" s="17" t="b">
        <v>0</v>
      </c>
      <c r="W130" s="11" t="s">
        <v>269</v>
      </c>
      <c r="X130" s="12" t="s">
        <v>14</v>
      </c>
      <c r="Y130" s="12" t="s">
        <v>14</v>
      </c>
      <c r="Z130" s="13" t="s">
        <v>261</v>
      </c>
    </row>
    <row r="131" spans="1:26" ht="19.95" customHeight="1" x14ac:dyDescent="0.3">
      <c r="A131" s="6">
        <v>45694</v>
      </c>
      <c r="B131" s="7" t="s">
        <v>916</v>
      </c>
      <c r="C131" s="8" t="s">
        <v>1044</v>
      </c>
      <c r="D131" s="8" t="s">
        <v>277</v>
      </c>
      <c r="E131" s="8" t="s">
        <v>1045</v>
      </c>
      <c r="F131" s="9" t="s">
        <v>1046</v>
      </c>
      <c r="G131" s="9" t="s">
        <v>1047</v>
      </c>
      <c r="H131" s="9" t="s">
        <v>1048</v>
      </c>
      <c r="I131" s="9" t="s">
        <v>70</v>
      </c>
      <c r="J131" s="10" t="s">
        <v>181</v>
      </c>
      <c r="K131" s="15" t="str">
        <f>VLOOKUP(J131,DADOS!$A$3:$B$100,2,FALSE)</f>
        <v>EE-GI-001-023</v>
      </c>
      <c r="L131" s="15" t="s">
        <v>260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0</v>
      </c>
      <c r="S131" s="17" t="b">
        <v>0</v>
      </c>
      <c r="T131" s="17" t="b">
        <v>0</v>
      </c>
      <c r="U131" s="17" t="b">
        <v>0</v>
      </c>
      <c r="V131" s="17" t="b">
        <v>1</v>
      </c>
      <c r="W131" s="11" t="s">
        <v>277</v>
      </c>
      <c r="X131" s="12" t="s">
        <v>14</v>
      </c>
      <c r="Y131" s="12" t="s">
        <v>14</v>
      </c>
      <c r="Z131" s="13" t="s">
        <v>261</v>
      </c>
    </row>
    <row r="132" spans="1:26" ht="19.95" customHeight="1" x14ac:dyDescent="0.3">
      <c r="A132" s="6">
        <v>45694</v>
      </c>
      <c r="B132" s="7" t="s">
        <v>916</v>
      </c>
      <c r="C132" s="8" t="s">
        <v>2503</v>
      </c>
      <c r="D132" s="8" t="s">
        <v>269</v>
      </c>
      <c r="E132" s="8" t="s">
        <v>1045</v>
      </c>
      <c r="F132" s="9" t="s">
        <v>2504</v>
      </c>
      <c r="G132" s="9" t="s">
        <v>2505</v>
      </c>
      <c r="H132" s="9" t="s">
        <v>2506</v>
      </c>
      <c r="I132" s="9" t="s">
        <v>66</v>
      </c>
      <c r="J132" s="10" t="s">
        <v>251</v>
      </c>
      <c r="K132" s="15" t="str">
        <f>VLOOKUP(J132,DADOS!$A$3:$B$100,2,FALSE)</f>
        <v>EE-GI-001-030</v>
      </c>
      <c r="L132" s="15" t="s">
        <v>260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1</v>
      </c>
      <c r="W132" s="11" t="s">
        <v>269</v>
      </c>
      <c r="X132" s="12" t="s">
        <v>14</v>
      </c>
      <c r="Y132" s="12" t="s">
        <v>14</v>
      </c>
      <c r="Z132" s="13" t="s">
        <v>355</v>
      </c>
    </row>
    <row r="133" spans="1:26" ht="19.95" customHeight="1" x14ac:dyDescent="0.3">
      <c r="A133" s="6">
        <v>45694</v>
      </c>
      <c r="B133" s="7" t="s">
        <v>916</v>
      </c>
      <c r="C133" s="8" t="s">
        <v>2507</v>
      </c>
      <c r="D133" s="8" t="s">
        <v>434</v>
      </c>
      <c r="E133" s="8" t="s">
        <v>1045</v>
      </c>
      <c r="F133" s="9" t="s">
        <v>2508</v>
      </c>
      <c r="G133" s="9" t="s">
        <v>2509</v>
      </c>
      <c r="H133" s="9" t="s">
        <v>2510</v>
      </c>
      <c r="I133" s="9" t="s">
        <v>70</v>
      </c>
      <c r="J133" s="10" t="s">
        <v>17</v>
      </c>
      <c r="K133" s="15" t="str">
        <f>VLOOKUP(J133,DADOS!$A$3:$B$100,2,FALSE)</f>
        <v>EE-GI-001-001</v>
      </c>
      <c r="L133" s="15" t="s">
        <v>2293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0</v>
      </c>
      <c r="S133" s="17" t="b">
        <v>0</v>
      </c>
      <c r="T133" s="17" t="b">
        <v>0</v>
      </c>
      <c r="U133" s="17" t="b">
        <v>0</v>
      </c>
      <c r="V133" s="17" t="b">
        <v>1</v>
      </c>
      <c r="W133" s="11" t="s">
        <v>434</v>
      </c>
      <c r="X133" s="12" t="s">
        <v>14</v>
      </c>
      <c r="Y133" s="12" t="s">
        <v>14</v>
      </c>
      <c r="Z133" s="13" t="s">
        <v>355</v>
      </c>
    </row>
    <row r="134" spans="1:26" ht="19.95" customHeight="1" x14ac:dyDescent="0.3">
      <c r="A134" s="6">
        <v>45694</v>
      </c>
      <c r="B134" s="7" t="s">
        <v>916</v>
      </c>
      <c r="C134" s="8" t="s">
        <v>2511</v>
      </c>
      <c r="D134" s="8" t="s">
        <v>268</v>
      </c>
      <c r="E134" s="8" t="s">
        <v>1045</v>
      </c>
      <c r="F134" s="9" t="s">
        <v>2512</v>
      </c>
      <c r="G134" s="9" t="s">
        <v>2513</v>
      </c>
      <c r="H134" s="9" t="s">
        <v>2514</v>
      </c>
      <c r="I134" s="9" t="s">
        <v>70</v>
      </c>
      <c r="J134" s="10" t="s">
        <v>17</v>
      </c>
      <c r="K134" s="15" t="str">
        <f>VLOOKUP(J134,DADOS!$A$3:$B$100,2,FALSE)</f>
        <v>EE-GI-001-001</v>
      </c>
      <c r="L134" s="15" t="s">
        <v>1955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0</v>
      </c>
      <c r="S134" s="17" t="b">
        <v>0</v>
      </c>
      <c r="T134" s="17" t="b">
        <v>0</v>
      </c>
      <c r="U134" s="17" t="b">
        <v>0</v>
      </c>
      <c r="V134" s="17" t="b">
        <v>1</v>
      </c>
      <c r="W134" s="11" t="s">
        <v>268</v>
      </c>
      <c r="X134" s="12" t="s">
        <v>14</v>
      </c>
      <c r="Y134" s="12" t="s">
        <v>14</v>
      </c>
      <c r="Z134" s="13" t="s">
        <v>355</v>
      </c>
    </row>
    <row r="135" spans="1:26" ht="19.95" customHeight="1" x14ac:dyDescent="0.3">
      <c r="A135" s="6">
        <v>45694</v>
      </c>
      <c r="B135" s="7" t="s">
        <v>916</v>
      </c>
      <c r="C135" s="8" t="s">
        <v>2511</v>
      </c>
      <c r="D135" s="8" t="s">
        <v>269</v>
      </c>
      <c r="E135" s="8" t="s">
        <v>1045</v>
      </c>
      <c r="F135" s="9" t="s">
        <v>2515</v>
      </c>
      <c r="G135" s="9" t="s">
        <v>2513</v>
      </c>
      <c r="H135" s="9" t="s">
        <v>2514</v>
      </c>
      <c r="I135" s="9" t="s">
        <v>70</v>
      </c>
      <c r="J135" s="10" t="s">
        <v>17</v>
      </c>
      <c r="K135" s="15" t="str">
        <f>VLOOKUP(J135,DADOS!$A$3:$B$100,2,FALSE)</f>
        <v>EE-GI-001-001</v>
      </c>
      <c r="L135" s="15" t="s">
        <v>1955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0</v>
      </c>
      <c r="S135" s="17" t="b">
        <v>0</v>
      </c>
      <c r="T135" s="17" t="b">
        <v>0</v>
      </c>
      <c r="U135" s="17" t="b">
        <v>0</v>
      </c>
      <c r="V135" s="17" t="b">
        <v>1</v>
      </c>
      <c r="W135" s="11" t="s">
        <v>269</v>
      </c>
      <c r="X135" s="12" t="s">
        <v>14</v>
      </c>
      <c r="Y135" s="12" t="s">
        <v>14</v>
      </c>
      <c r="Z135" s="13" t="s">
        <v>355</v>
      </c>
    </row>
    <row r="136" spans="1:26" ht="19.95" customHeight="1" x14ac:dyDescent="0.3">
      <c r="A136" s="6">
        <v>45694</v>
      </c>
      <c r="B136" s="7" t="s">
        <v>916</v>
      </c>
      <c r="C136" s="8" t="s">
        <v>2516</v>
      </c>
      <c r="D136" s="8" t="s">
        <v>269</v>
      </c>
      <c r="E136" s="8" t="s">
        <v>1045</v>
      </c>
      <c r="F136" s="9" t="s">
        <v>2517</v>
      </c>
      <c r="G136" s="9" t="s">
        <v>2518</v>
      </c>
      <c r="H136" s="9" t="s">
        <v>2519</v>
      </c>
      <c r="I136" s="9" t="s">
        <v>65</v>
      </c>
      <c r="J136" s="10" t="s">
        <v>173</v>
      </c>
      <c r="K136" s="15" t="str">
        <f>VLOOKUP(J136,DADOS!$A$3:$B$100,2,FALSE)</f>
        <v>EE-GI-001-006</v>
      </c>
      <c r="L136" s="15" t="s">
        <v>1955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0</v>
      </c>
      <c r="S136" s="17" t="b">
        <v>0</v>
      </c>
      <c r="T136" s="17" t="b">
        <v>0</v>
      </c>
      <c r="U136" s="17" t="b">
        <v>0</v>
      </c>
      <c r="V136" s="17" t="b">
        <v>1</v>
      </c>
      <c r="W136" s="11" t="s">
        <v>269</v>
      </c>
      <c r="X136" s="12" t="s">
        <v>14</v>
      </c>
      <c r="Y136" s="12" t="s">
        <v>14</v>
      </c>
      <c r="Z136" s="13" t="s">
        <v>355</v>
      </c>
    </row>
    <row r="137" spans="1:26" ht="19.95" customHeight="1" x14ac:dyDescent="0.3">
      <c r="A137" s="6">
        <v>45694</v>
      </c>
      <c r="B137" s="7" t="s">
        <v>916</v>
      </c>
      <c r="C137" s="8" t="s">
        <v>2520</v>
      </c>
      <c r="D137" s="8" t="s">
        <v>281</v>
      </c>
      <c r="E137" s="8" t="s">
        <v>1045</v>
      </c>
      <c r="F137" s="9" t="s">
        <v>2521</v>
      </c>
      <c r="G137" s="9" t="s">
        <v>2522</v>
      </c>
      <c r="H137" s="9" t="s">
        <v>2523</v>
      </c>
      <c r="I137" s="9" t="s">
        <v>69</v>
      </c>
      <c r="J137" s="10" t="s">
        <v>176</v>
      </c>
      <c r="K137" s="15" t="str">
        <f>VLOOKUP(J137,DADOS!$A$3:$B$100,2,FALSE)</f>
        <v>EE-GI-001-011</v>
      </c>
      <c r="L137" s="15" t="s">
        <v>260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0</v>
      </c>
      <c r="R137" s="17" t="b">
        <v>0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281</v>
      </c>
      <c r="X137" s="12" t="s">
        <v>14</v>
      </c>
      <c r="Y137" s="12" t="s">
        <v>14</v>
      </c>
      <c r="Z137" s="13" t="s">
        <v>355</v>
      </c>
    </row>
    <row r="138" spans="1:26" ht="19.95" customHeight="1" x14ac:dyDescent="0.3">
      <c r="A138" s="6">
        <v>45694</v>
      </c>
      <c r="B138" s="7" t="s">
        <v>916</v>
      </c>
      <c r="C138" s="8" t="s">
        <v>2524</v>
      </c>
      <c r="D138" s="8" t="s">
        <v>281</v>
      </c>
      <c r="E138" s="8" t="s">
        <v>1045</v>
      </c>
      <c r="F138" s="9" t="s">
        <v>2525</v>
      </c>
      <c r="G138" s="9" t="s">
        <v>2526</v>
      </c>
      <c r="H138" s="9" t="s">
        <v>2523</v>
      </c>
      <c r="I138" s="9" t="s">
        <v>69</v>
      </c>
      <c r="J138" s="10" t="s">
        <v>176</v>
      </c>
      <c r="K138" s="15" t="str">
        <f>VLOOKUP(J138,DADOS!$A$3:$B$100,2,FALSE)</f>
        <v>EE-GI-001-011</v>
      </c>
      <c r="L138" s="15" t="s">
        <v>260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281</v>
      </c>
      <c r="X138" s="12" t="s">
        <v>14</v>
      </c>
      <c r="Y138" s="12" t="s">
        <v>14</v>
      </c>
      <c r="Z138" s="13" t="s">
        <v>355</v>
      </c>
    </row>
    <row r="139" spans="1:26" ht="19.95" customHeight="1" x14ac:dyDescent="0.3">
      <c r="A139" s="6">
        <v>45694</v>
      </c>
      <c r="B139" s="7" t="s">
        <v>916</v>
      </c>
      <c r="C139" s="8" t="s">
        <v>2527</v>
      </c>
      <c r="D139" s="8" t="s">
        <v>281</v>
      </c>
      <c r="E139" s="8" t="s">
        <v>1045</v>
      </c>
      <c r="F139" s="9" t="s">
        <v>2528</v>
      </c>
      <c r="G139" s="9" t="s">
        <v>2311</v>
      </c>
      <c r="H139" s="9" t="s">
        <v>2529</v>
      </c>
      <c r="I139" s="9" t="s">
        <v>69</v>
      </c>
      <c r="J139" s="10" t="s">
        <v>176</v>
      </c>
      <c r="K139" s="15" t="str">
        <f>VLOOKUP(J139,DADOS!$A$3:$B$100,2,FALSE)</f>
        <v>EE-GI-001-011</v>
      </c>
      <c r="L139" s="15" t="s">
        <v>1955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0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0</v>
      </c>
      <c r="W139" s="11" t="s">
        <v>281</v>
      </c>
      <c r="X139" s="12" t="s">
        <v>14</v>
      </c>
      <c r="Y139" s="12" t="s">
        <v>14</v>
      </c>
      <c r="Z139" s="13" t="s">
        <v>355</v>
      </c>
    </row>
    <row r="140" spans="1:26" ht="19.95" customHeight="1" x14ac:dyDescent="0.3">
      <c r="A140" s="6">
        <v>45694</v>
      </c>
      <c r="B140" s="7" t="s">
        <v>1713</v>
      </c>
      <c r="C140" s="8" t="s">
        <v>1717</v>
      </c>
      <c r="D140" s="8" t="s">
        <v>1714</v>
      </c>
      <c r="E140" s="8" t="s">
        <v>1718</v>
      </c>
      <c r="F140" s="8" t="s">
        <v>1715</v>
      </c>
      <c r="G140" s="9" t="s">
        <v>1719</v>
      </c>
      <c r="H140" s="9" t="s">
        <v>1720</v>
      </c>
      <c r="I140" s="9" t="s">
        <v>66</v>
      </c>
      <c r="J140" s="10" t="s">
        <v>174</v>
      </c>
      <c r="K140" s="15" t="str">
        <f>VLOOKUP(J140,DADOS!$A$3:$B$100,2,FALSE)</f>
        <v>EE-GI-001-007</v>
      </c>
      <c r="L140" s="15" t="s">
        <v>1721</v>
      </c>
      <c r="M140" s="18" t="b">
        <v>1</v>
      </c>
      <c r="N140" s="17" t="b">
        <v>1</v>
      </c>
      <c r="O140" s="17" t="b">
        <v>1</v>
      </c>
      <c r="P140" s="17" t="b">
        <v>0</v>
      </c>
      <c r="Q140" s="17" t="b">
        <v>0</v>
      </c>
      <c r="R140" s="17" t="b">
        <v>0</v>
      </c>
      <c r="S140" s="17" t="b">
        <v>1</v>
      </c>
      <c r="T140" s="17" t="b">
        <v>0</v>
      </c>
      <c r="U140" s="17" t="b">
        <v>0</v>
      </c>
      <c r="V140" s="17" t="b">
        <v>1</v>
      </c>
      <c r="W140" s="11" t="s">
        <v>1714</v>
      </c>
      <c r="X140" s="12" t="s">
        <v>14</v>
      </c>
      <c r="Y140" s="12" t="s">
        <v>14</v>
      </c>
      <c r="Z140" s="13" t="s">
        <v>355</v>
      </c>
    </row>
    <row r="141" spans="1:26" ht="19.95" customHeight="1" x14ac:dyDescent="0.3">
      <c r="A141" s="6">
        <v>45694</v>
      </c>
      <c r="B141" s="7" t="s">
        <v>1713</v>
      </c>
      <c r="C141" s="8" t="s">
        <v>1717</v>
      </c>
      <c r="D141" s="8" t="s">
        <v>305</v>
      </c>
      <c r="E141" s="8" t="s">
        <v>1718</v>
      </c>
      <c r="F141" s="8" t="s">
        <v>1716</v>
      </c>
      <c r="G141" s="9" t="s">
        <v>1719</v>
      </c>
      <c r="H141" s="9" t="s">
        <v>1720</v>
      </c>
      <c r="I141" s="9" t="s">
        <v>66</v>
      </c>
      <c r="J141" s="10" t="s">
        <v>174</v>
      </c>
      <c r="K141" s="15" t="str">
        <f>VLOOKUP(J141,DADOS!$A$3:$B$100,2,FALSE)</f>
        <v>EE-GI-001-007</v>
      </c>
      <c r="L141" s="15" t="s">
        <v>1721</v>
      </c>
      <c r="M141" s="18" t="b">
        <v>1</v>
      </c>
      <c r="N141" s="17" t="b">
        <v>1</v>
      </c>
      <c r="O141" s="17" t="b">
        <v>1</v>
      </c>
      <c r="P141" s="17" t="b">
        <v>0</v>
      </c>
      <c r="Q141" s="17" t="b">
        <v>0</v>
      </c>
      <c r="R141" s="17" t="b">
        <v>0</v>
      </c>
      <c r="S141" s="17" t="b">
        <v>1</v>
      </c>
      <c r="T141" s="17" t="b">
        <v>0</v>
      </c>
      <c r="U141" s="17" t="b">
        <v>0</v>
      </c>
      <c r="V141" s="17" t="b">
        <v>1</v>
      </c>
      <c r="W141" s="11" t="s">
        <v>305</v>
      </c>
      <c r="X141" s="12" t="s">
        <v>14</v>
      </c>
      <c r="Y141" s="12" t="s">
        <v>14</v>
      </c>
      <c r="Z141" s="13" t="s">
        <v>355</v>
      </c>
    </row>
    <row r="142" spans="1:26" ht="19.95" customHeight="1" x14ac:dyDescent="0.3">
      <c r="A142" s="6">
        <v>45694</v>
      </c>
      <c r="B142" s="7" t="s">
        <v>1713</v>
      </c>
      <c r="C142" s="8" t="s">
        <v>1717</v>
      </c>
      <c r="D142" s="8" t="s">
        <v>364</v>
      </c>
      <c r="E142" s="8" t="s">
        <v>1718</v>
      </c>
      <c r="F142" s="8" t="s">
        <v>1716</v>
      </c>
      <c r="G142" s="9" t="s">
        <v>1719</v>
      </c>
      <c r="H142" s="9" t="s">
        <v>1720</v>
      </c>
      <c r="I142" s="9" t="s">
        <v>66</v>
      </c>
      <c r="J142" s="10" t="s">
        <v>174</v>
      </c>
      <c r="K142" s="15" t="str">
        <f>VLOOKUP(J142,DADOS!$A$3:$B$100,2,FALSE)</f>
        <v>EE-GI-001-007</v>
      </c>
      <c r="L142" s="15" t="s">
        <v>1721</v>
      </c>
      <c r="M142" s="18" t="b">
        <v>1</v>
      </c>
      <c r="N142" s="17" t="b">
        <v>1</v>
      </c>
      <c r="O142" s="17" t="b">
        <v>1</v>
      </c>
      <c r="P142" s="17" t="b">
        <v>0</v>
      </c>
      <c r="Q142" s="17" t="b">
        <v>0</v>
      </c>
      <c r="R142" s="17" t="b">
        <v>0</v>
      </c>
      <c r="S142" s="17" t="b">
        <v>1</v>
      </c>
      <c r="T142" s="17" t="b">
        <v>0</v>
      </c>
      <c r="U142" s="17" t="b">
        <v>0</v>
      </c>
      <c r="V142" s="17" t="b">
        <v>1</v>
      </c>
      <c r="W142" s="11" t="s">
        <v>364</v>
      </c>
      <c r="X142" s="12" t="s">
        <v>14</v>
      </c>
      <c r="Y142" s="12" t="s">
        <v>14</v>
      </c>
      <c r="Z142" s="13" t="s">
        <v>355</v>
      </c>
    </row>
    <row r="143" spans="1:26" ht="19.95" customHeight="1" x14ac:dyDescent="0.3">
      <c r="A143" s="6">
        <v>45694</v>
      </c>
      <c r="B143" s="7" t="s">
        <v>1713</v>
      </c>
      <c r="C143" s="8" t="s">
        <v>1717</v>
      </c>
      <c r="D143" s="8" t="s">
        <v>364</v>
      </c>
      <c r="E143" s="8" t="s">
        <v>1718</v>
      </c>
      <c r="F143" s="8" t="s">
        <v>1716</v>
      </c>
      <c r="G143" s="9" t="s">
        <v>1719</v>
      </c>
      <c r="H143" s="9" t="s">
        <v>1720</v>
      </c>
      <c r="I143" s="9" t="s">
        <v>66</v>
      </c>
      <c r="J143" s="10" t="s">
        <v>174</v>
      </c>
      <c r="K143" s="15" t="str">
        <f>VLOOKUP(J143,DADOS!$A$3:$B$100,2,FALSE)</f>
        <v>EE-GI-001-007</v>
      </c>
      <c r="L143" s="15" t="s">
        <v>1721</v>
      </c>
      <c r="M143" s="18" t="b">
        <v>1</v>
      </c>
      <c r="N143" s="17" t="b">
        <v>1</v>
      </c>
      <c r="O143" s="17" t="b">
        <v>1</v>
      </c>
      <c r="P143" s="17" t="b">
        <v>0</v>
      </c>
      <c r="Q143" s="17" t="b">
        <v>0</v>
      </c>
      <c r="R143" s="17" t="b">
        <v>0</v>
      </c>
      <c r="S143" s="17" t="b">
        <v>1</v>
      </c>
      <c r="T143" s="17" t="b">
        <v>0</v>
      </c>
      <c r="U143" s="17" t="b">
        <v>0</v>
      </c>
      <c r="V143" s="17" t="b">
        <v>1</v>
      </c>
      <c r="W143" s="11" t="s">
        <v>364</v>
      </c>
      <c r="X143" s="12" t="s">
        <v>14</v>
      </c>
      <c r="Y143" s="12" t="s">
        <v>14</v>
      </c>
      <c r="Z143" s="13" t="s">
        <v>355</v>
      </c>
    </row>
    <row r="144" spans="1:26" ht="19.95" customHeight="1" x14ac:dyDescent="0.3">
      <c r="A144" s="6">
        <v>45694</v>
      </c>
      <c r="B144" s="7" t="s">
        <v>1713</v>
      </c>
      <c r="C144" s="8" t="s">
        <v>1717</v>
      </c>
      <c r="D144" s="8" t="s">
        <v>1427</v>
      </c>
      <c r="E144" s="8" t="s">
        <v>1718</v>
      </c>
      <c r="F144" s="8" t="s">
        <v>1716</v>
      </c>
      <c r="G144" s="9" t="s">
        <v>1719</v>
      </c>
      <c r="H144" s="9" t="s">
        <v>1720</v>
      </c>
      <c r="I144" s="9" t="s">
        <v>66</v>
      </c>
      <c r="J144" s="10" t="s">
        <v>174</v>
      </c>
      <c r="K144" s="15" t="str">
        <f>VLOOKUP(J144,DADOS!$A$3:$B$100,2,FALSE)</f>
        <v>EE-GI-001-007</v>
      </c>
      <c r="L144" s="15" t="s">
        <v>1721</v>
      </c>
      <c r="M144" s="18" t="b">
        <v>1</v>
      </c>
      <c r="N144" s="17" t="b">
        <v>1</v>
      </c>
      <c r="O144" s="17" t="b">
        <v>1</v>
      </c>
      <c r="P144" s="17" t="b">
        <v>0</v>
      </c>
      <c r="Q144" s="17" t="b">
        <v>0</v>
      </c>
      <c r="R144" s="17" t="b">
        <v>0</v>
      </c>
      <c r="S144" s="17" t="b">
        <v>1</v>
      </c>
      <c r="T144" s="17" t="b">
        <v>0</v>
      </c>
      <c r="U144" s="17" t="b">
        <v>0</v>
      </c>
      <c r="V144" s="17" t="b">
        <v>1</v>
      </c>
      <c r="W144" s="11" t="s">
        <v>1427</v>
      </c>
      <c r="X144" s="12" t="s">
        <v>14</v>
      </c>
      <c r="Y144" s="12" t="s">
        <v>14</v>
      </c>
      <c r="Z144" s="13" t="s">
        <v>355</v>
      </c>
    </row>
    <row r="145" spans="1:26" ht="19.95" customHeight="1" x14ac:dyDescent="0.3">
      <c r="A145" s="6">
        <v>45694</v>
      </c>
      <c r="B145" s="7" t="s">
        <v>1713</v>
      </c>
      <c r="C145" s="8" t="s">
        <v>1717</v>
      </c>
      <c r="D145" s="8" t="s">
        <v>269</v>
      </c>
      <c r="E145" s="8" t="s">
        <v>1718</v>
      </c>
      <c r="F145" s="8" t="s">
        <v>1716</v>
      </c>
      <c r="G145" s="9" t="s">
        <v>1719</v>
      </c>
      <c r="H145" s="9" t="s">
        <v>1720</v>
      </c>
      <c r="I145" s="9" t="s">
        <v>66</v>
      </c>
      <c r="J145" s="10" t="s">
        <v>174</v>
      </c>
      <c r="K145" s="15" t="str">
        <f>VLOOKUP(J145,DADOS!$A$3:$B$100,2,FALSE)</f>
        <v>EE-GI-001-007</v>
      </c>
      <c r="L145" s="15" t="s">
        <v>1721</v>
      </c>
      <c r="M145" s="18" t="b">
        <v>1</v>
      </c>
      <c r="N145" s="17" t="b">
        <v>1</v>
      </c>
      <c r="O145" s="17" t="b">
        <v>1</v>
      </c>
      <c r="P145" s="17" t="b">
        <v>0</v>
      </c>
      <c r="Q145" s="17" t="b">
        <v>0</v>
      </c>
      <c r="R145" s="17" t="b">
        <v>0</v>
      </c>
      <c r="S145" s="17" t="b">
        <v>1</v>
      </c>
      <c r="T145" s="17" t="b">
        <v>0</v>
      </c>
      <c r="U145" s="17" t="b">
        <v>0</v>
      </c>
      <c r="V145" s="17" t="b">
        <v>1</v>
      </c>
      <c r="W145" s="11" t="s">
        <v>269</v>
      </c>
      <c r="X145" s="12" t="s">
        <v>14</v>
      </c>
      <c r="Y145" s="12" t="s">
        <v>14</v>
      </c>
      <c r="Z145" s="13" t="s">
        <v>355</v>
      </c>
    </row>
    <row r="146" spans="1:26" ht="19.95" customHeight="1" x14ac:dyDescent="0.3">
      <c r="A146" s="6">
        <v>45694</v>
      </c>
      <c r="B146" s="7" t="s">
        <v>1713</v>
      </c>
      <c r="C146" s="8" t="s">
        <v>1717</v>
      </c>
      <c r="D146" s="8" t="s">
        <v>364</v>
      </c>
      <c r="E146" s="8" t="s">
        <v>1718</v>
      </c>
      <c r="F146" s="8" t="s">
        <v>1716</v>
      </c>
      <c r="G146" s="9" t="s">
        <v>1719</v>
      </c>
      <c r="H146" s="9" t="s">
        <v>1720</v>
      </c>
      <c r="I146" s="9" t="s">
        <v>66</v>
      </c>
      <c r="J146" s="10" t="s">
        <v>174</v>
      </c>
      <c r="K146" s="15" t="str">
        <f>VLOOKUP(J146,DADOS!$A$3:$B$100,2,FALSE)</f>
        <v>EE-GI-001-007</v>
      </c>
      <c r="L146" s="15" t="s">
        <v>1721</v>
      </c>
      <c r="M146" s="18" t="b">
        <v>1</v>
      </c>
      <c r="N146" s="17" t="b">
        <v>1</v>
      </c>
      <c r="O146" s="17" t="b">
        <v>1</v>
      </c>
      <c r="P146" s="17" t="b">
        <v>0</v>
      </c>
      <c r="Q146" s="17" t="b">
        <v>0</v>
      </c>
      <c r="R146" s="17" t="b">
        <v>0</v>
      </c>
      <c r="S146" s="17" t="b">
        <v>1</v>
      </c>
      <c r="T146" s="17" t="b">
        <v>0</v>
      </c>
      <c r="U146" s="17" t="b">
        <v>0</v>
      </c>
      <c r="V146" s="17" t="b">
        <v>1</v>
      </c>
      <c r="W146" s="11" t="s">
        <v>364</v>
      </c>
      <c r="X146" s="12" t="s">
        <v>14</v>
      </c>
      <c r="Y146" s="12" t="s">
        <v>14</v>
      </c>
      <c r="Z146" s="13" t="s">
        <v>355</v>
      </c>
    </row>
    <row r="147" spans="1:26" ht="19.95" customHeight="1" x14ac:dyDescent="0.3">
      <c r="A147" s="6">
        <v>45694</v>
      </c>
      <c r="B147" s="7" t="s">
        <v>1713</v>
      </c>
      <c r="C147" s="8" t="s">
        <v>1722</v>
      </c>
      <c r="D147" s="8" t="s">
        <v>597</v>
      </c>
      <c r="E147" s="8" t="s">
        <v>1718</v>
      </c>
      <c r="F147" s="9" t="s">
        <v>1723</v>
      </c>
      <c r="G147" s="9" t="s">
        <v>1733</v>
      </c>
      <c r="H147" s="9" t="s">
        <v>1734</v>
      </c>
      <c r="I147" s="9" t="s">
        <v>66</v>
      </c>
      <c r="J147" s="10" t="s">
        <v>174</v>
      </c>
      <c r="K147" s="15" t="str">
        <f>VLOOKUP(J147,DADOS!$A$3:$B$100,2,FALSE)</f>
        <v>EE-GI-001-007</v>
      </c>
      <c r="L147" s="15" t="s">
        <v>1721</v>
      </c>
      <c r="M147" s="18" t="b">
        <v>1</v>
      </c>
      <c r="N147" s="17" t="b">
        <v>1</v>
      </c>
      <c r="O147" s="17" t="b">
        <v>1</v>
      </c>
      <c r="P147" s="17" t="b">
        <v>0</v>
      </c>
      <c r="Q147" s="17" t="b">
        <v>0</v>
      </c>
      <c r="R147" s="17" t="b">
        <v>0</v>
      </c>
      <c r="S147" s="17" t="b">
        <v>1</v>
      </c>
      <c r="T147" s="17" t="b">
        <v>0</v>
      </c>
      <c r="U147" s="17" t="b">
        <v>0</v>
      </c>
      <c r="V147" s="17" t="b">
        <v>1</v>
      </c>
      <c r="W147" s="11" t="s">
        <v>597</v>
      </c>
      <c r="X147" s="12" t="s">
        <v>14</v>
      </c>
      <c r="Y147" s="12" t="s">
        <v>14</v>
      </c>
      <c r="Z147" s="13" t="s">
        <v>355</v>
      </c>
    </row>
    <row r="148" spans="1:26" ht="19.95" customHeight="1" x14ac:dyDescent="0.3">
      <c r="A148" s="6">
        <v>45694</v>
      </c>
      <c r="B148" s="7" t="s">
        <v>1713</v>
      </c>
      <c r="C148" s="8" t="s">
        <v>1722</v>
      </c>
      <c r="D148" s="8" t="s">
        <v>364</v>
      </c>
      <c r="E148" s="8" t="s">
        <v>1718</v>
      </c>
      <c r="F148" s="9" t="s">
        <v>1724</v>
      </c>
      <c r="G148" s="9" t="s">
        <v>1733</v>
      </c>
      <c r="H148" s="9" t="s">
        <v>1734</v>
      </c>
      <c r="I148" s="9" t="s">
        <v>66</v>
      </c>
      <c r="J148" s="10" t="s">
        <v>174</v>
      </c>
      <c r="K148" s="15" t="str">
        <f>VLOOKUP(J148,DADOS!$A$3:$B$100,2,FALSE)</f>
        <v>EE-GI-001-007</v>
      </c>
      <c r="L148" s="15" t="s">
        <v>1721</v>
      </c>
      <c r="M148" s="18" t="b">
        <v>1</v>
      </c>
      <c r="N148" s="17" t="b">
        <v>1</v>
      </c>
      <c r="O148" s="17" t="b">
        <v>1</v>
      </c>
      <c r="P148" s="17" t="b">
        <v>0</v>
      </c>
      <c r="Q148" s="17" t="b">
        <v>0</v>
      </c>
      <c r="R148" s="17" t="b">
        <v>0</v>
      </c>
      <c r="S148" s="17" t="b">
        <v>1</v>
      </c>
      <c r="T148" s="17" t="b">
        <v>0</v>
      </c>
      <c r="U148" s="17" t="b">
        <v>0</v>
      </c>
      <c r="V148" s="17" t="b">
        <v>1</v>
      </c>
      <c r="W148" s="11" t="s">
        <v>364</v>
      </c>
      <c r="X148" s="12" t="s">
        <v>14</v>
      </c>
      <c r="Y148" s="12" t="s">
        <v>14</v>
      </c>
      <c r="Z148" s="13" t="s">
        <v>355</v>
      </c>
    </row>
    <row r="149" spans="1:26" ht="19.95" customHeight="1" x14ac:dyDescent="0.3">
      <c r="A149" s="6">
        <v>45694</v>
      </c>
      <c r="B149" s="7" t="s">
        <v>1713</v>
      </c>
      <c r="C149" s="8" t="s">
        <v>1722</v>
      </c>
      <c r="D149" s="8" t="s">
        <v>421</v>
      </c>
      <c r="E149" s="8" t="s">
        <v>1718</v>
      </c>
      <c r="F149" s="9" t="s">
        <v>1725</v>
      </c>
      <c r="G149" s="9" t="s">
        <v>1733</v>
      </c>
      <c r="H149" s="9" t="s">
        <v>1734</v>
      </c>
      <c r="I149" s="9" t="s">
        <v>66</v>
      </c>
      <c r="J149" s="10" t="s">
        <v>174</v>
      </c>
      <c r="K149" s="15" t="str">
        <f>VLOOKUP(J149,DADOS!$A$3:$B$100,2,FALSE)</f>
        <v>EE-GI-001-007</v>
      </c>
      <c r="L149" s="15" t="s">
        <v>1721</v>
      </c>
      <c r="M149" s="18" t="b">
        <v>1</v>
      </c>
      <c r="N149" s="17" t="b">
        <v>1</v>
      </c>
      <c r="O149" s="17" t="b">
        <v>1</v>
      </c>
      <c r="P149" s="17" t="b">
        <v>0</v>
      </c>
      <c r="Q149" s="17" t="b">
        <v>0</v>
      </c>
      <c r="R149" s="17" t="b">
        <v>0</v>
      </c>
      <c r="S149" s="17" t="b">
        <v>1</v>
      </c>
      <c r="T149" s="17" t="b">
        <v>0</v>
      </c>
      <c r="U149" s="17" t="b">
        <v>0</v>
      </c>
      <c r="V149" s="17" t="b">
        <v>1</v>
      </c>
      <c r="W149" s="11" t="s">
        <v>421</v>
      </c>
      <c r="X149" s="12" t="s">
        <v>14</v>
      </c>
      <c r="Y149" s="12" t="s">
        <v>14</v>
      </c>
      <c r="Z149" s="13" t="s">
        <v>355</v>
      </c>
    </row>
    <row r="150" spans="1:26" ht="19.95" customHeight="1" x14ac:dyDescent="0.3">
      <c r="A150" s="6">
        <v>45694</v>
      </c>
      <c r="B150" s="7" t="s">
        <v>1713</v>
      </c>
      <c r="C150" s="8" t="s">
        <v>1722</v>
      </c>
      <c r="D150" s="8" t="s">
        <v>1351</v>
      </c>
      <c r="E150" s="8" t="s">
        <v>1718</v>
      </c>
      <c r="F150" s="9" t="s">
        <v>1726</v>
      </c>
      <c r="G150" s="9" t="s">
        <v>1733</v>
      </c>
      <c r="H150" s="9" t="s">
        <v>1734</v>
      </c>
      <c r="I150" s="9" t="s">
        <v>66</v>
      </c>
      <c r="J150" s="10" t="s">
        <v>174</v>
      </c>
      <c r="K150" s="15" t="str">
        <f>VLOOKUP(J150,DADOS!$A$3:$B$100,2,FALSE)</f>
        <v>EE-GI-001-007</v>
      </c>
      <c r="L150" s="15" t="s">
        <v>1721</v>
      </c>
      <c r="M150" s="18" t="b">
        <v>1</v>
      </c>
      <c r="N150" s="17" t="b">
        <v>1</v>
      </c>
      <c r="O150" s="17" t="b">
        <v>1</v>
      </c>
      <c r="P150" s="17" t="b">
        <v>0</v>
      </c>
      <c r="Q150" s="17" t="b">
        <v>0</v>
      </c>
      <c r="R150" s="17" t="b">
        <v>0</v>
      </c>
      <c r="S150" s="17" t="b">
        <v>1</v>
      </c>
      <c r="T150" s="17" t="b">
        <v>0</v>
      </c>
      <c r="U150" s="17" t="b">
        <v>0</v>
      </c>
      <c r="V150" s="17" t="b">
        <v>1</v>
      </c>
      <c r="W150" s="11" t="s">
        <v>1351</v>
      </c>
      <c r="X150" s="12" t="s">
        <v>14</v>
      </c>
      <c r="Y150" s="12" t="s">
        <v>14</v>
      </c>
      <c r="Z150" s="13" t="s">
        <v>355</v>
      </c>
    </row>
    <row r="151" spans="1:26" ht="19.95" customHeight="1" x14ac:dyDescent="0.3">
      <c r="A151" s="6">
        <v>45694</v>
      </c>
      <c r="B151" s="7" t="s">
        <v>1713</v>
      </c>
      <c r="C151" s="8" t="s">
        <v>1722</v>
      </c>
      <c r="D151" s="8" t="s">
        <v>1730</v>
      </c>
      <c r="E151" s="8" t="s">
        <v>1718</v>
      </c>
      <c r="F151" s="9" t="s">
        <v>1727</v>
      </c>
      <c r="G151" s="9" t="s">
        <v>1733</v>
      </c>
      <c r="H151" s="9" t="s">
        <v>1734</v>
      </c>
      <c r="I151" s="9" t="s">
        <v>66</v>
      </c>
      <c r="J151" s="10" t="s">
        <v>174</v>
      </c>
      <c r="K151" s="15" t="str">
        <f>VLOOKUP(J151,DADOS!$A$3:$B$100,2,FALSE)</f>
        <v>EE-GI-001-007</v>
      </c>
      <c r="L151" s="15" t="s">
        <v>1721</v>
      </c>
      <c r="M151" s="18" t="b">
        <v>1</v>
      </c>
      <c r="N151" s="17" t="b">
        <v>1</v>
      </c>
      <c r="O151" s="17" t="b">
        <v>1</v>
      </c>
      <c r="P151" s="17" t="b">
        <v>0</v>
      </c>
      <c r="Q151" s="17" t="b">
        <v>0</v>
      </c>
      <c r="R151" s="17" t="b">
        <v>0</v>
      </c>
      <c r="S151" s="17" t="b">
        <v>1</v>
      </c>
      <c r="T151" s="17" t="b">
        <v>0</v>
      </c>
      <c r="U151" s="17" t="b">
        <v>0</v>
      </c>
      <c r="V151" s="17" t="b">
        <v>1</v>
      </c>
      <c r="W151" s="11" t="s">
        <v>1730</v>
      </c>
      <c r="X151" s="12" t="s">
        <v>14</v>
      </c>
      <c r="Y151" s="12" t="s">
        <v>14</v>
      </c>
      <c r="Z151" s="13" t="s">
        <v>355</v>
      </c>
    </row>
    <row r="152" spans="1:26" ht="19.95" customHeight="1" x14ac:dyDescent="0.3">
      <c r="A152" s="6">
        <v>45694</v>
      </c>
      <c r="B152" s="7" t="s">
        <v>1713</v>
      </c>
      <c r="C152" s="8" t="s">
        <v>1722</v>
      </c>
      <c r="D152" s="8" t="s">
        <v>1731</v>
      </c>
      <c r="E152" s="8" t="s">
        <v>1718</v>
      </c>
      <c r="F152" s="9" t="s">
        <v>1728</v>
      </c>
      <c r="G152" s="9" t="s">
        <v>1733</v>
      </c>
      <c r="H152" s="9" t="s">
        <v>1734</v>
      </c>
      <c r="I152" s="9" t="s">
        <v>66</v>
      </c>
      <c r="J152" s="10" t="s">
        <v>174</v>
      </c>
      <c r="K152" s="15" t="str">
        <f>VLOOKUP(J152,DADOS!$A$3:$B$100,2,FALSE)</f>
        <v>EE-GI-001-007</v>
      </c>
      <c r="L152" s="15" t="s">
        <v>1721</v>
      </c>
      <c r="M152" s="18" t="b">
        <v>1</v>
      </c>
      <c r="N152" s="17" t="b">
        <v>1</v>
      </c>
      <c r="O152" s="17" t="b">
        <v>1</v>
      </c>
      <c r="P152" s="17" t="b">
        <v>0</v>
      </c>
      <c r="Q152" s="17" t="b">
        <v>0</v>
      </c>
      <c r="R152" s="17" t="b">
        <v>0</v>
      </c>
      <c r="S152" s="17" t="b">
        <v>1</v>
      </c>
      <c r="T152" s="17" t="b">
        <v>0</v>
      </c>
      <c r="U152" s="17" t="b">
        <v>0</v>
      </c>
      <c r="V152" s="17" t="b">
        <v>1</v>
      </c>
      <c r="W152" s="11" t="s">
        <v>1731</v>
      </c>
      <c r="X152" s="12" t="s">
        <v>14</v>
      </c>
      <c r="Y152" s="12" t="s">
        <v>14</v>
      </c>
      <c r="Z152" s="13" t="s">
        <v>355</v>
      </c>
    </row>
    <row r="153" spans="1:26" ht="19.95" customHeight="1" x14ac:dyDescent="0.3">
      <c r="A153" s="6">
        <v>45694</v>
      </c>
      <c r="B153" s="7" t="s">
        <v>1713</v>
      </c>
      <c r="C153" s="8" t="s">
        <v>1722</v>
      </c>
      <c r="D153" s="8" t="s">
        <v>1732</v>
      </c>
      <c r="E153" s="8" t="s">
        <v>1718</v>
      </c>
      <c r="F153" s="9" t="s">
        <v>1729</v>
      </c>
      <c r="G153" s="9" t="s">
        <v>1733</v>
      </c>
      <c r="H153" s="9" t="s">
        <v>1734</v>
      </c>
      <c r="I153" s="9" t="s">
        <v>66</v>
      </c>
      <c r="J153" s="10" t="s">
        <v>174</v>
      </c>
      <c r="K153" s="15" t="str">
        <f>VLOOKUP(J153,DADOS!$A$3:$B$100,2,FALSE)</f>
        <v>EE-GI-001-007</v>
      </c>
      <c r="L153" s="15" t="s">
        <v>1721</v>
      </c>
      <c r="M153" s="18" t="b">
        <v>1</v>
      </c>
      <c r="N153" s="17" t="b">
        <v>1</v>
      </c>
      <c r="O153" s="17" t="b">
        <v>1</v>
      </c>
      <c r="P153" s="17" t="b">
        <v>0</v>
      </c>
      <c r="Q153" s="17" t="b">
        <v>0</v>
      </c>
      <c r="R153" s="17" t="b">
        <v>0</v>
      </c>
      <c r="S153" s="17" t="b">
        <v>1</v>
      </c>
      <c r="T153" s="17" t="b">
        <v>0</v>
      </c>
      <c r="U153" s="17" t="b">
        <v>0</v>
      </c>
      <c r="V153" s="17" t="b">
        <v>1</v>
      </c>
      <c r="W153" s="11" t="s">
        <v>1732</v>
      </c>
      <c r="X153" s="12" t="s">
        <v>14</v>
      </c>
      <c r="Y153" s="12" t="s">
        <v>14</v>
      </c>
      <c r="Z153" s="13" t="s">
        <v>355</v>
      </c>
    </row>
    <row r="154" spans="1:26" ht="19.95" customHeight="1" x14ac:dyDescent="0.3">
      <c r="A154" s="6">
        <v>45694</v>
      </c>
      <c r="B154" s="7" t="s">
        <v>1713</v>
      </c>
      <c r="C154" s="8" t="s">
        <v>1761</v>
      </c>
      <c r="D154" s="8" t="s">
        <v>279</v>
      </c>
      <c r="E154" s="8" t="s">
        <v>1718</v>
      </c>
      <c r="F154" s="9" t="s">
        <v>1763</v>
      </c>
      <c r="G154" s="9" t="s">
        <v>1767</v>
      </c>
      <c r="H154" s="9" t="s">
        <v>1768</v>
      </c>
      <c r="I154" s="9" t="s">
        <v>66</v>
      </c>
      <c r="J154" s="10" t="s">
        <v>174</v>
      </c>
      <c r="K154" s="15" t="str">
        <f>VLOOKUP(J154,DADOS!$A$3:$B$100,2,FALSE)</f>
        <v>EE-GI-001-007</v>
      </c>
      <c r="L154" s="15" t="s">
        <v>1721</v>
      </c>
      <c r="M154" s="18" t="b">
        <v>1</v>
      </c>
      <c r="N154" s="17" t="b">
        <v>1</v>
      </c>
      <c r="O154" s="17" t="b">
        <v>1</v>
      </c>
      <c r="P154" s="17" t="b">
        <v>0</v>
      </c>
      <c r="Q154" s="17" t="b">
        <v>0</v>
      </c>
      <c r="R154" s="17" t="b">
        <v>0</v>
      </c>
      <c r="S154" s="17" t="b">
        <v>1</v>
      </c>
      <c r="T154" s="17" t="b">
        <v>0</v>
      </c>
      <c r="U154" s="17" t="b">
        <v>0</v>
      </c>
      <c r="V154" s="17" t="b">
        <v>1</v>
      </c>
      <c r="W154" s="11" t="s">
        <v>279</v>
      </c>
      <c r="X154" s="12" t="s">
        <v>14</v>
      </c>
      <c r="Y154" s="12" t="s">
        <v>14</v>
      </c>
      <c r="Z154" s="13" t="s">
        <v>355</v>
      </c>
    </row>
    <row r="155" spans="1:26" ht="19.95" customHeight="1" x14ac:dyDescent="0.3">
      <c r="A155" s="6">
        <v>45694</v>
      </c>
      <c r="B155" s="7" t="s">
        <v>1713</v>
      </c>
      <c r="C155" s="8" t="s">
        <v>1761</v>
      </c>
      <c r="D155" s="8" t="s">
        <v>1253</v>
      </c>
      <c r="E155" s="8" t="s">
        <v>1718</v>
      </c>
      <c r="F155" s="9" t="s">
        <v>1764</v>
      </c>
      <c r="G155" s="9" t="s">
        <v>1767</v>
      </c>
      <c r="H155" s="9" t="s">
        <v>1768</v>
      </c>
      <c r="I155" s="9" t="s">
        <v>66</v>
      </c>
      <c r="J155" s="10" t="s">
        <v>174</v>
      </c>
      <c r="K155" s="15" t="str">
        <f>VLOOKUP(J155,DADOS!$A$3:$B$100,2,FALSE)</f>
        <v>EE-GI-001-007</v>
      </c>
      <c r="L155" s="15" t="s">
        <v>1721</v>
      </c>
      <c r="M155" s="18" t="b">
        <v>1</v>
      </c>
      <c r="N155" s="17" t="b">
        <v>1</v>
      </c>
      <c r="O155" s="17" t="b">
        <v>1</v>
      </c>
      <c r="P155" s="17" t="b">
        <v>0</v>
      </c>
      <c r="Q155" s="17" t="b">
        <v>0</v>
      </c>
      <c r="R155" s="17" t="b">
        <v>0</v>
      </c>
      <c r="S155" s="17" t="b">
        <v>1</v>
      </c>
      <c r="T155" s="17" t="b">
        <v>0</v>
      </c>
      <c r="U155" s="17" t="b">
        <v>0</v>
      </c>
      <c r="V155" s="17" t="b">
        <v>1</v>
      </c>
      <c r="W155" s="11" t="s">
        <v>1253</v>
      </c>
      <c r="X155" s="12" t="s">
        <v>14</v>
      </c>
      <c r="Y155" s="12" t="s">
        <v>14</v>
      </c>
      <c r="Z155" s="13" t="s">
        <v>355</v>
      </c>
    </row>
    <row r="156" spans="1:26" ht="19.95" customHeight="1" x14ac:dyDescent="0.3">
      <c r="A156" s="6">
        <v>45694</v>
      </c>
      <c r="B156" s="7" t="s">
        <v>1713</v>
      </c>
      <c r="C156" s="8" t="s">
        <v>1761</v>
      </c>
      <c r="D156" s="8" t="s">
        <v>373</v>
      </c>
      <c r="E156" s="8" t="s">
        <v>1718</v>
      </c>
      <c r="F156" s="9" t="s">
        <v>1765</v>
      </c>
      <c r="G156" s="9" t="s">
        <v>1767</v>
      </c>
      <c r="H156" s="9" t="s">
        <v>1768</v>
      </c>
      <c r="I156" s="9" t="s">
        <v>66</v>
      </c>
      <c r="J156" s="10" t="s">
        <v>174</v>
      </c>
      <c r="K156" s="15" t="str">
        <f>VLOOKUP(J156,DADOS!$A$3:$B$100,2,FALSE)</f>
        <v>EE-GI-001-007</v>
      </c>
      <c r="L156" s="15" t="s">
        <v>1721</v>
      </c>
      <c r="M156" s="18" t="b">
        <v>1</v>
      </c>
      <c r="N156" s="17" t="b">
        <v>1</v>
      </c>
      <c r="O156" s="17" t="b">
        <v>1</v>
      </c>
      <c r="P156" s="17" t="b">
        <v>0</v>
      </c>
      <c r="Q156" s="17" t="b">
        <v>0</v>
      </c>
      <c r="R156" s="17" t="b">
        <v>0</v>
      </c>
      <c r="S156" s="17" t="b">
        <v>1</v>
      </c>
      <c r="T156" s="17" t="b">
        <v>0</v>
      </c>
      <c r="U156" s="17" t="b">
        <v>0</v>
      </c>
      <c r="V156" s="17" t="b">
        <v>1</v>
      </c>
      <c r="W156" s="11" t="s">
        <v>373</v>
      </c>
      <c r="X156" s="12" t="s">
        <v>14</v>
      </c>
      <c r="Y156" s="12" t="s">
        <v>14</v>
      </c>
      <c r="Z156" s="13" t="s">
        <v>355</v>
      </c>
    </row>
    <row r="157" spans="1:26" ht="19.95" customHeight="1" x14ac:dyDescent="0.3">
      <c r="A157" s="6">
        <v>45694</v>
      </c>
      <c r="B157" s="7" t="s">
        <v>1713</v>
      </c>
      <c r="C157" s="8" t="s">
        <v>1761</v>
      </c>
      <c r="D157" s="8" t="s">
        <v>1762</v>
      </c>
      <c r="E157" s="8" t="s">
        <v>1718</v>
      </c>
      <c r="F157" s="9" t="s">
        <v>1766</v>
      </c>
      <c r="G157" s="9" t="s">
        <v>1767</v>
      </c>
      <c r="H157" s="9" t="s">
        <v>1768</v>
      </c>
      <c r="I157" s="9" t="s">
        <v>66</v>
      </c>
      <c r="J157" s="10" t="s">
        <v>174</v>
      </c>
      <c r="K157" s="15" t="str">
        <f>VLOOKUP(J157,DADOS!$A$3:$B$100,2,FALSE)</f>
        <v>EE-GI-001-007</v>
      </c>
      <c r="L157" s="15" t="s">
        <v>1721</v>
      </c>
      <c r="M157" s="18" t="b">
        <v>1</v>
      </c>
      <c r="N157" s="17" t="b">
        <v>1</v>
      </c>
      <c r="O157" s="17" t="b">
        <v>1</v>
      </c>
      <c r="P157" s="17" t="b">
        <v>0</v>
      </c>
      <c r="Q157" s="17" t="b">
        <v>0</v>
      </c>
      <c r="R157" s="17" t="b">
        <v>0</v>
      </c>
      <c r="S157" s="17" t="b">
        <v>1</v>
      </c>
      <c r="T157" s="17" t="b">
        <v>0</v>
      </c>
      <c r="U157" s="17" t="b">
        <v>0</v>
      </c>
      <c r="V157" s="17" t="b">
        <v>1</v>
      </c>
      <c r="W157" s="11" t="s">
        <v>1762</v>
      </c>
      <c r="X157" s="12" t="s">
        <v>14</v>
      </c>
      <c r="Y157" s="12" t="s">
        <v>14</v>
      </c>
      <c r="Z157" s="13" t="s">
        <v>355</v>
      </c>
    </row>
    <row r="158" spans="1:26" ht="19.95" customHeight="1" x14ac:dyDescent="0.3">
      <c r="A158" s="6">
        <v>45694</v>
      </c>
      <c r="B158" s="7" t="s">
        <v>1713</v>
      </c>
      <c r="C158" s="8" t="s">
        <v>1735</v>
      </c>
      <c r="D158" s="8" t="s">
        <v>373</v>
      </c>
      <c r="E158" s="8" t="s">
        <v>1718</v>
      </c>
      <c r="F158" s="9" t="s">
        <v>1736</v>
      </c>
      <c r="G158" s="9" t="s">
        <v>1737</v>
      </c>
      <c r="H158" s="9" t="s">
        <v>1738</v>
      </c>
      <c r="I158" s="9" t="s">
        <v>68</v>
      </c>
      <c r="J158" s="10" t="s">
        <v>174</v>
      </c>
      <c r="K158" s="15" t="str">
        <f>VLOOKUP(J158,DADOS!$A$3:$B$100,2,FALSE)</f>
        <v>EE-GI-001-007</v>
      </c>
      <c r="L158" s="15" t="s">
        <v>1721</v>
      </c>
      <c r="M158" s="18" t="b">
        <v>1</v>
      </c>
      <c r="N158" s="17" t="b">
        <v>1</v>
      </c>
      <c r="O158" s="17" t="b">
        <v>1</v>
      </c>
      <c r="P158" s="17" t="b">
        <v>0</v>
      </c>
      <c r="Q158" s="17" t="b">
        <v>0</v>
      </c>
      <c r="R158" s="17" t="b">
        <v>0</v>
      </c>
      <c r="S158" s="17" t="b">
        <v>1</v>
      </c>
      <c r="T158" s="17" t="b">
        <v>0</v>
      </c>
      <c r="U158" s="17" t="b">
        <v>0</v>
      </c>
      <c r="V158" s="17" t="b">
        <v>1</v>
      </c>
      <c r="W158" s="11" t="s">
        <v>373</v>
      </c>
      <c r="X158" s="12" t="s">
        <v>14</v>
      </c>
      <c r="Y158" s="12" t="s">
        <v>14</v>
      </c>
      <c r="Z158" s="13" t="s">
        <v>355</v>
      </c>
    </row>
    <row r="159" spans="1:26" ht="19.95" customHeight="1" x14ac:dyDescent="0.3">
      <c r="A159" s="6">
        <v>45694</v>
      </c>
      <c r="B159" s="7" t="s">
        <v>1713</v>
      </c>
      <c r="C159" s="8" t="s">
        <v>1739</v>
      </c>
      <c r="D159" s="8" t="s">
        <v>364</v>
      </c>
      <c r="E159" s="8" t="s">
        <v>1718</v>
      </c>
      <c r="F159" s="9" t="s">
        <v>1740</v>
      </c>
      <c r="G159" s="9" t="s">
        <v>1741</v>
      </c>
      <c r="H159" s="9" t="s">
        <v>1742</v>
      </c>
      <c r="I159" s="9" t="s">
        <v>70</v>
      </c>
      <c r="J159" s="10" t="s">
        <v>174</v>
      </c>
      <c r="K159" s="15" t="str">
        <f>VLOOKUP(J159,DADOS!$A$3:$B$100,2,FALSE)</f>
        <v>EE-GI-001-007</v>
      </c>
      <c r="L159" s="15" t="s">
        <v>1721</v>
      </c>
      <c r="M159" s="18" t="b">
        <v>1</v>
      </c>
      <c r="N159" s="17" t="b">
        <v>1</v>
      </c>
      <c r="O159" s="17" t="b">
        <v>1</v>
      </c>
      <c r="P159" s="17" t="b">
        <v>0</v>
      </c>
      <c r="Q159" s="17" t="b">
        <v>0</v>
      </c>
      <c r="R159" s="17" t="b">
        <v>0</v>
      </c>
      <c r="S159" s="17" t="b">
        <v>1</v>
      </c>
      <c r="T159" s="17" t="b">
        <v>0</v>
      </c>
      <c r="U159" s="17" t="b">
        <v>0</v>
      </c>
      <c r="V159" s="17" t="b">
        <v>1</v>
      </c>
      <c r="W159" s="11" t="s">
        <v>364</v>
      </c>
      <c r="X159" s="12" t="s">
        <v>14</v>
      </c>
      <c r="Y159" s="12" t="s">
        <v>14</v>
      </c>
      <c r="Z159" s="13" t="s">
        <v>355</v>
      </c>
    </row>
    <row r="160" spans="1:26" ht="19.95" customHeight="1" x14ac:dyDescent="0.3">
      <c r="A160" s="6">
        <v>45694</v>
      </c>
      <c r="B160" s="7" t="s">
        <v>1713</v>
      </c>
      <c r="C160" s="8" t="s">
        <v>1743</v>
      </c>
      <c r="D160" s="8" t="s">
        <v>281</v>
      </c>
      <c r="E160" s="8" t="s">
        <v>1718</v>
      </c>
      <c r="F160" s="9" t="s">
        <v>1744</v>
      </c>
      <c r="G160" s="9" t="s">
        <v>1745</v>
      </c>
      <c r="H160" s="9" t="s">
        <v>1746</v>
      </c>
      <c r="I160" s="9" t="s">
        <v>73</v>
      </c>
      <c r="J160" s="10" t="s">
        <v>174</v>
      </c>
      <c r="K160" s="15" t="str">
        <f>VLOOKUP(J160,DADOS!$A$3:$B$100,2,FALSE)</f>
        <v>EE-GI-001-007</v>
      </c>
      <c r="L160" s="15" t="s">
        <v>1721</v>
      </c>
      <c r="M160" s="18" t="b">
        <v>1</v>
      </c>
      <c r="N160" s="17" t="b">
        <v>1</v>
      </c>
      <c r="O160" s="17" t="b">
        <v>1</v>
      </c>
      <c r="P160" s="17" t="b">
        <v>0</v>
      </c>
      <c r="Q160" s="17" t="b">
        <v>0</v>
      </c>
      <c r="R160" s="17" t="b">
        <v>0</v>
      </c>
      <c r="S160" s="17" t="b">
        <v>1</v>
      </c>
      <c r="T160" s="17" t="b">
        <v>0</v>
      </c>
      <c r="U160" s="17" t="b">
        <v>0</v>
      </c>
      <c r="V160" s="17" t="b">
        <v>1</v>
      </c>
      <c r="W160" s="11" t="s">
        <v>281</v>
      </c>
      <c r="X160" s="12" t="s">
        <v>14</v>
      </c>
      <c r="Y160" s="12" t="s">
        <v>14</v>
      </c>
      <c r="Z160" s="13" t="s">
        <v>355</v>
      </c>
    </row>
    <row r="161" spans="1:26" ht="19.95" customHeight="1" x14ac:dyDescent="0.3">
      <c r="A161" s="6">
        <v>45694</v>
      </c>
      <c r="B161" s="7" t="s">
        <v>1713</v>
      </c>
      <c r="C161" s="8" t="s">
        <v>1722</v>
      </c>
      <c r="D161" s="8" t="s">
        <v>1749</v>
      </c>
      <c r="E161" s="8" t="s">
        <v>1747</v>
      </c>
      <c r="F161" s="9" t="s">
        <v>1748</v>
      </c>
      <c r="G161" s="9" t="s">
        <v>1750</v>
      </c>
      <c r="H161" s="9" t="s">
        <v>1751</v>
      </c>
      <c r="I161" s="9" t="s">
        <v>66</v>
      </c>
      <c r="J161" s="10" t="s">
        <v>174</v>
      </c>
      <c r="K161" s="15" t="str">
        <f>VLOOKUP(J161,DADOS!$A$3:$B$100,2,FALSE)</f>
        <v>EE-GI-001-007</v>
      </c>
      <c r="L161" s="15" t="s">
        <v>1721</v>
      </c>
      <c r="M161" s="18" t="b">
        <v>1</v>
      </c>
      <c r="N161" s="17" t="b">
        <v>1</v>
      </c>
      <c r="O161" s="17" t="b">
        <v>1</v>
      </c>
      <c r="P161" s="17" t="b">
        <v>0</v>
      </c>
      <c r="Q161" s="17" t="b">
        <v>0</v>
      </c>
      <c r="R161" s="17" t="b">
        <v>0</v>
      </c>
      <c r="S161" s="17" t="b">
        <v>1</v>
      </c>
      <c r="T161" s="17" t="b">
        <v>0</v>
      </c>
      <c r="U161" s="17" t="b">
        <v>0</v>
      </c>
      <c r="V161" s="17" t="b">
        <v>1</v>
      </c>
      <c r="W161" s="11" t="s">
        <v>1752</v>
      </c>
      <c r="X161" s="12" t="s">
        <v>14</v>
      </c>
      <c r="Y161" s="12" t="s">
        <v>14</v>
      </c>
      <c r="Z161" s="13" t="s">
        <v>355</v>
      </c>
    </row>
    <row r="162" spans="1:26" ht="19.95" customHeight="1" x14ac:dyDescent="0.3">
      <c r="A162" s="6">
        <v>45694</v>
      </c>
      <c r="B162" s="7" t="s">
        <v>1713</v>
      </c>
      <c r="C162" s="8" t="s">
        <v>1753</v>
      </c>
      <c r="D162" s="8" t="s">
        <v>458</v>
      </c>
      <c r="E162" s="8" t="s">
        <v>1747</v>
      </c>
      <c r="F162" s="9" t="s">
        <v>1754</v>
      </c>
      <c r="G162" s="9" t="s">
        <v>1719</v>
      </c>
      <c r="H162" s="9" t="s">
        <v>1755</v>
      </c>
      <c r="I162" s="9" t="s">
        <v>66</v>
      </c>
      <c r="J162" s="10" t="s">
        <v>174</v>
      </c>
      <c r="K162" s="15" t="str">
        <f>VLOOKUP(J162,DADOS!$A$3:$B$100,2,FALSE)</f>
        <v>EE-GI-001-007</v>
      </c>
      <c r="L162" s="15" t="s">
        <v>1721</v>
      </c>
      <c r="M162" s="18" t="b">
        <v>1</v>
      </c>
      <c r="N162" s="17" t="b">
        <v>1</v>
      </c>
      <c r="O162" s="17" t="b">
        <v>1</v>
      </c>
      <c r="P162" s="17" t="b">
        <v>0</v>
      </c>
      <c r="Q162" s="17" t="b">
        <v>0</v>
      </c>
      <c r="R162" s="17" t="b">
        <v>0</v>
      </c>
      <c r="S162" s="17" t="b">
        <v>1</v>
      </c>
      <c r="T162" s="17" t="b">
        <v>0</v>
      </c>
      <c r="U162" s="17" t="b">
        <v>0</v>
      </c>
      <c r="V162" s="17" t="b">
        <v>1</v>
      </c>
      <c r="W162" s="11" t="s">
        <v>458</v>
      </c>
      <c r="X162" s="12" t="s">
        <v>14</v>
      </c>
      <c r="Y162" s="12" t="s">
        <v>14</v>
      </c>
      <c r="Z162" s="13" t="s">
        <v>355</v>
      </c>
    </row>
    <row r="163" spans="1:26" ht="19.95" customHeight="1" x14ac:dyDescent="0.3">
      <c r="A163" s="6">
        <v>45694</v>
      </c>
      <c r="B163" s="7" t="s">
        <v>1713</v>
      </c>
      <c r="C163" s="8" t="s">
        <v>1722</v>
      </c>
      <c r="D163" s="8" t="s">
        <v>341</v>
      </c>
      <c r="E163" s="8" t="s">
        <v>1747</v>
      </c>
      <c r="F163" s="9" t="s">
        <v>1756</v>
      </c>
      <c r="G163" s="9" t="s">
        <v>1733</v>
      </c>
      <c r="H163" s="9" t="s">
        <v>1751</v>
      </c>
      <c r="I163" s="9" t="s">
        <v>66</v>
      </c>
      <c r="J163" s="10" t="s">
        <v>174</v>
      </c>
      <c r="K163" s="15" t="str">
        <f>VLOOKUP(J163,DADOS!$A$3:$B$100,2,FALSE)</f>
        <v>EE-GI-001-007</v>
      </c>
      <c r="L163" s="15" t="s">
        <v>1721</v>
      </c>
      <c r="M163" s="18" t="b">
        <v>1</v>
      </c>
      <c r="N163" s="17" t="b">
        <v>1</v>
      </c>
      <c r="O163" s="17" t="b">
        <v>1</v>
      </c>
      <c r="P163" s="17" t="b">
        <v>0</v>
      </c>
      <c r="Q163" s="17" t="b">
        <v>0</v>
      </c>
      <c r="R163" s="17" t="b">
        <v>0</v>
      </c>
      <c r="S163" s="17" t="b">
        <v>1</v>
      </c>
      <c r="T163" s="17" t="b">
        <v>0</v>
      </c>
      <c r="U163" s="17" t="b">
        <v>0</v>
      </c>
      <c r="V163" s="17" t="b">
        <v>1</v>
      </c>
      <c r="W163" s="11" t="s">
        <v>341</v>
      </c>
      <c r="X163" s="12" t="s">
        <v>14</v>
      </c>
      <c r="Y163" s="12" t="s">
        <v>14</v>
      </c>
      <c r="Z163" s="13" t="s">
        <v>355</v>
      </c>
    </row>
    <row r="164" spans="1:26" ht="19.95" customHeight="1" x14ac:dyDescent="0.3">
      <c r="A164" s="6">
        <v>45694</v>
      </c>
      <c r="B164" s="7" t="s">
        <v>1713</v>
      </c>
      <c r="C164" s="8" t="s">
        <v>1757</v>
      </c>
      <c r="D164" s="8" t="s">
        <v>281</v>
      </c>
      <c r="E164" s="8" t="s">
        <v>1747</v>
      </c>
      <c r="F164" s="9" t="s">
        <v>1758</v>
      </c>
      <c r="G164" s="9" t="s">
        <v>1759</v>
      </c>
      <c r="H164" s="9" t="s">
        <v>1760</v>
      </c>
      <c r="I164" s="9" t="s">
        <v>73</v>
      </c>
      <c r="J164" s="10" t="s">
        <v>174</v>
      </c>
      <c r="K164" s="15" t="str">
        <f>VLOOKUP(J164,DADOS!$A$3:$B$100,2,FALSE)</f>
        <v>EE-GI-001-007</v>
      </c>
      <c r="L164" s="15" t="s">
        <v>1721</v>
      </c>
      <c r="M164" s="18" t="b">
        <v>1</v>
      </c>
      <c r="N164" s="17" t="b">
        <v>1</v>
      </c>
      <c r="O164" s="17" t="b">
        <v>1</v>
      </c>
      <c r="P164" s="17" t="b">
        <v>0</v>
      </c>
      <c r="Q164" s="17" t="b">
        <v>0</v>
      </c>
      <c r="R164" s="17" t="b">
        <v>0</v>
      </c>
      <c r="S164" s="17" t="b">
        <v>1</v>
      </c>
      <c r="T164" s="17" t="b">
        <v>0</v>
      </c>
      <c r="U164" s="17" t="b">
        <v>0</v>
      </c>
      <c r="V164" s="17" t="b">
        <v>1</v>
      </c>
      <c r="W164" s="11" t="s">
        <v>281</v>
      </c>
      <c r="X164" s="12" t="s">
        <v>14</v>
      </c>
      <c r="Y164" s="12" t="s">
        <v>14</v>
      </c>
      <c r="Z164" s="13" t="s">
        <v>355</v>
      </c>
    </row>
    <row r="165" spans="1:26" ht="19.95" customHeight="1" x14ac:dyDescent="0.3">
      <c r="A165" s="6">
        <v>45694</v>
      </c>
      <c r="B165" s="7" t="s">
        <v>339</v>
      </c>
      <c r="C165" s="8" t="s">
        <v>1677</v>
      </c>
      <c r="D165" s="8" t="s">
        <v>1427</v>
      </c>
      <c r="E165" s="8" t="s">
        <v>1678</v>
      </c>
      <c r="F165" s="9" t="s">
        <v>1679</v>
      </c>
      <c r="G165" s="9" t="s">
        <v>773</v>
      </c>
      <c r="H165" s="9" t="s">
        <v>14</v>
      </c>
      <c r="I165" s="9" t="s">
        <v>67</v>
      </c>
      <c r="J165" s="10" t="s">
        <v>15</v>
      </c>
      <c r="K165" s="15" t="str">
        <f>VLOOKUP(J165,DADOS!$A$3:$B$100,2,FALSE)</f>
        <v>EE-GI-001-002</v>
      </c>
      <c r="L165" s="15" t="s">
        <v>260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0</v>
      </c>
      <c r="S165" s="17" t="b">
        <v>0</v>
      </c>
      <c r="T165" s="17" t="b">
        <v>1</v>
      </c>
      <c r="U165" s="17" t="b">
        <v>1</v>
      </c>
      <c r="V165" s="17" t="b">
        <v>1</v>
      </c>
      <c r="W165" s="11" t="s">
        <v>1427</v>
      </c>
      <c r="X165" s="12" t="s">
        <v>14</v>
      </c>
      <c r="Y165" s="12" t="s">
        <v>14</v>
      </c>
      <c r="Z165" s="13" t="s">
        <v>355</v>
      </c>
    </row>
    <row r="166" spans="1:26" ht="19.95" customHeight="1" x14ac:dyDescent="0.3">
      <c r="A166" s="6">
        <v>45694</v>
      </c>
      <c r="B166" s="7" t="s">
        <v>339</v>
      </c>
      <c r="C166" s="8" t="s">
        <v>1133</v>
      </c>
      <c r="D166" s="8" t="s">
        <v>1271</v>
      </c>
      <c r="E166" s="8" t="s">
        <v>1678</v>
      </c>
      <c r="F166" s="9" t="s">
        <v>2327</v>
      </c>
      <c r="G166" s="9" t="s">
        <v>2328</v>
      </c>
      <c r="H166" s="9" t="s">
        <v>14</v>
      </c>
      <c r="I166" s="9" t="s">
        <v>66</v>
      </c>
      <c r="J166" s="10" t="s">
        <v>186</v>
      </c>
      <c r="K166" s="15" t="str">
        <f>VLOOKUP(J166,DADOS!$A$3:$B$100,2,FALSE)</f>
        <v>EE-GI-001-008</v>
      </c>
      <c r="L166" s="15" t="s">
        <v>260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1</v>
      </c>
      <c r="W166" s="11" t="s">
        <v>1271</v>
      </c>
      <c r="X166" s="12" t="s">
        <v>14</v>
      </c>
      <c r="Y166" s="12" t="s">
        <v>14</v>
      </c>
      <c r="Z166" s="13" t="s">
        <v>355</v>
      </c>
    </row>
    <row r="167" spans="1:26" ht="19.95" customHeight="1" x14ac:dyDescent="0.3">
      <c r="A167" s="6">
        <v>45694</v>
      </c>
      <c r="B167" s="7" t="s">
        <v>2287</v>
      </c>
      <c r="C167" s="8" t="s">
        <v>2288</v>
      </c>
      <c r="D167" s="8" t="s">
        <v>269</v>
      </c>
      <c r="E167" s="8" t="s">
        <v>2289</v>
      </c>
      <c r="F167" s="9" t="s">
        <v>2290</v>
      </c>
      <c r="G167" s="9" t="s">
        <v>2291</v>
      </c>
      <c r="H167" s="9" t="s">
        <v>2292</v>
      </c>
      <c r="I167" s="9" t="s">
        <v>70</v>
      </c>
      <c r="J167" s="10" t="s">
        <v>186</v>
      </c>
      <c r="K167" s="15" t="str">
        <f>VLOOKUP(J167,DADOS!$A$3:$B$100,2,FALSE)</f>
        <v>EE-GI-001-008</v>
      </c>
      <c r="L167" s="15" t="s">
        <v>2293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1</v>
      </c>
      <c r="S167" s="17" t="b">
        <v>0</v>
      </c>
      <c r="T167" s="17" t="b">
        <v>0</v>
      </c>
      <c r="U167" s="17" t="b">
        <v>0</v>
      </c>
      <c r="V167" s="17" t="b">
        <v>0</v>
      </c>
      <c r="W167" s="11" t="s">
        <v>269</v>
      </c>
      <c r="X167" s="12" t="s">
        <v>14</v>
      </c>
      <c r="Y167" s="12" t="s">
        <v>14</v>
      </c>
      <c r="Z167" s="13" t="s">
        <v>355</v>
      </c>
    </row>
    <row r="168" spans="1:26" ht="19.95" customHeight="1" x14ac:dyDescent="0.3">
      <c r="A168" s="6">
        <v>45694</v>
      </c>
      <c r="B168" s="7" t="s">
        <v>1382</v>
      </c>
      <c r="C168" s="8" t="s">
        <v>1389</v>
      </c>
      <c r="D168" s="8" t="s">
        <v>281</v>
      </c>
      <c r="E168" s="8" t="s">
        <v>2294</v>
      </c>
      <c r="F168" s="9" t="s">
        <v>2295</v>
      </c>
      <c r="G168" s="9" t="s">
        <v>1386</v>
      </c>
      <c r="H168" s="9" t="s">
        <v>2296</v>
      </c>
      <c r="I168" s="9" t="s">
        <v>90</v>
      </c>
      <c r="J168" s="10" t="s">
        <v>186</v>
      </c>
      <c r="K168" s="15" t="str">
        <f>VLOOKUP(J168,DADOS!$A$3:$B$100,2,FALSE)</f>
        <v>EE-GI-001-008</v>
      </c>
      <c r="L168" s="15" t="s">
        <v>2293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1</v>
      </c>
      <c r="S168" s="17" t="b">
        <v>0</v>
      </c>
      <c r="T168" s="17" t="b">
        <v>0</v>
      </c>
      <c r="U168" s="17" t="b">
        <v>0</v>
      </c>
      <c r="V168" s="17" t="b">
        <v>0</v>
      </c>
      <c r="W168" s="11" t="s">
        <v>281</v>
      </c>
      <c r="X168" s="12" t="s">
        <v>14</v>
      </c>
      <c r="Y168" s="12" t="s">
        <v>14</v>
      </c>
      <c r="Z168" s="13" t="s">
        <v>355</v>
      </c>
    </row>
    <row r="169" spans="1:26" ht="19.95" customHeight="1" x14ac:dyDescent="0.3">
      <c r="A169" s="6">
        <v>45694</v>
      </c>
      <c r="B169" s="7" t="s">
        <v>1382</v>
      </c>
      <c r="C169" s="8" t="s">
        <v>2297</v>
      </c>
      <c r="D169" s="8" t="s">
        <v>269</v>
      </c>
      <c r="E169" s="8" t="s">
        <v>2294</v>
      </c>
      <c r="F169" s="9" t="s">
        <v>2298</v>
      </c>
      <c r="G169" s="9" t="s">
        <v>2299</v>
      </c>
      <c r="H169" s="9" t="s">
        <v>2300</v>
      </c>
      <c r="I169" s="9" t="s">
        <v>90</v>
      </c>
      <c r="J169" s="10" t="s">
        <v>186</v>
      </c>
      <c r="K169" s="15" t="str">
        <f>VLOOKUP(J169,DADOS!$A$3:$B$100,2,FALSE)</f>
        <v>EE-GI-001-008</v>
      </c>
      <c r="L169" s="15" t="s">
        <v>2293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1</v>
      </c>
      <c r="S169" s="17" t="b">
        <v>0</v>
      </c>
      <c r="T169" s="17" t="b">
        <v>0</v>
      </c>
      <c r="U169" s="17" t="b">
        <v>0</v>
      </c>
      <c r="V169" s="17" t="b">
        <v>0</v>
      </c>
      <c r="W169" s="11" t="s">
        <v>269</v>
      </c>
      <c r="X169" s="12" t="s">
        <v>14</v>
      </c>
      <c r="Y169" s="12" t="s">
        <v>14</v>
      </c>
      <c r="Z169" s="13" t="s">
        <v>355</v>
      </c>
    </row>
    <row r="170" spans="1:26" ht="19.95" customHeight="1" x14ac:dyDescent="0.3">
      <c r="A170" s="6">
        <v>45694</v>
      </c>
      <c r="B170" s="7" t="s">
        <v>2749</v>
      </c>
      <c r="C170" s="8" t="s">
        <v>2750</v>
      </c>
      <c r="D170" s="8" t="s">
        <v>269</v>
      </c>
      <c r="E170" s="8" t="s">
        <v>2751</v>
      </c>
      <c r="F170" s="9" t="s">
        <v>2752</v>
      </c>
      <c r="G170" s="34"/>
      <c r="H170" s="9" t="s">
        <v>2753</v>
      </c>
      <c r="I170" s="9" t="s">
        <v>69</v>
      </c>
      <c r="J170" s="10" t="s">
        <v>173</v>
      </c>
      <c r="K170" s="15" t="str">
        <f>VLOOKUP(J170,DADOS!$A$3:$B$100,2,FALSE)</f>
        <v>EE-GI-001-006</v>
      </c>
      <c r="L170" s="15" t="s">
        <v>260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1</v>
      </c>
      <c r="S170" s="17" t="b">
        <v>0</v>
      </c>
      <c r="T170" s="17" t="b">
        <v>0</v>
      </c>
      <c r="U170" s="17" t="b">
        <v>0</v>
      </c>
      <c r="V170" s="17" t="b">
        <v>1</v>
      </c>
      <c r="W170" s="11" t="s">
        <v>269</v>
      </c>
      <c r="X170" s="12" t="s">
        <v>14</v>
      </c>
      <c r="Y170" s="12" t="s">
        <v>14</v>
      </c>
      <c r="Z170" s="13" t="s">
        <v>2536</v>
      </c>
    </row>
    <row r="171" spans="1:26" ht="19.95" customHeight="1" x14ac:dyDescent="0.3">
      <c r="A171" s="6">
        <v>45695</v>
      </c>
      <c r="B171" s="7" t="s">
        <v>406</v>
      </c>
      <c r="C171" s="8" t="s">
        <v>407</v>
      </c>
      <c r="D171" s="8" t="s">
        <v>408</v>
      </c>
      <c r="E171" s="8" t="s">
        <v>409</v>
      </c>
      <c r="F171" s="9" t="s">
        <v>410</v>
      </c>
      <c r="G171" s="9" t="s">
        <v>412</v>
      </c>
      <c r="H171" s="9" t="s">
        <v>411</v>
      </c>
      <c r="I171" s="9" t="s">
        <v>66</v>
      </c>
      <c r="J171" s="10" t="s">
        <v>15</v>
      </c>
      <c r="K171" s="15" t="str">
        <f>VLOOKUP(J171,DADOS!$A$3:$B$100,2,FALSE)</f>
        <v>EE-GI-001-002</v>
      </c>
      <c r="L171" s="15" t="s">
        <v>260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1</v>
      </c>
      <c r="S171" s="17" t="b">
        <v>0</v>
      </c>
      <c r="T171" s="17" t="b">
        <v>0</v>
      </c>
      <c r="U171" s="17" t="b">
        <v>0</v>
      </c>
      <c r="V171" s="17" t="b">
        <v>1</v>
      </c>
      <c r="W171" s="11" t="s">
        <v>408</v>
      </c>
      <c r="X171" s="12" t="s">
        <v>14</v>
      </c>
      <c r="Y171" s="12" t="s">
        <v>14</v>
      </c>
      <c r="Z171" s="13" t="s">
        <v>261</v>
      </c>
    </row>
    <row r="172" spans="1:26" ht="19.95" customHeight="1" x14ac:dyDescent="0.3">
      <c r="A172" s="6">
        <v>45695</v>
      </c>
      <c r="B172" s="7" t="s">
        <v>406</v>
      </c>
      <c r="C172" s="8" t="s">
        <v>413</v>
      </c>
      <c r="D172" s="8" t="s">
        <v>269</v>
      </c>
      <c r="E172" s="8" t="s">
        <v>409</v>
      </c>
      <c r="F172" s="9" t="s">
        <v>415</v>
      </c>
      <c r="G172" s="9" t="s">
        <v>416</v>
      </c>
      <c r="H172" s="9" t="s">
        <v>432</v>
      </c>
      <c r="I172" s="9" t="s">
        <v>69</v>
      </c>
      <c r="J172" s="10" t="s">
        <v>15</v>
      </c>
      <c r="K172" s="15" t="str">
        <f>VLOOKUP(J172,DADOS!$A$3:$B$100,2,FALSE)</f>
        <v>EE-GI-001-002</v>
      </c>
      <c r="L172" s="15" t="s">
        <v>260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1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269</v>
      </c>
      <c r="X172" s="12" t="s">
        <v>14</v>
      </c>
      <c r="Y172" s="12" t="s">
        <v>14</v>
      </c>
      <c r="Z172" s="13" t="s">
        <v>261</v>
      </c>
    </row>
    <row r="173" spans="1:26" ht="19.95" customHeight="1" x14ac:dyDescent="0.3">
      <c r="A173" s="6">
        <v>45695</v>
      </c>
      <c r="B173" s="7" t="s">
        <v>406</v>
      </c>
      <c r="C173" s="8" t="s">
        <v>413</v>
      </c>
      <c r="D173" s="8" t="s">
        <v>281</v>
      </c>
      <c r="E173" s="8" t="s">
        <v>409</v>
      </c>
      <c r="F173" s="9" t="s">
        <v>417</v>
      </c>
      <c r="G173" s="9" t="s">
        <v>416</v>
      </c>
      <c r="H173" s="9" t="s">
        <v>432</v>
      </c>
      <c r="I173" s="9" t="s">
        <v>69</v>
      </c>
      <c r="J173" s="10" t="s">
        <v>15</v>
      </c>
      <c r="K173" s="15" t="str">
        <f>VLOOKUP(J173,DADOS!$A$3:$B$100,2,FALSE)</f>
        <v>EE-GI-001-002</v>
      </c>
      <c r="L173" s="15" t="s">
        <v>260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1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281</v>
      </c>
      <c r="X173" s="12" t="s">
        <v>14</v>
      </c>
      <c r="Y173" s="12" t="s">
        <v>14</v>
      </c>
      <c r="Z173" s="13" t="s">
        <v>261</v>
      </c>
    </row>
    <row r="174" spans="1:26" ht="19.95" customHeight="1" x14ac:dyDescent="0.3">
      <c r="A174" s="6">
        <v>45695</v>
      </c>
      <c r="B174" s="7" t="s">
        <v>406</v>
      </c>
      <c r="C174" s="8" t="s">
        <v>413</v>
      </c>
      <c r="D174" s="8" t="s">
        <v>281</v>
      </c>
      <c r="E174" s="8" t="s">
        <v>409</v>
      </c>
      <c r="F174" s="9" t="s">
        <v>418</v>
      </c>
      <c r="G174" s="9" t="s">
        <v>416</v>
      </c>
      <c r="H174" s="9" t="s">
        <v>432</v>
      </c>
      <c r="I174" s="9" t="s">
        <v>69</v>
      </c>
      <c r="J174" s="10" t="s">
        <v>15</v>
      </c>
      <c r="K174" s="15" t="str">
        <f>VLOOKUP(J174,DADOS!$A$3:$B$100,2,FALSE)</f>
        <v>EE-GI-001-002</v>
      </c>
      <c r="L174" s="15" t="s">
        <v>260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1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281</v>
      </c>
      <c r="X174" s="12" t="s">
        <v>14</v>
      </c>
      <c r="Y174" s="12" t="s">
        <v>14</v>
      </c>
      <c r="Z174" s="13" t="s">
        <v>261</v>
      </c>
    </row>
    <row r="175" spans="1:26" ht="19.95" customHeight="1" x14ac:dyDescent="0.3">
      <c r="A175" s="6">
        <v>45695</v>
      </c>
      <c r="B175" s="7" t="s">
        <v>406</v>
      </c>
      <c r="C175" s="8" t="s">
        <v>413</v>
      </c>
      <c r="D175" s="8" t="s">
        <v>287</v>
      </c>
      <c r="E175" s="8" t="s">
        <v>409</v>
      </c>
      <c r="F175" s="9" t="s">
        <v>419</v>
      </c>
      <c r="G175" s="9" t="s">
        <v>416</v>
      </c>
      <c r="H175" s="9" t="s">
        <v>432</v>
      </c>
      <c r="I175" s="9" t="s">
        <v>69</v>
      </c>
      <c r="J175" s="10" t="s">
        <v>15</v>
      </c>
      <c r="K175" s="15" t="str">
        <f>VLOOKUP(J175,DADOS!$A$3:$B$100,2,FALSE)</f>
        <v>EE-GI-001-002</v>
      </c>
      <c r="L175" s="15" t="s">
        <v>260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1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287</v>
      </c>
      <c r="X175" s="12" t="s">
        <v>14</v>
      </c>
      <c r="Y175" s="12" t="s">
        <v>14</v>
      </c>
      <c r="Z175" s="13" t="s">
        <v>261</v>
      </c>
    </row>
    <row r="176" spans="1:26" ht="19.95" customHeight="1" x14ac:dyDescent="0.3">
      <c r="A176" s="6">
        <v>45695</v>
      </c>
      <c r="B176" s="7" t="s">
        <v>406</v>
      </c>
      <c r="C176" s="8" t="s">
        <v>420</v>
      </c>
      <c r="D176" s="8" t="s">
        <v>421</v>
      </c>
      <c r="E176" s="8" t="s">
        <v>409</v>
      </c>
      <c r="F176" s="9" t="s">
        <v>422</v>
      </c>
      <c r="G176" s="9" t="s">
        <v>423</v>
      </c>
      <c r="H176" s="9" t="s">
        <v>424</v>
      </c>
      <c r="I176" s="9" t="s">
        <v>69</v>
      </c>
      <c r="J176" s="10" t="s">
        <v>15</v>
      </c>
      <c r="K176" s="15" t="str">
        <f>VLOOKUP(J176,DADOS!$A$3:$B$100,2,FALSE)</f>
        <v>EE-GI-001-002</v>
      </c>
      <c r="L176" s="15" t="s">
        <v>260</v>
      </c>
      <c r="M176" s="18" t="b">
        <v>1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1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421</v>
      </c>
      <c r="X176" s="12" t="s">
        <v>14</v>
      </c>
      <c r="Y176" s="12" t="s">
        <v>14</v>
      </c>
      <c r="Z176" s="13" t="s">
        <v>261</v>
      </c>
    </row>
    <row r="177" spans="1:26" s="5" customFormat="1" ht="19.95" customHeight="1" x14ac:dyDescent="0.3">
      <c r="A177" s="6">
        <v>45695</v>
      </c>
      <c r="B177" s="7" t="s">
        <v>406</v>
      </c>
      <c r="C177" s="8" t="s">
        <v>425</v>
      </c>
      <c r="D177" s="8" t="s">
        <v>281</v>
      </c>
      <c r="E177" s="8" t="s">
        <v>409</v>
      </c>
      <c r="F177" s="9" t="s">
        <v>426</v>
      </c>
      <c r="G177" s="9" t="s">
        <v>430</v>
      </c>
      <c r="H177" s="9" t="s">
        <v>431</v>
      </c>
      <c r="I177" s="9" t="s">
        <v>69</v>
      </c>
      <c r="J177" s="10" t="s">
        <v>15</v>
      </c>
      <c r="K177" s="15" t="str">
        <f>VLOOKUP(J177,DADOS!$A$3:$B$100,2,FALSE)</f>
        <v>EE-GI-001-002</v>
      </c>
      <c r="L177" s="15" t="s">
        <v>260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1</v>
      </c>
      <c r="S177" s="17" t="b">
        <v>0</v>
      </c>
      <c r="T177" s="17" t="b">
        <v>0</v>
      </c>
      <c r="U177" s="17" t="b">
        <v>0</v>
      </c>
      <c r="V177" s="17" t="b">
        <v>1</v>
      </c>
      <c r="W177" s="11" t="s">
        <v>281</v>
      </c>
      <c r="X177" s="12" t="s">
        <v>14</v>
      </c>
      <c r="Y177" s="12" t="s">
        <v>14</v>
      </c>
      <c r="Z177" s="13" t="s">
        <v>261</v>
      </c>
    </row>
    <row r="178" spans="1:26" ht="19.95" customHeight="1" x14ac:dyDescent="0.3">
      <c r="A178" s="6">
        <v>45695</v>
      </c>
      <c r="B178" s="7" t="s">
        <v>406</v>
      </c>
      <c r="C178" s="8" t="s">
        <v>425</v>
      </c>
      <c r="D178" s="8" t="s">
        <v>287</v>
      </c>
      <c r="E178" s="8" t="s">
        <v>409</v>
      </c>
      <c r="F178" s="9" t="s">
        <v>427</v>
      </c>
      <c r="G178" s="9" t="s">
        <v>430</v>
      </c>
      <c r="H178" s="9" t="s">
        <v>431</v>
      </c>
      <c r="I178" s="9" t="s">
        <v>69</v>
      </c>
      <c r="J178" s="10" t="s">
        <v>15</v>
      </c>
      <c r="K178" s="15" t="str">
        <f>VLOOKUP(J178,DADOS!$A$3:$B$100,2,FALSE)</f>
        <v>EE-GI-001-002</v>
      </c>
      <c r="L178" s="15" t="s">
        <v>260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1</v>
      </c>
      <c r="S178" s="17" t="b">
        <v>0</v>
      </c>
      <c r="T178" s="17" t="b">
        <v>0</v>
      </c>
      <c r="U178" s="17" t="b">
        <v>0</v>
      </c>
      <c r="V178" s="17" t="b">
        <v>1</v>
      </c>
      <c r="W178" s="11" t="s">
        <v>287</v>
      </c>
      <c r="X178" s="12" t="s">
        <v>14</v>
      </c>
      <c r="Y178" s="12" t="s">
        <v>14</v>
      </c>
      <c r="Z178" s="13" t="s">
        <v>261</v>
      </c>
    </row>
    <row r="179" spans="1:26" ht="19.95" customHeight="1" x14ac:dyDescent="0.3">
      <c r="A179" s="6">
        <v>45695</v>
      </c>
      <c r="B179" s="7" t="s">
        <v>406</v>
      </c>
      <c r="C179" s="8" t="s">
        <v>425</v>
      </c>
      <c r="D179" s="8" t="s">
        <v>287</v>
      </c>
      <c r="E179" s="8" t="s">
        <v>409</v>
      </c>
      <c r="F179" s="9" t="s">
        <v>428</v>
      </c>
      <c r="G179" s="9" t="s">
        <v>430</v>
      </c>
      <c r="H179" s="9" t="s">
        <v>431</v>
      </c>
      <c r="I179" s="9" t="s">
        <v>69</v>
      </c>
      <c r="J179" s="10" t="s">
        <v>15</v>
      </c>
      <c r="K179" s="15" t="str">
        <f>VLOOKUP(J179,DADOS!$A$3:$B$100,2,FALSE)</f>
        <v>EE-GI-001-002</v>
      </c>
      <c r="L179" s="15" t="s">
        <v>260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1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287</v>
      </c>
      <c r="X179" s="12" t="s">
        <v>14</v>
      </c>
      <c r="Y179" s="12" t="s">
        <v>14</v>
      </c>
      <c r="Z179" s="13" t="s">
        <v>261</v>
      </c>
    </row>
    <row r="180" spans="1:26" ht="19.95" customHeight="1" x14ac:dyDescent="0.3">
      <c r="A180" s="6">
        <v>45695</v>
      </c>
      <c r="B180" s="7" t="s">
        <v>406</v>
      </c>
      <c r="C180" s="8" t="s">
        <v>425</v>
      </c>
      <c r="D180" s="8" t="s">
        <v>364</v>
      </c>
      <c r="E180" s="8" t="s">
        <v>409</v>
      </c>
      <c r="F180" s="9" t="s">
        <v>429</v>
      </c>
      <c r="G180" s="9" t="s">
        <v>430</v>
      </c>
      <c r="H180" s="9" t="s">
        <v>431</v>
      </c>
      <c r="I180" s="9" t="s">
        <v>69</v>
      </c>
      <c r="J180" s="10" t="s">
        <v>15</v>
      </c>
      <c r="K180" s="15" t="str">
        <f>VLOOKUP(J180,DADOS!$A$3:$B$100,2,FALSE)</f>
        <v>EE-GI-001-002</v>
      </c>
      <c r="L180" s="15" t="s">
        <v>260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1</v>
      </c>
      <c r="S180" s="17" t="b">
        <v>0</v>
      </c>
      <c r="T180" s="17" t="b">
        <v>0</v>
      </c>
      <c r="U180" s="17" t="b">
        <v>0</v>
      </c>
      <c r="V180" s="17" t="b">
        <v>1</v>
      </c>
      <c r="W180" s="11" t="s">
        <v>364</v>
      </c>
      <c r="X180" s="12" t="s">
        <v>14</v>
      </c>
      <c r="Y180" s="12" t="s">
        <v>14</v>
      </c>
      <c r="Z180" s="13" t="s">
        <v>261</v>
      </c>
    </row>
    <row r="181" spans="1:26" ht="19.95" customHeight="1" x14ac:dyDescent="0.3">
      <c r="A181" s="6">
        <v>45695</v>
      </c>
      <c r="B181" s="7" t="s">
        <v>406</v>
      </c>
      <c r="C181" s="8" t="s">
        <v>433</v>
      </c>
      <c r="D181" s="8" t="s">
        <v>269</v>
      </c>
      <c r="E181" s="8" t="s">
        <v>409</v>
      </c>
      <c r="F181" s="9" t="s">
        <v>435</v>
      </c>
      <c r="G181" s="9" t="s">
        <v>430</v>
      </c>
      <c r="H181" s="9" t="s">
        <v>441</v>
      </c>
      <c r="I181" s="9" t="s">
        <v>69</v>
      </c>
      <c r="J181" s="10" t="s">
        <v>15</v>
      </c>
      <c r="K181" s="15" t="str">
        <f>VLOOKUP(J181,DADOS!$A$3:$B$100,2,FALSE)</f>
        <v>EE-GI-001-002</v>
      </c>
      <c r="L181" s="15" t="s">
        <v>260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1</v>
      </c>
      <c r="S181" s="17" t="b">
        <v>0</v>
      </c>
      <c r="T181" s="17" t="b">
        <v>0</v>
      </c>
      <c r="U181" s="17" t="b">
        <v>0</v>
      </c>
      <c r="V181" s="17" t="b">
        <v>1</v>
      </c>
      <c r="W181" s="11" t="s">
        <v>269</v>
      </c>
      <c r="X181" s="12" t="s">
        <v>14</v>
      </c>
      <c r="Y181" s="12" t="s">
        <v>14</v>
      </c>
      <c r="Z181" s="13" t="s">
        <v>261</v>
      </c>
    </row>
    <row r="182" spans="1:26" ht="19.95" customHeight="1" x14ac:dyDescent="0.3">
      <c r="A182" s="6">
        <v>45695</v>
      </c>
      <c r="B182" s="7" t="s">
        <v>406</v>
      </c>
      <c r="C182" s="8" t="s">
        <v>433</v>
      </c>
      <c r="D182" s="8" t="s">
        <v>281</v>
      </c>
      <c r="E182" s="8" t="s">
        <v>409</v>
      </c>
      <c r="F182" s="9" t="s">
        <v>436</v>
      </c>
      <c r="G182" s="9" t="s">
        <v>430</v>
      </c>
      <c r="H182" s="9" t="s">
        <v>441</v>
      </c>
      <c r="I182" s="9" t="s">
        <v>69</v>
      </c>
      <c r="J182" s="10" t="s">
        <v>15</v>
      </c>
      <c r="K182" s="15" t="str">
        <f>VLOOKUP(J182,DADOS!$A$3:$B$100,2,FALSE)</f>
        <v>EE-GI-001-002</v>
      </c>
      <c r="L182" s="15" t="s">
        <v>260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1</v>
      </c>
      <c r="S182" s="17" t="b">
        <v>0</v>
      </c>
      <c r="T182" s="17" t="b">
        <v>0</v>
      </c>
      <c r="U182" s="17" t="b">
        <v>0</v>
      </c>
      <c r="V182" s="17" t="b">
        <v>1</v>
      </c>
      <c r="W182" s="11" t="s">
        <v>281</v>
      </c>
      <c r="X182" s="12" t="s">
        <v>14</v>
      </c>
      <c r="Y182" s="12" t="s">
        <v>14</v>
      </c>
      <c r="Z182" s="13" t="s">
        <v>261</v>
      </c>
    </row>
    <row r="183" spans="1:26" ht="19.95" customHeight="1" x14ac:dyDescent="0.3">
      <c r="A183" s="6">
        <v>45695</v>
      </c>
      <c r="B183" s="7" t="s">
        <v>406</v>
      </c>
      <c r="C183" s="8" t="s">
        <v>433</v>
      </c>
      <c r="D183" s="8" t="s">
        <v>281</v>
      </c>
      <c r="E183" s="8" t="s">
        <v>409</v>
      </c>
      <c r="F183" s="9" t="s">
        <v>437</v>
      </c>
      <c r="G183" s="9" t="s">
        <v>430</v>
      </c>
      <c r="H183" s="9" t="s">
        <v>441</v>
      </c>
      <c r="I183" s="9" t="s">
        <v>69</v>
      </c>
      <c r="J183" s="10" t="s">
        <v>15</v>
      </c>
      <c r="K183" s="15" t="str">
        <f>VLOOKUP(J183,DADOS!$A$3:$B$100,2,FALSE)</f>
        <v>EE-GI-001-002</v>
      </c>
      <c r="L183" s="15" t="s">
        <v>260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1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281</v>
      </c>
      <c r="X183" s="12" t="s">
        <v>14</v>
      </c>
      <c r="Y183" s="12" t="s">
        <v>14</v>
      </c>
      <c r="Z183" s="13" t="s">
        <v>261</v>
      </c>
    </row>
    <row r="184" spans="1:26" ht="19.95" customHeight="1" x14ac:dyDescent="0.3">
      <c r="A184" s="6">
        <v>45695</v>
      </c>
      <c r="B184" s="7" t="s">
        <v>406</v>
      </c>
      <c r="C184" s="8" t="s">
        <v>433</v>
      </c>
      <c r="D184" s="8" t="s">
        <v>373</v>
      </c>
      <c r="E184" s="8" t="s">
        <v>409</v>
      </c>
      <c r="F184" s="9" t="s">
        <v>438</v>
      </c>
      <c r="G184" s="9" t="s">
        <v>430</v>
      </c>
      <c r="H184" s="9" t="s">
        <v>441</v>
      </c>
      <c r="I184" s="9" t="s">
        <v>69</v>
      </c>
      <c r="J184" s="10" t="s">
        <v>15</v>
      </c>
      <c r="K184" s="15" t="str">
        <f>VLOOKUP(J184,DADOS!$A$3:$B$100,2,FALSE)</f>
        <v>EE-GI-001-002</v>
      </c>
      <c r="L184" s="15" t="s">
        <v>260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1</v>
      </c>
      <c r="S184" s="17" t="b">
        <v>0</v>
      </c>
      <c r="T184" s="17" t="b">
        <v>0</v>
      </c>
      <c r="U184" s="17" t="b">
        <v>0</v>
      </c>
      <c r="V184" s="17" t="b">
        <v>1</v>
      </c>
      <c r="W184" s="11" t="s">
        <v>373</v>
      </c>
      <c r="X184" s="12" t="s">
        <v>14</v>
      </c>
      <c r="Y184" s="12" t="s">
        <v>14</v>
      </c>
      <c r="Z184" s="13" t="s">
        <v>261</v>
      </c>
    </row>
    <row r="185" spans="1:26" ht="19.95" customHeight="1" x14ac:dyDescent="0.3">
      <c r="A185" s="6">
        <v>45695</v>
      </c>
      <c r="B185" s="7" t="s">
        <v>406</v>
      </c>
      <c r="C185" s="8" t="s">
        <v>433</v>
      </c>
      <c r="D185" s="8" t="s">
        <v>279</v>
      </c>
      <c r="E185" s="8" t="s">
        <v>409</v>
      </c>
      <c r="F185" s="9" t="s">
        <v>439</v>
      </c>
      <c r="G185" s="9" t="s">
        <v>430</v>
      </c>
      <c r="H185" s="9" t="s">
        <v>441</v>
      </c>
      <c r="I185" s="9" t="s">
        <v>69</v>
      </c>
      <c r="J185" s="10" t="s">
        <v>15</v>
      </c>
      <c r="K185" s="15" t="str">
        <f>VLOOKUP(J185,DADOS!$A$3:$B$100,2,FALSE)</f>
        <v>EE-GI-001-002</v>
      </c>
      <c r="L185" s="15" t="s">
        <v>260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1</v>
      </c>
      <c r="S185" s="17" t="b">
        <v>0</v>
      </c>
      <c r="T185" s="17" t="b">
        <v>0</v>
      </c>
      <c r="U185" s="17" t="b">
        <v>0</v>
      </c>
      <c r="V185" s="17" t="b">
        <v>1</v>
      </c>
      <c r="W185" s="11" t="s">
        <v>279</v>
      </c>
      <c r="X185" s="12" t="s">
        <v>14</v>
      </c>
      <c r="Y185" s="12" t="s">
        <v>14</v>
      </c>
      <c r="Z185" s="13" t="s">
        <v>261</v>
      </c>
    </row>
    <row r="186" spans="1:26" ht="19.95" customHeight="1" x14ac:dyDescent="0.3">
      <c r="A186" s="6">
        <v>45695</v>
      </c>
      <c r="B186" s="7" t="s">
        <v>406</v>
      </c>
      <c r="C186" s="8" t="s">
        <v>433</v>
      </c>
      <c r="D186" s="8" t="s">
        <v>434</v>
      </c>
      <c r="E186" s="8" t="s">
        <v>409</v>
      </c>
      <c r="F186" s="9" t="s">
        <v>440</v>
      </c>
      <c r="G186" s="9" t="s">
        <v>430</v>
      </c>
      <c r="H186" s="9" t="s">
        <v>441</v>
      </c>
      <c r="I186" s="9" t="s">
        <v>69</v>
      </c>
      <c r="J186" s="10" t="s">
        <v>15</v>
      </c>
      <c r="K186" s="15" t="str">
        <f>VLOOKUP(J186,DADOS!$A$3:$B$100,2,FALSE)</f>
        <v>EE-GI-001-002</v>
      </c>
      <c r="L186" s="15" t="s">
        <v>260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1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434</v>
      </c>
      <c r="X186" s="12" t="s">
        <v>14</v>
      </c>
      <c r="Y186" s="12" t="s">
        <v>14</v>
      </c>
      <c r="Z186" s="13" t="s">
        <v>261</v>
      </c>
    </row>
    <row r="187" spans="1:26" ht="19.95" customHeight="1" x14ac:dyDescent="0.3">
      <c r="A187" s="6">
        <v>45695</v>
      </c>
      <c r="B187" s="7" t="s">
        <v>406</v>
      </c>
      <c r="C187" s="8" t="s">
        <v>442</v>
      </c>
      <c r="D187" s="8" t="s">
        <v>443</v>
      </c>
      <c r="E187" s="8" t="s">
        <v>409</v>
      </c>
      <c r="F187" s="9" t="s">
        <v>446</v>
      </c>
      <c r="G187" s="9" t="s">
        <v>430</v>
      </c>
      <c r="H187" s="9" t="s">
        <v>449</v>
      </c>
      <c r="I187" s="9" t="s">
        <v>66</v>
      </c>
      <c r="J187" s="10" t="s">
        <v>15</v>
      </c>
      <c r="K187" s="15" t="str">
        <f>VLOOKUP(J187,DADOS!$A$3:$B$100,2,FALSE)</f>
        <v>EE-GI-001-002</v>
      </c>
      <c r="L187" s="15" t="s">
        <v>260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1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443</v>
      </c>
      <c r="X187" s="12" t="s">
        <v>14</v>
      </c>
      <c r="Y187" s="12" t="s">
        <v>14</v>
      </c>
      <c r="Z187" s="13" t="s">
        <v>261</v>
      </c>
    </row>
    <row r="188" spans="1:26" ht="19.95" customHeight="1" x14ac:dyDescent="0.3">
      <c r="A188" s="6">
        <v>45695</v>
      </c>
      <c r="B188" s="7" t="s">
        <v>406</v>
      </c>
      <c r="C188" s="8" t="s">
        <v>442</v>
      </c>
      <c r="D188" s="8" t="s">
        <v>444</v>
      </c>
      <c r="E188" s="8" t="s">
        <v>409</v>
      </c>
      <c r="F188" s="9" t="s">
        <v>447</v>
      </c>
      <c r="G188" s="9" t="s">
        <v>430</v>
      </c>
      <c r="H188" s="9" t="s">
        <v>449</v>
      </c>
      <c r="I188" s="9" t="s">
        <v>66</v>
      </c>
      <c r="J188" s="10" t="s">
        <v>15</v>
      </c>
      <c r="K188" s="15" t="str">
        <f>VLOOKUP(J188,DADOS!$A$3:$B$100,2,FALSE)</f>
        <v>EE-GI-001-002</v>
      </c>
      <c r="L188" s="15" t="s">
        <v>260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1</v>
      </c>
      <c r="S188" s="17" t="b">
        <v>0</v>
      </c>
      <c r="T188" s="17" t="b">
        <v>0</v>
      </c>
      <c r="U188" s="17" t="b">
        <v>0</v>
      </c>
      <c r="V188" s="17" t="b">
        <v>1</v>
      </c>
      <c r="W188" s="11" t="s">
        <v>444</v>
      </c>
      <c r="X188" s="12" t="s">
        <v>14</v>
      </c>
      <c r="Y188" s="12" t="s">
        <v>14</v>
      </c>
      <c r="Z188" s="13" t="s">
        <v>261</v>
      </c>
    </row>
    <row r="189" spans="1:26" ht="19.95" customHeight="1" x14ac:dyDescent="0.3">
      <c r="A189" s="6">
        <v>45695</v>
      </c>
      <c r="B189" s="7" t="s">
        <v>406</v>
      </c>
      <c r="C189" s="8" t="s">
        <v>442</v>
      </c>
      <c r="D189" s="8" t="s">
        <v>445</v>
      </c>
      <c r="E189" s="8" t="s">
        <v>409</v>
      </c>
      <c r="F189" s="9" t="s">
        <v>448</v>
      </c>
      <c r="G189" s="9" t="s">
        <v>430</v>
      </c>
      <c r="H189" s="9" t="s">
        <v>449</v>
      </c>
      <c r="I189" s="9" t="s">
        <v>66</v>
      </c>
      <c r="J189" s="10" t="s">
        <v>15</v>
      </c>
      <c r="K189" s="15" t="str">
        <f>VLOOKUP(J189,DADOS!$A$3:$B$100,2,FALSE)</f>
        <v>EE-GI-001-002</v>
      </c>
      <c r="L189" s="15" t="s">
        <v>260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1</v>
      </c>
      <c r="S189" s="17" t="b">
        <v>0</v>
      </c>
      <c r="T189" s="17" t="b">
        <v>0</v>
      </c>
      <c r="U189" s="17" t="b">
        <v>0</v>
      </c>
      <c r="V189" s="17" t="b">
        <v>1</v>
      </c>
      <c r="W189" s="11" t="s">
        <v>445</v>
      </c>
      <c r="X189" s="12" t="s">
        <v>14</v>
      </c>
      <c r="Y189" s="12" t="s">
        <v>14</v>
      </c>
      <c r="Z189" s="13" t="s">
        <v>261</v>
      </c>
    </row>
    <row r="190" spans="1:26" ht="19.95" customHeight="1" x14ac:dyDescent="0.3">
      <c r="A190" s="6">
        <v>45695</v>
      </c>
      <c r="B190" s="7" t="s">
        <v>406</v>
      </c>
      <c r="C190" s="8" t="s">
        <v>407</v>
      </c>
      <c r="D190" s="8" t="s">
        <v>263</v>
      </c>
      <c r="E190" s="8" t="s">
        <v>450</v>
      </c>
      <c r="F190" s="9" t="s">
        <v>451</v>
      </c>
      <c r="G190" s="9" t="s">
        <v>452</v>
      </c>
      <c r="H190" s="9" t="s">
        <v>453</v>
      </c>
      <c r="I190" s="9" t="s">
        <v>66</v>
      </c>
      <c r="J190" s="10" t="s">
        <v>15</v>
      </c>
      <c r="K190" s="15" t="str">
        <f>VLOOKUP(J190,DADOS!$A$3:$B$100,2,FALSE)</f>
        <v>EE-GI-001-002</v>
      </c>
      <c r="L190" s="15" t="s">
        <v>260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1</v>
      </c>
      <c r="S190" s="17" t="b">
        <v>0</v>
      </c>
      <c r="T190" s="17" t="b">
        <v>0</v>
      </c>
      <c r="U190" s="17" t="b">
        <v>0</v>
      </c>
      <c r="V190" s="17" t="b">
        <v>1</v>
      </c>
      <c r="W190" s="11" t="s">
        <v>263</v>
      </c>
      <c r="X190" s="12" t="s">
        <v>14</v>
      </c>
      <c r="Y190" s="12" t="s">
        <v>14</v>
      </c>
      <c r="Z190" s="13" t="s">
        <v>261</v>
      </c>
    </row>
    <row r="191" spans="1:26" ht="19.95" customHeight="1" x14ac:dyDescent="0.3">
      <c r="A191" s="6">
        <v>45695</v>
      </c>
      <c r="B191" s="7" t="s">
        <v>529</v>
      </c>
      <c r="C191" s="8" t="s">
        <v>530</v>
      </c>
      <c r="D191" s="8" t="s">
        <v>364</v>
      </c>
      <c r="E191" s="8" t="s">
        <v>531</v>
      </c>
      <c r="F191" s="9" t="s">
        <v>532</v>
      </c>
      <c r="G191" s="9" t="s">
        <v>533</v>
      </c>
      <c r="H191" s="9" t="s">
        <v>534</v>
      </c>
      <c r="I191" s="9" t="s">
        <v>69</v>
      </c>
      <c r="J191" s="10" t="s">
        <v>15</v>
      </c>
      <c r="K191" s="15" t="str">
        <f>VLOOKUP(J191,DADOS!$A$3:$B$100,2,FALSE)</f>
        <v>EE-GI-001-002</v>
      </c>
      <c r="L191" s="15" t="s">
        <v>303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1</v>
      </c>
      <c r="S191" s="17" t="b">
        <v>0</v>
      </c>
      <c r="T191" s="17" t="b">
        <v>0</v>
      </c>
      <c r="U191" s="17" t="b">
        <v>0</v>
      </c>
      <c r="V191" s="17" t="b">
        <v>0</v>
      </c>
      <c r="W191" s="11" t="s">
        <v>364</v>
      </c>
      <c r="X191" s="12" t="s">
        <v>14</v>
      </c>
      <c r="Y191" s="12" t="s">
        <v>14</v>
      </c>
      <c r="Z191" s="13" t="s">
        <v>261</v>
      </c>
    </row>
    <row r="192" spans="1:26" ht="19.95" customHeight="1" x14ac:dyDescent="0.3">
      <c r="A192" s="6">
        <v>45695</v>
      </c>
      <c r="B192" s="7" t="s">
        <v>529</v>
      </c>
      <c r="C192" s="8" t="s">
        <v>530</v>
      </c>
      <c r="D192" s="8" t="s">
        <v>269</v>
      </c>
      <c r="E192" s="8" t="s">
        <v>531</v>
      </c>
      <c r="F192" s="9" t="s">
        <v>535</v>
      </c>
      <c r="G192" s="9" t="s">
        <v>533</v>
      </c>
      <c r="H192" s="9" t="s">
        <v>534</v>
      </c>
      <c r="I192" s="9" t="s">
        <v>69</v>
      </c>
      <c r="J192" s="10" t="s">
        <v>15</v>
      </c>
      <c r="K192" s="15" t="str">
        <f>VLOOKUP(J192,DADOS!$A$3:$B$100,2,FALSE)</f>
        <v>EE-GI-001-002</v>
      </c>
      <c r="L192" s="15" t="s">
        <v>303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1</v>
      </c>
      <c r="S192" s="17" t="b">
        <v>0</v>
      </c>
      <c r="T192" s="17" t="b">
        <v>0</v>
      </c>
      <c r="U192" s="17" t="b">
        <v>0</v>
      </c>
      <c r="V192" s="17" t="b">
        <v>0</v>
      </c>
      <c r="W192" s="11" t="s">
        <v>269</v>
      </c>
      <c r="X192" s="12" t="s">
        <v>14</v>
      </c>
      <c r="Y192" s="12" t="s">
        <v>14</v>
      </c>
      <c r="Z192" s="13" t="s">
        <v>261</v>
      </c>
    </row>
    <row r="193" spans="1:26" ht="19.95" customHeight="1" x14ac:dyDescent="0.3">
      <c r="A193" s="6">
        <v>45695</v>
      </c>
      <c r="B193" s="7" t="s">
        <v>529</v>
      </c>
      <c r="C193" s="8" t="s">
        <v>530</v>
      </c>
      <c r="D193" s="8" t="s">
        <v>269</v>
      </c>
      <c r="E193" s="8" t="s">
        <v>531</v>
      </c>
      <c r="F193" s="9" t="s">
        <v>536</v>
      </c>
      <c r="G193" s="9" t="s">
        <v>533</v>
      </c>
      <c r="H193" s="9" t="s">
        <v>534</v>
      </c>
      <c r="I193" s="9" t="s">
        <v>69</v>
      </c>
      <c r="J193" s="10" t="s">
        <v>15</v>
      </c>
      <c r="K193" s="15" t="str">
        <f>VLOOKUP(J193,DADOS!$A$3:$B$100,2,FALSE)</f>
        <v>EE-GI-001-002</v>
      </c>
      <c r="L193" s="15" t="s">
        <v>303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1</v>
      </c>
      <c r="S193" s="17" t="b">
        <v>0</v>
      </c>
      <c r="T193" s="17" t="b">
        <v>0</v>
      </c>
      <c r="U193" s="17" t="b">
        <v>0</v>
      </c>
      <c r="V193" s="17" t="b">
        <v>0</v>
      </c>
      <c r="W193" s="11" t="s">
        <v>269</v>
      </c>
      <c r="X193" s="12" t="s">
        <v>14</v>
      </c>
      <c r="Y193" s="12" t="s">
        <v>14</v>
      </c>
      <c r="Z193" s="13" t="s">
        <v>261</v>
      </c>
    </row>
    <row r="194" spans="1:26" ht="19.95" customHeight="1" x14ac:dyDescent="0.3">
      <c r="A194" s="6">
        <v>45695</v>
      </c>
      <c r="B194" s="7" t="s">
        <v>529</v>
      </c>
      <c r="C194" s="8" t="s">
        <v>530</v>
      </c>
      <c r="D194" s="8" t="s">
        <v>269</v>
      </c>
      <c r="E194" s="8" t="s">
        <v>531</v>
      </c>
      <c r="F194" s="9" t="s">
        <v>537</v>
      </c>
      <c r="G194" s="9" t="s">
        <v>533</v>
      </c>
      <c r="H194" s="9" t="s">
        <v>534</v>
      </c>
      <c r="I194" s="9" t="s">
        <v>69</v>
      </c>
      <c r="J194" s="10" t="s">
        <v>15</v>
      </c>
      <c r="K194" s="15" t="str">
        <f>VLOOKUP(J194,DADOS!$A$3:$B$100,2,FALSE)</f>
        <v>EE-GI-001-002</v>
      </c>
      <c r="L194" s="15" t="s">
        <v>303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1</v>
      </c>
      <c r="S194" s="17" t="b">
        <v>0</v>
      </c>
      <c r="T194" s="17" t="b">
        <v>0</v>
      </c>
      <c r="U194" s="17" t="b">
        <v>0</v>
      </c>
      <c r="V194" s="17" t="b">
        <v>0</v>
      </c>
      <c r="W194" s="11" t="s">
        <v>269</v>
      </c>
      <c r="X194" s="12" t="s">
        <v>14</v>
      </c>
      <c r="Y194" s="12" t="s">
        <v>14</v>
      </c>
      <c r="Z194" s="13" t="s">
        <v>261</v>
      </c>
    </row>
    <row r="195" spans="1:26" ht="19.95" customHeight="1" x14ac:dyDescent="0.3">
      <c r="A195" s="6">
        <v>45695</v>
      </c>
      <c r="B195" s="7" t="s">
        <v>529</v>
      </c>
      <c r="C195" s="8" t="s">
        <v>538</v>
      </c>
      <c r="D195" s="8" t="s">
        <v>279</v>
      </c>
      <c r="E195" s="8" t="s">
        <v>531</v>
      </c>
      <c r="F195" s="9" t="s">
        <v>539</v>
      </c>
      <c r="G195" s="9" t="s">
        <v>533</v>
      </c>
      <c r="H195" s="9" t="s">
        <v>534</v>
      </c>
      <c r="I195" s="9" t="s">
        <v>68</v>
      </c>
      <c r="J195" s="10" t="s">
        <v>15</v>
      </c>
      <c r="K195" s="15" t="str">
        <f>VLOOKUP(J195,DADOS!$A$3:$B$100,2,FALSE)</f>
        <v>EE-GI-001-002</v>
      </c>
      <c r="L195" s="15" t="s">
        <v>303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1</v>
      </c>
      <c r="S195" s="17" t="b">
        <v>0</v>
      </c>
      <c r="T195" s="17" t="b">
        <v>0</v>
      </c>
      <c r="U195" s="17" t="b">
        <v>0</v>
      </c>
      <c r="V195" s="17" t="b">
        <v>0</v>
      </c>
      <c r="W195" s="11" t="s">
        <v>279</v>
      </c>
      <c r="X195" s="12" t="s">
        <v>14</v>
      </c>
      <c r="Y195" s="12" t="s">
        <v>14</v>
      </c>
      <c r="Z195" s="13" t="s">
        <v>261</v>
      </c>
    </row>
    <row r="196" spans="1:26" ht="19.95" customHeight="1" x14ac:dyDescent="0.3">
      <c r="A196" s="6">
        <v>45695</v>
      </c>
      <c r="B196" s="7" t="s">
        <v>529</v>
      </c>
      <c r="C196" s="8" t="s">
        <v>538</v>
      </c>
      <c r="D196" s="8" t="s">
        <v>281</v>
      </c>
      <c r="E196" s="8" t="s">
        <v>531</v>
      </c>
      <c r="F196" s="9" t="s">
        <v>540</v>
      </c>
      <c r="G196" s="9" t="s">
        <v>533</v>
      </c>
      <c r="H196" s="9" t="s">
        <v>534</v>
      </c>
      <c r="I196" s="9" t="s">
        <v>68</v>
      </c>
      <c r="J196" s="10" t="s">
        <v>15</v>
      </c>
      <c r="K196" s="15" t="str">
        <f>VLOOKUP(J196,DADOS!$A$3:$B$100,2,FALSE)</f>
        <v>EE-GI-001-002</v>
      </c>
      <c r="L196" s="15" t="s">
        <v>303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1</v>
      </c>
      <c r="S196" s="17" t="b">
        <v>0</v>
      </c>
      <c r="T196" s="17" t="b">
        <v>0</v>
      </c>
      <c r="U196" s="17" t="b">
        <v>0</v>
      </c>
      <c r="V196" s="17" t="b">
        <v>0</v>
      </c>
      <c r="W196" s="11" t="s">
        <v>281</v>
      </c>
      <c r="X196" s="12" t="s">
        <v>14</v>
      </c>
      <c r="Y196" s="12" t="s">
        <v>14</v>
      </c>
      <c r="Z196" s="13" t="s">
        <v>261</v>
      </c>
    </row>
    <row r="197" spans="1:26" ht="19.95" customHeight="1" x14ac:dyDescent="0.3">
      <c r="A197" s="6">
        <v>45695</v>
      </c>
      <c r="B197" s="7" t="s">
        <v>529</v>
      </c>
      <c r="C197" s="8" t="s">
        <v>538</v>
      </c>
      <c r="D197" s="8" t="s">
        <v>364</v>
      </c>
      <c r="E197" s="8" t="s">
        <v>531</v>
      </c>
      <c r="F197" s="9" t="s">
        <v>541</v>
      </c>
      <c r="G197" s="9" t="s">
        <v>533</v>
      </c>
      <c r="H197" s="9" t="s">
        <v>534</v>
      </c>
      <c r="I197" s="9" t="s">
        <v>68</v>
      </c>
      <c r="J197" s="10" t="s">
        <v>15</v>
      </c>
      <c r="K197" s="15" t="str">
        <f>VLOOKUP(J197,DADOS!$A$3:$B$100,2,FALSE)</f>
        <v>EE-GI-001-002</v>
      </c>
      <c r="L197" s="15" t="s">
        <v>303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1</v>
      </c>
      <c r="S197" s="17" t="b">
        <v>0</v>
      </c>
      <c r="T197" s="17" t="b">
        <v>0</v>
      </c>
      <c r="U197" s="17" t="b">
        <v>0</v>
      </c>
      <c r="V197" s="17" t="b">
        <v>0</v>
      </c>
      <c r="W197" s="11" t="s">
        <v>364</v>
      </c>
      <c r="X197" s="12" t="s">
        <v>14</v>
      </c>
      <c r="Y197" s="12" t="s">
        <v>14</v>
      </c>
      <c r="Z197" s="13" t="s">
        <v>261</v>
      </c>
    </row>
    <row r="198" spans="1:26" ht="19.95" customHeight="1" x14ac:dyDescent="0.3">
      <c r="A198" s="6">
        <v>45695</v>
      </c>
      <c r="B198" s="7" t="s">
        <v>529</v>
      </c>
      <c r="C198" s="8" t="s">
        <v>542</v>
      </c>
      <c r="D198" s="8" t="s">
        <v>281</v>
      </c>
      <c r="E198" s="8" t="s">
        <v>531</v>
      </c>
      <c r="F198" s="9" t="s">
        <v>543</v>
      </c>
      <c r="G198" s="9" t="s">
        <v>544</v>
      </c>
      <c r="H198" s="9" t="s">
        <v>545</v>
      </c>
      <c r="I198" s="9" t="s">
        <v>64</v>
      </c>
      <c r="J198" s="10" t="s">
        <v>186</v>
      </c>
      <c r="K198" s="15" t="str">
        <f>VLOOKUP(J198,DADOS!$A$3:$B$100,2,FALSE)</f>
        <v>EE-GI-001-008</v>
      </c>
      <c r="L198" s="15" t="s">
        <v>303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0</v>
      </c>
      <c r="W198" s="11" t="s">
        <v>281</v>
      </c>
      <c r="X198" s="12" t="s">
        <v>14</v>
      </c>
      <c r="Y198" s="12" t="s">
        <v>14</v>
      </c>
      <c r="Z198" s="13" t="s">
        <v>261</v>
      </c>
    </row>
    <row r="199" spans="1:26" ht="19.95" customHeight="1" x14ac:dyDescent="0.3">
      <c r="A199" s="6">
        <v>45695</v>
      </c>
      <c r="B199" s="7" t="s">
        <v>748</v>
      </c>
      <c r="C199" s="8" t="s">
        <v>890</v>
      </c>
      <c r="D199" s="8" t="s">
        <v>269</v>
      </c>
      <c r="E199" s="8" t="s">
        <v>891</v>
      </c>
      <c r="F199" s="9" t="s">
        <v>892</v>
      </c>
      <c r="G199" s="9" t="s">
        <v>893</v>
      </c>
      <c r="H199" s="9" t="s">
        <v>897</v>
      </c>
      <c r="I199" s="9" t="s">
        <v>66</v>
      </c>
      <c r="J199" s="10" t="s">
        <v>25</v>
      </c>
      <c r="K199" s="15" t="str">
        <f>VLOOKUP(J199,DADOS!$A$3:$B$100,2,FALSE)</f>
        <v>EE-GI-221-032</v>
      </c>
      <c r="L199" s="15" t="s">
        <v>754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1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0</v>
      </c>
      <c r="W199" s="11" t="s">
        <v>269</v>
      </c>
      <c r="X199" s="12" t="s">
        <v>14</v>
      </c>
      <c r="Y199" s="12" t="s">
        <v>14</v>
      </c>
      <c r="Z199" s="13" t="s">
        <v>261</v>
      </c>
    </row>
    <row r="200" spans="1:26" ht="19.95" customHeight="1" x14ac:dyDescent="0.3">
      <c r="A200" s="6">
        <v>45695</v>
      </c>
      <c r="B200" s="7" t="s">
        <v>748</v>
      </c>
      <c r="C200" s="8" t="s">
        <v>890</v>
      </c>
      <c r="D200" s="8" t="s">
        <v>269</v>
      </c>
      <c r="E200" s="8" t="s">
        <v>891</v>
      </c>
      <c r="F200" s="9" t="s">
        <v>894</v>
      </c>
      <c r="G200" s="9" t="s">
        <v>893</v>
      </c>
      <c r="H200" s="9" t="s">
        <v>897</v>
      </c>
      <c r="I200" s="9" t="s">
        <v>66</v>
      </c>
      <c r="J200" s="10" t="s">
        <v>25</v>
      </c>
      <c r="K200" s="15" t="str">
        <f>VLOOKUP(J200,DADOS!$A$3:$B$100,2,FALSE)</f>
        <v>EE-GI-221-032</v>
      </c>
      <c r="L200" s="15" t="s">
        <v>754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1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0</v>
      </c>
      <c r="W200" s="11" t="s">
        <v>269</v>
      </c>
      <c r="X200" s="12" t="s">
        <v>14</v>
      </c>
      <c r="Y200" s="12" t="s">
        <v>14</v>
      </c>
      <c r="Z200" s="13" t="s">
        <v>261</v>
      </c>
    </row>
    <row r="201" spans="1:26" ht="19.95" customHeight="1" x14ac:dyDescent="0.3">
      <c r="A201" s="6">
        <v>45695</v>
      </c>
      <c r="B201" s="7" t="s">
        <v>748</v>
      </c>
      <c r="C201" s="8" t="s">
        <v>890</v>
      </c>
      <c r="D201" s="8" t="s">
        <v>269</v>
      </c>
      <c r="E201" s="8" t="s">
        <v>891</v>
      </c>
      <c r="F201" s="9" t="s">
        <v>895</v>
      </c>
      <c r="G201" s="9" t="s">
        <v>893</v>
      </c>
      <c r="H201" s="9" t="s">
        <v>897</v>
      </c>
      <c r="I201" s="9" t="s">
        <v>66</v>
      </c>
      <c r="J201" s="10" t="s">
        <v>25</v>
      </c>
      <c r="K201" s="15" t="str">
        <f>VLOOKUP(J201,DADOS!$A$3:$B$100,2,FALSE)</f>
        <v>EE-GI-221-032</v>
      </c>
      <c r="L201" s="15" t="s">
        <v>754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1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0</v>
      </c>
      <c r="W201" s="11" t="s">
        <v>269</v>
      </c>
      <c r="X201" s="12" t="s">
        <v>14</v>
      </c>
      <c r="Y201" s="12" t="s">
        <v>14</v>
      </c>
      <c r="Z201" s="13" t="s">
        <v>261</v>
      </c>
    </row>
    <row r="202" spans="1:26" ht="19.95" customHeight="1" x14ac:dyDescent="0.3">
      <c r="A202" s="6">
        <v>45695</v>
      </c>
      <c r="B202" s="7" t="s">
        <v>748</v>
      </c>
      <c r="C202" s="8" t="s">
        <v>890</v>
      </c>
      <c r="D202" s="8" t="s">
        <v>269</v>
      </c>
      <c r="E202" s="8" t="s">
        <v>891</v>
      </c>
      <c r="F202" s="9" t="s">
        <v>896</v>
      </c>
      <c r="G202" s="9" t="s">
        <v>893</v>
      </c>
      <c r="H202" s="9" t="s">
        <v>897</v>
      </c>
      <c r="I202" s="9" t="s">
        <v>66</v>
      </c>
      <c r="J202" s="10" t="s">
        <v>25</v>
      </c>
      <c r="K202" s="15" t="str">
        <f>VLOOKUP(J202,DADOS!$A$3:$B$100,2,FALSE)</f>
        <v>EE-GI-221-032</v>
      </c>
      <c r="L202" s="15" t="s">
        <v>754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1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0</v>
      </c>
      <c r="W202" s="11" t="s">
        <v>269</v>
      </c>
      <c r="X202" s="12" t="s">
        <v>14</v>
      </c>
      <c r="Y202" s="12" t="s">
        <v>14</v>
      </c>
      <c r="Z202" s="13" t="s">
        <v>261</v>
      </c>
    </row>
    <row r="203" spans="1:26" ht="19.95" customHeight="1" x14ac:dyDescent="0.3">
      <c r="A203" s="6">
        <v>45695</v>
      </c>
      <c r="B203" s="7" t="s">
        <v>748</v>
      </c>
      <c r="C203" s="8" t="s">
        <v>898</v>
      </c>
      <c r="D203" s="8" t="s">
        <v>281</v>
      </c>
      <c r="E203" s="8" t="s">
        <v>891</v>
      </c>
      <c r="F203" s="9" t="s">
        <v>899</v>
      </c>
      <c r="G203" s="9" t="s">
        <v>901</v>
      </c>
      <c r="H203" s="9" t="s">
        <v>902</v>
      </c>
      <c r="I203" s="9" t="s">
        <v>66</v>
      </c>
      <c r="J203" s="10" t="s">
        <v>226</v>
      </c>
      <c r="K203" s="15" t="str">
        <f>VLOOKUP(J203,DADOS!$A$3:$B$100,2,FALSE)</f>
        <v>EE-GI-024-012</v>
      </c>
      <c r="L203" s="15" t="s">
        <v>754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1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0</v>
      </c>
      <c r="W203" s="11" t="s">
        <v>281</v>
      </c>
      <c r="X203" s="12" t="s">
        <v>14</v>
      </c>
      <c r="Y203" s="12" t="s">
        <v>14</v>
      </c>
      <c r="Z203" s="13" t="s">
        <v>261</v>
      </c>
    </row>
    <row r="204" spans="1:26" ht="19.95" customHeight="1" x14ac:dyDescent="0.3">
      <c r="A204" s="6">
        <v>45695</v>
      </c>
      <c r="B204" s="7" t="s">
        <v>748</v>
      </c>
      <c r="C204" s="8" t="s">
        <v>898</v>
      </c>
      <c r="D204" s="8" t="s">
        <v>281</v>
      </c>
      <c r="E204" s="8" t="s">
        <v>891</v>
      </c>
      <c r="F204" s="9" t="s">
        <v>900</v>
      </c>
      <c r="G204" s="9" t="s">
        <v>901</v>
      </c>
      <c r="H204" s="9" t="s">
        <v>902</v>
      </c>
      <c r="I204" s="9" t="s">
        <v>66</v>
      </c>
      <c r="J204" s="10" t="s">
        <v>226</v>
      </c>
      <c r="K204" s="15" t="str">
        <f>VLOOKUP(J204,DADOS!$A$3:$B$100,2,FALSE)</f>
        <v>EE-GI-024-012</v>
      </c>
      <c r="L204" s="15" t="s">
        <v>754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1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0</v>
      </c>
      <c r="W204" s="11" t="s">
        <v>281</v>
      </c>
      <c r="X204" s="12" t="s">
        <v>14</v>
      </c>
      <c r="Y204" s="12" t="s">
        <v>14</v>
      </c>
      <c r="Z204" s="13" t="s">
        <v>261</v>
      </c>
    </row>
    <row r="205" spans="1:26" ht="19.95" customHeight="1" x14ac:dyDescent="0.3">
      <c r="A205" s="6">
        <v>45695</v>
      </c>
      <c r="B205" s="7" t="s">
        <v>748</v>
      </c>
      <c r="C205" s="8" t="s">
        <v>1841</v>
      </c>
      <c r="D205" s="8" t="s">
        <v>269</v>
      </c>
      <c r="E205" s="8" t="s">
        <v>1842</v>
      </c>
      <c r="F205" s="9" t="s">
        <v>1843</v>
      </c>
      <c r="G205" s="9" t="s">
        <v>752</v>
      </c>
      <c r="H205" s="9" t="s">
        <v>1844</v>
      </c>
      <c r="I205" s="9" t="s">
        <v>66</v>
      </c>
      <c r="J205" s="10" t="s">
        <v>29</v>
      </c>
      <c r="K205" s="15" t="str">
        <f>VLOOKUP(J205,DADOS!$A$3:$B$100,2,FALSE)</f>
        <v>EE-GI-221-058</v>
      </c>
      <c r="L205" s="15" t="s">
        <v>754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1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0</v>
      </c>
      <c r="W205" s="11" t="s">
        <v>269</v>
      </c>
      <c r="X205" s="12" t="s">
        <v>14</v>
      </c>
      <c r="Y205" s="12" t="s">
        <v>14</v>
      </c>
      <c r="Z205" s="13" t="s">
        <v>355</v>
      </c>
    </row>
    <row r="206" spans="1:26" ht="19.95" customHeight="1" x14ac:dyDescent="0.3">
      <c r="A206" s="6">
        <v>45695</v>
      </c>
      <c r="B206" s="7" t="s">
        <v>748</v>
      </c>
      <c r="C206" s="8" t="s">
        <v>1845</v>
      </c>
      <c r="D206" s="8" t="s">
        <v>269</v>
      </c>
      <c r="E206" s="8" t="s">
        <v>1846</v>
      </c>
      <c r="F206" s="9" t="s">
        <v>1847</v>
      </c>
      <c r="G206" s="9" t="s">
        <v>1826</v>
      </c>
      <c r="H206" s="9" t="s">
        <v>1848</v>
      </c>
      <c r="I206" s="9" t="s">
        <v>66</v>
      </c>
      <c r="J206" s="10" t="s">
        <v>21</v>
      </c>
      <c r="K206" s="15" t="str">
        <f>VLOOKUP(J206,DADOS!$A$3:$B$100,2,FALSE)</f>
        <v>EE-GI-221-064</v>
      </c>
      <c r="L206" s="15" t="s">
        <v>754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1</v>
      </c>
      <c r="R206" s="17" t="b">
        <v>0</v>
      </c>
      <c r="S206" s="17" t="b">
        <v>0</v>
      </c>
      <c r="T206" s="17" t="b">
        <v>0</v>
      </c>
      <c r="U206" s="17" t="b">
        <v>0</v>
      </c>
      <c r="V206" s="17" t="b">
        <v>0</v>
      </c>
      <c r="W206" s="11" t="s">
        <v>269</v>
      </c>
      <c r="X206" s="12" t="s">
        <v>14</v>
      </c>
      <c r="Y206" s="12" t="s">
        <v>14</v>
      </c>
      <c r="Z206" s="13" t="s">
        <v>355</v>
      </c>
    </row>
    <row r="207" spans="1:26" ht="19.95" customHeight="1" x14ac:dyDescent="0.3">
      <c r="A207" s="6">
        <v>45695</v>
      </c>
      <c r="B207" s="7" t="s">
        <v>748</v>
      </c>
      <c r="C207" s="8" t="s">
        <v>1845</v>
      </c>
      <c r="D207" s="8" t="s">
        <v>458</v>
      </c>
      <c r="E207" s="8" t="s">
        <v>1846</v>
      </c>
      <c r="F207" s="9" t="s">
        <v>1849</v>
      </c>
      <c r="G207" s="9" t="s">
        <v>1826</v>
      </c>
      <c r="H207" s="9" t="s">
        <v>1850</v>
      </c>
      <c r="I207" s="9" t="s">
        <v>66</v>
      </c>
      <c r="J207" s="10" t="s">
        <v>21</v>
      </c>
      <c r="K207" s="15" t="str">
        <f>VLOOKUP(J207,DADOS!$A$3:$B$100,2,FALSE)</f>
        <v>EE-GI-221-064</v>
      </c>
      <c r="L207" s="15" t="s">
        <v>754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1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0</v>
      </c>
      <c r="W207" s="11" t="s">
        <v>458</v>
      </c>
      <c r="X207" s="12" t="s">
        <v>14</v>
      </c>
      <c r="Y207" s="12" t="s">
        <v>14</v>
      </c>
      <c r="Z207" s="13" t="s">
        <v>355</v>
      </c>
    </row>
    <row r="208" spans="1:26" ht="19.95" customHeight="1" x14ac:dyDescent="0.3">
      <c r="A208" s="6">
        <v>45695</v>
      </c>
      <c r="B208" s="7" t="s">
        <v>748</v>
      </c>
      <c r="C208" s="8" t="s">
        <v>1851</v>
      </c>
      <c r="D208" s="8" t="s">
        <v>279</v>
      </c>
      <c r="E208" s="8" t="s">
        <v>1852</v>
      </c>
      <c r="F208" s="9" t="s">
        <v>1853</v>
      </c>
      <c r="G208" s="9" t="s">
        <v>1854</v>
      </c>
      <c r="H208" s="9" t="s">
        <v>1855</v>
      </c>
      <c r="I208" s="9" t="s">
        <v>66</v>
      </c>
      <c r="J208" s="10" t="s">
        <v>233</v>
      </c>
      <c r="K208" s="15" t="str">
        <f>VLOOKUP(J208,DADOS!$A$3:$B$100,2,FALSE)</f>
        <v>EE-GI-221-031</v>
      </c>
      <c r="L208" s="15" t="s">
        <v>754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1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0</v>
      </c>
      <c r="W208" s="11" t="s">
        <v>279</v>
      </c>
      <c r="X208" s="12" t="s">
        <v>14</v>
      </c>
      <c r="Y208" s="12" t="s">
        <v>14</v>
      </c>
      <c r="Z208" s="13" t="s">
        <v>355</v>
      </c>
    </row>
    <row r="209" spans="1:26" ht="19.95" customHeight="1" x14ac:dyDescent="0.3">
      <c r="A209" s="6">
        <v>45695</v>
      </c>
      <c r="B209" s="7" t="s">
        <v>748</v>
      </c>
      <c r="C209" s="8" t="s">
        <v>1856</v>
      </c>
      <c r="D209" s="8" t="s">
        <v>269</v>
      </c>
      <c r="E209" s="8" t="s">
        <v>1857</v>
      </c>
      <c r="F209" s="9" t="s">
        <v>1858</v>
      </c>
      <c r="G209" s="9" t="s">
        <v>1826</v>
      </c>
      <c r="H209" s="9" t="s">
        <v>1859</v>
      </c>
      <c r="I209" s="9" t="s">
        <v>66</v>
      </c>
      <c r="J209" s="10" t="s">
        <v>21</v>
      </c>
      <c r="K209" s="15" t="str">
        <f>VLOOKUP(J209,DADOS!$A$3:$B$100,2,FALSE)</f>
        <v>EE-GI-221-064</v>
      </c>
      <c r="L209" s="15" t="s">
        <v>754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1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0</v>
      </c>
      <c r="W209" s="11" t="s">
        <v>269</v>
      </c>
      <c r="X209" s="12" t="s">
        <v>14</v>
      </c>
      <c r="Y209" s="12" t="s">
        <v>14</v>
      </c>
      <c r="Z209" s="13" t="s">
        <v>355</v>
      </c>
    </row>
    <row r="210" spans="1:26" ht="19.95" customHeight="1" x14ac:dyDescent="0.3">
      <c r="A210" s="6">
        <v>45695</v>
      </c>
      <c r="B210" s="7" t="s">
        <v>748</v>
      </c>
      <c r="C210" s="8" t="s">
        <v>1860</v>
      </c>
      <c r="D210" s="8" t="s">
        <v>269</v>
      </c>
      <c r="E210" s="8" t="s">
        <v>1861</v>
      </c>
      <c r="F210" s="9" t="s">
        <v>1862</v>
      </c>
      <c r="G210" s="9" t="s">
        <v>1826</v>
      </c>
      <c r="H210" s="9" t="s">
        <v>1863</v>
      </c>
      <c r="I210" s="9" t="s">
        <v>66</v>
      </c>
      <c r="J210" s="10" t="s">
        <v>21</v>
      </c>
      <c r="K210" s="15" t="str">
        <f>VLOOKUP(J210,DADOS!$A$3:$B$100,2,FALSE)</f>
        <v>EE-GI-221-064</v>
      </c>
      <c r="L210" s="15" t="s">
        <v>754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1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0</v>
      </c>
      <c r="W210" s="11" t="s">
        <v>269</v>
      </c>
      <c r="X210" s="12" t="s">
        <v>14</v>
      </c>
      <c r="Y210" s="12" t="s">
        <v>14</v>
      </c>
      <c r="Z210" s="13" t="s">
        <v>355</v>
      </c>
    </row>
    <row r="211" spans="1:26" ht="19.95" customHeight="1" x14ac:dyDescent="0.3">
      <c r="A211" s="6">
        <v>45695</v>
      </c>
      <c r="B211" s="7" t="s">
        <v>748</v>
      </c>
      <c r="C211" s="8" t="s">
        <v>1864</v>
      </c>
      <c r="D211" s="8" t="s">
        <v>281</v>
      </c>
      <c r="E211" s="8" t="s">
        <v>891</v>
      </c>
      <c r="F211" s="9" t="s">
        <v>1865</v>
      </c>
      <c r="G211" s="9" t="s">
        <v>1866</v>
      </c>
      <c r="H211" s="9" t="s">
        <v>1867</v>
      </c>
      <c r="I211" s="9" t="s">
        <v>68</v>
      </c>
      <c r="J211" s="10" t="s">
        <v>60</v>
      </c>
      <c r="K211" s="15" t="str">
        <f>VLOOKUP(J211,DADOS!$A$3:$B$100,2,FALSE)</f>
        <v>EE-GI-221-038</v>
      </c>
      <c r="L211" s="15" t="s">
        <v>754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1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0</v>
      </c>
      <c r="W211" s="11" t="s">
        <v>281</v>
      </c>
      <c r="X211" s="12" t="s">
        <v>14</v>
      </c>
      <c r="Y211" s="12" t="s">
        <v>14</v>
      </c>
      <c r="Z211" s="13" t="s">
        <v>355</v>
      </c>
    </row>
    <row r="212" spans="1:26" ht="19.95" customHeight="1" x14ac:dyDescent="0.3">
      <c r="A212" s="6">
        <v>45695</v>
      </c>
      <c r="B212" s="7" t="s">
        <v>748</v>
      </c>
      <c r="C212" s="8" t="s">
        <v>1871</v>
      </c>
      <c r="D212" s="8" t="s">
        <v>281</v>
      </c>
      <c r="E212" s="8" t="s">
        <v>1868</v>
      </c>
      <c r="F212" s="9" t="s">
        <v>1869</v>
      </c>
      <c r="G212" s="9" t="s">
        <v>1866</v>
      </c>
      <c r="H212" s="9" t="s">
        <v>1870</v>
      </c>
      <c r="I212" s="9" t="s">
        <v>68</v>
      </c>
      <c r="J212" s="10" t="s">
        <v>60</v>
      </c>
      <c r="K212" s="15" t="str">
        <f>VLOOKUP(J212,DADOS!$A$3:$B$100,2,FALSE)</f>
        <v>EE-GI-221-038</v>
      </c>
      <c r="L212" s="15" t="s">
        <v>754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1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0</v>
      </c>
      <c r="W212" s="11" t="s">
        <v>281</v>
      </c>
      <c r="X212" s="12" t="s">
        <v>14</v>
      </c>
      <c r="Y212" s="12" t="s">
        <v>14</v>
      </c>
      <c r="Z212" s="13" t="s">
        <v>355</v>
      </c>
    </row>
    <row r="213" spans="1:26" ht="19.95" customHeight="1" x14ac:dyDescent="0.3">
      <c r="A213" s="6">
        <v>45695</v>
      </c>
      <c r="B213" s="7" t="s">
        <v>748</v>
      </c>
      <c r="C213" s="8" t="s">
        <v>1872</v>
      </c>
      <c r="D213" s="8" t="s">
        <v>281</v>
      </c>
      <c r="E213" s="8" t="s">
        <v>1868</v>
      </c>
      <c r="F213" s="9" t="s">
        <v>1873</v>
      </c>
      <c r="G213" s="9" t="s">
        <v>1874</v>
      </c>
      <c r="H213" s="9" t="s">
        <v>1875</v>
      </c>
      <c r="I213" s="9" t="s">
        <v>68</v>
      </c>
      <c r="J213" s="10" t="s">
        <v>241</v>
      </c>
      <c r="K213" s="15" t="str">
        <f>VLOOKUP(J213,DADOS!$A$3:$B$100,2,FALSE)</f>
        <v>EE-GI-221-048</v>
      </c>
      <c r="L213" s="15" t="s">
        <v>754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1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0</v>
      </c>
      <c r="W213" s="11" t="s">
        <v>281</v>
      </c>
      <c r="X213" s="12" t="s">
        <v>14</v>
      </c>
      <c r="Y213" s="12" t="s">
        <v>14</v>
      </c>
      <c r="Z213" s="13" t="s">
        <v>355</v>
      </c>
    </row>
    <row r="214" spans="1:26" ht="19.95" customHeight="1" x14ac:dyDescent="0.3">
      <c r="A214" s="6">
        <v>45695</v>
      </c>
      <c r="B214" s="7" t="s">
        <v>748</v>
      </c>
      <c r="C214" s="8" t="s">
        <v>1872</v>
      </c>
      <c r="D214" s="8" t="s">
        <v>269</v>
      </c>
      <c r="E214" s="8" t="s">
        <v>1876</v>
      </c>
      <c r="F214" s="9" t="s">
        <v>1873</v>
      </c>
      <c r="G214" s="9" t="s">
        <v>1874</v>
      </c>
      <c r="H214" s="9" t="s">
        <v>1877</v>
      </c>
      <c r="I214" s="9" t="s">
        <v>68</v>
      </c>
      <c r="J214" s="10" t="s">
        <v>241</v>
      </c>
      <c r="K214" s="15" t="str">
        <f>VLOOKUP(J214,DADOS!$A$3:$B$100,2,FALSE)</f>
        <v>EE-GI-221-048</v>
      </c>
      <c r="L214" s="15" t="s">
        <v>754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1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0</v>
      </c>
      <c r="W214" s="11" t="s">
        <v>269</v>
      </c>
      <c r="X214" s="12" t="s">
        <v>14</v>
      </c>
      <c r="Y214" s="12" t="s">
        <v>14</v>
      </c>
      <c r="Z214" s="13" t="s">
        <v>355</v>
      </c>
    </row>
    <row r="215" spans="1:26" ht="19.5" customHeight="1" x14ac:dyDescent="0.3">
      <c r="A215" s="6">
        <v>45695</v>
      </c>
      <c r="B215" s="7" t="s">
        <v>748</v>
      </c>
      <c r="C215" s="8" t="s">
        <v>1878</v>
      </c>
      <c r="D215" s="8" t="s">
        <v>1543</v>
      </c>
      <c r="E215" s="8" t="s">
        <v>1852</v>
      </c>
      <c r="F215" s="9" t="s">
        <v>1879</v>
      </c>
      <c r="G215" s="9" t="s">
        <v>1880</v>
      </c>
      <c r="H215" s="9" t="s">
        <v>1881</v>
      </c>
      <c r="I215" s="9" t="s">
        <v>66</v>
      </c>
      <c r="J215" s="10" t="s">
        <v>19</v>
      </c>
      <c r="K215" s="15" t="str">
        <f>VLOOKUP(J215,DADOS!$A$3:$B$100,2,FALSE)</f>
        <v>EE-GI-221-033</v>
      </c>
      <c r="L215" s="15" t="s">
        <v>754</v>
      </c>
      <c r="M215" s="18" t="b">
        <v>1</v>
      </c>
      <c r="N215" s="17" t="b">
        <v>1</v>
      </c>
      <c r="O215" s="17" t="b">
        <v>1</v>
      </c>
      <c r="P215" s="17" t="b">
        <v>0</v>
      </c>
      <c r="Q215" s="17" t="b">
        <v>1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0</v>
      </c>
      <c r="W215" s="11" t="s">
        <v>1543</v>
      </c>
      <c r="X215" s="12" t="s">
        <v>14</v>
      </c>
      <c r="Y215" s="12" t="s">
        <v>14</v>
      </c>
      <c r="Z215" s="13" t="s">
        <v>355</v>
      </c>
    </row>
    <row r="216" spans="1:26" ht="19.95" customHeight="1" x14ac:dyDescent="0.3">
      <c r="A216" s="6">
        <v>45695</v>
      </c>
      <c r="B216" s="7" t="s">
        <v>1087</v>
      </c>
      <c r="C216" s="8" t="s">
        <v>1247</v>
      </c>
      <c r="D216" s="8" t="s">
        <v>1248</v>
      </c>
      <c r="E216" s="8" t="s">
        <v>1249</v>
      </c>
      <c r="F216" s="9" t="s">
        <v>1250</v>
      </c>
      <c r="G216" s="9" t="s">
        <v>1251</v>
      </c>
      <c r="H216" s="9" t="s">
        <v>1252</v>
      </c>
      <c r="I216" s="9" t="s">
        <v>66</v>
      </c>
      <c r="J216" s="10" t="s">
        <v>19</v>
      </c>
      <c r="K216" s="15" t="str">
        <f>VLOOKUP(J216,DADOS!$A$3:$B$100,2,FALSE)</f>
        <v>EE-GI-221-033</v>
      </c>
      <c r="L216" s="15" t="s">
        <v>754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1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0</v>
      </c>
      <c r="W216" s="11" t="s">
        <v>1248</v>
      </c>
      <c r="X216" s="12" t="s">
        <v>14</v>
      </c>
      <c r="Y216" s="12" t="s">
        <v>14</v>
      </c>
      <c r="Z216" s="13" t="s">
        <v>261</v>
      </c>
    </row>
    <row r="217" spans="1:26" ht="19.95" customHeight="1" x14ac:dyDescent="0.3">
      <c r="A217" s="6">
        <v>45695</v>
      </c>
      <c r="B217" s="7" t="s">
        <v>1087</v>
      </c>
      <c r="C217" s="8" t="s">
        <v>1247</v>
      </c>
      <c r="D217" s="8" t="s">
        <v>1253</v>
      </c>
      <c r="E217" s="8" t="s">
        <v>1249</v>
      </c>
      <c r="F217" s="9" t="s">
        <v>1254</v>
      </c>
      <c r="G217" s="9" t="s">
        <v>1255</v>
      </c>
      <c r="H217" s="9" t="s">
        <v>1252</v>
      </c>
      <c r="I217" s="9" t="s">
        <v>66</v>
      </c>
      <c r="J217" s="10" t="s">
        <v>19</v>
      </c>
      <c r="K217" s="15" t="str">
        <f>VLOOKUP(J217,DADOS!$A$3:$B$100,2,FALSE)</f>
        <v>EE-GI-221-033</v>
      </c>
      <c r="L217" s="15" t="s">
        <v>754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1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0</v>
      </c>
      <c r="W217" s="11" t="s">
        <v>1253</v>
      </c>
      <c r="X217" s="12" t="s">
        <v>14</v>
      </c>
      <c r="Y217" s="12" t="s">
        <v>14</v>
      </c>
      <c r="Z217" s="13" t="s">
        <v>261</v>
      </c>
    </row>
    <row r="218" spans="1:26" ht="19.95" customHeight="1" x14ac:dyDescent="0.3">
      <c r="A218" s="6">
        <v>45695</v>
      </c>
      <c r="B218" s="7" t="s">
        <v>1087</v>
      </c>
      <c r="C218" s="8" t="s">
        <v>1542</v>
      </c>
      <c r="D218" s="8" t="s">
        <v>1543</v>
      </c>
      <c r="E218" s="8" t="s">
        <v>1249</v>
      </c>
      <c r="F218" s="9" t="s">
        <v>1544</v>
      </c>
      <c r="G218" s="9" t="s">
        <v>1545</v>
      </c>
      <c r="H218" s="9" t="s">
        <v>1546</v>
      </c>
      <c r="I218" s="9" t="s">
        <v>66</v>
      </c>
      <c r="J218" s="10" t="s">
        <v>233</v>
      </c>
      <c r="K218" s="15" t="str">
        <f>VLOOKUP(J218,DADOS!$A$3:$B$100,2,FALSE)</f>
        <v>EE-GI-221-031</v>
      </c>
      <c r="L218" s="15" t="s">
        <v>754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1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0</v>
      </c>
      <c r="W218" s="11" t="s">
        <v>1543</v>
      </c>
      <c r="X218" s="12" t="s">
        <v>14</v>
      </c>
      <c r="Y218" s="12" t="s">
        <v>14</v>
      </c>
      <c r="Z218" s="13" t="s">
        <v>261</v>
      </c>
    </row>
    <row r="219" spans="1:26" ht="19.95" customHeight="1" x14ac:dyDescent="0.3">
      <c r="A219" s="6">
        <v>45695</v>
      </c>
      <c r="B219" s="7" t="s">
        <v>1087</v>
      </c>
      <c r="C219" s="8" t="s">
        <v>1813</v>
      </c>
      <c r="D219" s="8" t="s">
        <v>281</v>
      </c>
      <c r="E219" s="8" t="s">
        <v>1249</v>
      </c>
      <c r="F219" s="9" t="s">
        <v>1814</v>
      </c>
      <c r="G219" s="9" t="s">
        <v>1815</v>
      </c>
      <c r="H219" s="9" t="s">
        <v>1816</v>
      </c>
      <c r="I219" s="9" t="s">
        <v>66</v>
      </c>
      <c r="J219" s="10" t="s">
        <v>236</v>
      </c>
      <c r="K219" s="15" t="str">
        <f>VLOOKUP(J219,DADOS!$A$3:$B$100,2,FALSE)</f>
        <v>EE-GI-221-036</v>
      </c>
      <c r="L219" s="15" t="s">
        <v>754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1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0</v>
      </c>
      <c r="W219" s="11" t="s">
        <v>281</v>
      </c>
      <c r="X219" s="12" t="s">
        <v>14</v>
      </c>
      <c r="Y219" s="12" t="s">
        <v>14</v>
      </c>
      <c r="Z219" s="13" t="s">
        <v>355</v>
      </c>
    </row>
    <row r="220" spans="1:26" ht="19.95" customHeight="1" x14ac:dyDescent="0.3">
      <c r="A220" s="6">
        <v>45695</v>
      </c>
      <c r="B220" s="7" t="s">
        <v>339</v>
      </c>
      <c r="C220" s="8" t="s">
        <v>2329</v>
      </c>
      <c r="D220" s="8" t="s">
        <v>414</v>
      </c>
      <c r="E220" s="8" t="s">
        <v>2330</v>
      </c>
      <c r="F220" s="9" t="s">
        <v>2331</v>
      </c>
      <c r="G220" s="9" t="s">
        <v>2332</v>
      </c>
      <c r="H220" s="9" t="s">
        <v>14</v>
      </c>
      <c r="I220" s="9" t="s">
        <v>66</v>
      </c>
      <c r="J220" s="10" t="s">
        <v>174</v>
      </c>
      <c r="K220" s="15" t="str">
        <f>VLOOKUP(J220,DADOS!$A$3:$B$100,2,FALSE)</f>
        <v>EE-GI-001-007</v>
      </c>
      <c r="L220" s="15" t="s">
        <v>260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414</v>
      </c>
      <c r="X220" s="12" t="s">
        <v>14</v>
      </c>
      <c r="Y220" s="12" t="s">
        <v>14</v>
      </c>
      <c r="Z220" s="13" t="s">
        <v>355</v>
      </c>
    </row>
    <row r="221" spans="1:26" ht="19.95" customHeight="1" x14ac:dyDescent="0.3">
      <c r="A221" s="6">
        <v>45695</v>
      </c>
      <c r="B221" s="7" t="s">
        <v>339</v>
      </c>
      <c r="C221" s="8" t="s">
        <v>1677</v>
      </c>
      <c r="D221" s="8" t="s">
        <v>268</v>
      </c>
      <c r="E221" s="8" t="s">
        <v>2330</v>
      </c>
      <c r="F221" s="9" t="s">
        <v>2333</v>
      </c>
      <c r="G221" s="9" t="s">
        <v>2334</v>
      </c>
      <c r="H221" s="9" t="s">
        <v>14</v>
      </c>
      <c r="I221" s="9" t="s">
        <v>67</v>
      </c>
      <c r="J221" s="10" t="s">
        <v>15</v>
      </c>
      <c r="K221" s="15" t="str">
        <f>VLOOKUP(J221,DADOS!$A$3:$B$100,2,FALSE)</f>
        <v>EE-GI-001-002</v>
      </c>
      <c r="L221" s="15" t="s">
        <v>260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268</v>
      </c>
      <c r="X221" s="12" t="s">
        <v>14</v>
      </c>
      <c r="Y221" s="12" t="s">
        <v>14</v>
      </c>
      <c r="Z221" s="13" t="s">
        <v>355</v>
      </c>
    </row>
    <row r="222" spans="1:26" ht="19.95" customHeight="1" x14ac:dyDescent="0.3">
      <c r="A222" s="6">
        <v>45695</v>
      </c>
      <c r="B222" s="7" t="s">
        <v>339</v>
      </c>
      <c r="C222" s="8" t="s">
        <v>1677</v>
      </c>
      <c r="D222" s="8" t="s">
        <v>1646</v>
      </c>
      <c r="E222" s="8" t="s">
        <v>2330</v>
      </c>
      <c r="F222" s="9" t="s">
        <v>1679</v>
      </c>
      <c r="G222" s="9" t="s">
        <v>773</v>
      </c>
      <c r="H222" s="9" t="s">
        <v>14</v>
      </c>
      <c r="I222" s="9" t="s">
        <v>67</v>
      </c>
      <c r="J222" s="10" t="s">
        <v>15</v>
      </c>
      <c r="K222" s="15" t="str">
        <f>VLOOKUP(J222,DADOS!$A$3:$B$100,2,FALSE)</f>
        <v>EE-GI-001-002</v>
      </c>
      <c r="L222" s="15" t="s">
        <v>260</v>
      </c>
      <c r="M222" s="18" t="b">
        <v>1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1646</v>
      </c>
      <c r="X222" s="12" t="s">
        <v>14</v>
      </c>
      <c r="Y222" s="12" t="s">
        <v>14</v>
      </c>
      <c r="Z222" s="13" t="s">
        <v>355</v>
      </c>
    </row>
    <row r="223" spans="1:26" ht="19.95" customHeight="1" x14ac:dyDescent="0.3">
      <c r="A223" s="6">
        <v>45695</v>
      </c>
      <c r="B223" s="7" t="s">
        <v>339</v>
      </c>
      <c r="C223" s="8" t="s">
        <v>1133</v>
      </c>
      <c r="D223" s="8" t="s">
        <v>1184</v>
      </c>
      <c r="E223" s="8" t="s">
        <v>2330</v>
      </c>
      <c r="F223" s="9" t="s">
        <v>2327</v>
      </c>
      <c r="G223" s="9" t="s">
        <v>2335</v>
      </c>
      <c r="H223" s="9" t="s">
        <v>14</v>
      </c>
      <c r="I223" s="9" t="s">
        <v>66</v>
      </c>
      <c r="J223" s="10" t="s">
        <v>186</v>
      </c>
      <c r="K223" s="15" t="str">
        <f>VLOOKUP(J223,DADOS!$A$3:$B$100,2,FALSE)</f>
        <v>EE-GI-001-008</v>
      </c>
      <c r="L223" s="15" t="s">
        <v>260</v>
      </c>
      <c r="M223" s="18" t="b">
        <v>1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1184</v>
      </c>
      <c r="X223" s="12" t="s">
        <v>14</v>
      </c>
      <c r="Y223" s="12" t="s">
        <v>14</v>
      </c>
      <c r="Z223" s="13" t="s">
        <v>355</v>
      </c>
    </row>
    <row r="224" spans="1:26" ht="19.95" customHeight="1" x14ac:dyDescent="0.3">
      <c r="A224" s="6">
        <v>45695</v>
      </c>
      <c r="B224" s="7" t="s">
        <v>377</v>
      </c>
      <c r="C224" s="8" t="s">
        <v>472</v>
      </c>
      <c r="D224" s="8" t="s">
        <v>1941</v>
      </c>
      <c r="E224" s="8" t="s">
        <v>2468</v>
      </c>
      <c r="F224" s="9" t="s">
        <v>804</v>
      </c>
      <c r="G224" s="9" t="s">
        <v>2469</v>
      </c>
      <c r="H224" s="9" t="s">
        <v>2470</v>
      </c>
      <c r="I224" s="9" t="s">
        <v>68</v>
      </c>
      <c r="J224" s="10" t="s">
        <v>186</v>
      </c>
      <c r="K224" s="15" t="str">
        <f>VLOOKUP(J224,DADOS!$A$3:$B$100,2,FALSE)</f>
        <v>EE-GI-001-008</v>
      </c>
      <c r="L224" s="15" t="s">
        <v>1955</v>
      </c>
      <c r="M224" s="18" t="b">
        <v>1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1</v>
      </c>
      <c r="W224" s="11" t="s">
        <v>1941</v>
      </c>
      <c r="X224" s="12" t="s">
        <v>14</v>
      </c>
      <c r="Y224" s="12" t="s">
        <v>14</v>
      </c>
      <c r="Z224" s="13" t="s">
        <v>355</v>
      </c>
    </row>
    <row r="225" spans="1:26" ht="19.95" customHeight="1" x14ac:dyDescent="0.3">
      <c r="A225" s="6">
        <v>45695</v>
      </c>
      <c r="B225" s="7" t="s">
        <v>377</v>
      </c>
      <c r="C225" s="8" t="s">
        <v>472</v>
      </c>
      <c r="D225" s="8" t="s">
        <v>287</v>
      </c>
      <c r="E225" s="8" t="s">
        <v>2468</v>
      </c>
      <c r="F225" s="9" t="s">
        <v>2471</v>
      </c>
      <c r="G225" s="9" t="s">
        <v>2469</v>
      </c>
      <c r="H225" s="9" t="s">
        <v>2470</v>
      </c>
      <c r="I225" s="9" t="s">
        <v>68</v>
      </c>
      <c r="J225" s="10" t="s">
        <v>186</v>
      </c>
      <c r="K225" s="15" t="str">
        <f>VLOOKUP(J225,DADOS!$A$3:$B$100,2,FALSE)</f>
        <v>EE-GI-001-008</v>
      </c>
      <c r="L225" s="15" t="s">
        <v>1955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0</v>
      </c>
      <c r="S225" s="17" t="b">
        <v>0</v>
      </c>
      <c r="T225" s="17" t="b">
        <v>0</v>
      </c>
      <c r="U225" s="17" t="b">
        <v>0</v>
      </c>
      <c r="V225" s="17" t="b">
        <v>1</v>
      </c>
      <c r="W225" s="11" t="s">
        <v>287</v>
      </c>
      <c r="X225" s="12" t="s">
        <v>14</v>
      </c>
      <c r="Y225" s="12" t="s">
        <v>14</v>
      </c>
      <c r="Z225" s="13" t="s">
        <v>355</v>
      </c>
    </row>
    <row r="226" spans="1:26" ht="19.95" customHeight="1" x14ac:dyDescent="0.3">
      <c r="A226" s="6">
        <v>45695</v>
      </c>
      <c r="B226" s="7" t="s">
        <v>377</v>
      </c>
      <c r="C226" s="8" t="s">
        <v>472</v>
      </c>
      <c r="D226" s="8" t="s">
        <v>269</v>
      </c>
      <c r="E226" s="8" t="s">
        <v>2468</v>
      </c>
      <c r="F226" s="9" t="s">
        <v>2472</v>
      </c>
      <c r="G226" s="9" t="s">
        <v>808</v>
      </c>
      <c r="H226" s="9" t="s">
        <v>2470</v>
      </c>
      <c r="I226" s="9" t="s">
        <v>68</v>
      </c>
      <c r="J226" s="10" t="s">
        <v>186</v>
      </c>
      <c r="K226" s="15" t="str">
        <f>VLOOKUP(J226,DADOS!$A$3:$B$100,2,FALSE)</f>
        <v>EE-GI-001-008</v>
      </c>
      <c r="L226" s="15" t="s">
        <v>1955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269</v>
      </c>
      <c r="X226" s="12" t="s">
        <v>14</v>
      </c>
      <c r="Y226" s="12" t="s">
        <v>14</v>
      </c>
      <c r="Z226" s="13" t="s">
        <v>355</v>
      </c>
    </row>
    <row r="227" spans="1:26" ht="19.95" customHeight="1" x14ac:dyDescent="0.3">
      <c r="A227" s="6">
        <v>45695</v>
      </c>
      <c r="B227" s="7" t="s">
        <v>377</v>
      </c>
      <c r="C227" s="8" t="s">
        <v>472</v>
      </c>
      <c r="D227" s="8" t="s">
        <v>364</v>
      </c>
      <c r="E227" s="8" t="s">
        <v>2468</v>
      </c>
      <c r="F227" s="9" t="s">
        <v>2478</v>
      </c>
      <c r="G227" s="9" t="s">
        <v>2469</v>
      </c>
      <c r="H227" s="9" t="s">
        <v>2470</v>
      </c>
      <c r="I227" s="9" t="s">
        <v>68</v>
      </c>
      <c r="J227" s="10" t="s">
        <v>186</v>
      </c>
      <c r="K227" s="15" t="str">
        <f>VLOOKUP(J227,DADOS!$A$3:$B$100,2,FALSE)</f>
        <v>EE-GI-001-008</v>
      </c>
      <c r="L227" s="15" t="s">
        <v>1955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364</v>
      </c>
      <c r="X227" s="12" t="s">
        <v>14</v>
      </c>
      <c r="Y227" s="12" t="s">
        <v>14</v>
      </c>
      <c r="Z227" s="13" t="s">
        <v>355</v>
      </c>
    </row>
    <row r="228" spans="1:26" ht="19.95" customHeight="1" x14ac:dyDescent="0.3">
      <c r="A228" s="6">
        <v>45695</v>
      </c>
      <c r="B228" s="7" t="s">
        <v>377</v>
      </c>
      <c r="C228" s="8" t="s">
        <v>2473</v>
      </c>
      <c r="D228" s="8" t="s">
        <v>281</v>
      </c>
      <c r="E228" s="8" t="s">
        <v>2474</v>
      </c>
      <c r="F228" s="9" t="s">
        <v>2475</v>
      </c>
      <c r="G228" s="9" t="s">
        <v>2476</v>
      </c>
      <c r="H228" s="9" t="s">
        <v>2477</v>
      </c>
      <c r="I228" s="9" t="s">
        <v>65</v>
      </c>
      <c r="J228" s="10" t="s">
        <v>16</v>
      </c>
      <c r="K228" s="15" t="str">
        <f>VLOOKUP(J228,DADOS!$A$3:$B$100,2,FALSE)</f>
        <v>EE-GI-001-003</v>
      </c>
      <c r="L228" s="15" t="s">
        <v>1955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281</v>
      </c>
      <c r="X228" s="12" t="s">
        <v>14</v>
      </c>
      <c r="Y228" s="12" t="s">
        <v>14</v>
      </c>
      <c r="Z228" s="13" t="s">
        <v>355</v>
      </c>
    </row>
    <row r="229" spans="1:26" ht="19.95" customHeight="1" x14ac:dyDescent="0.3">
      <c r="A229" s="6">
        <v>45695</v>
      </c>
      <c r="B229" s="7" t="s">
        <v>377</v>
      </c>
      <c r="C229" s="8" t="s">
        <v>2473</v>
      </c>
      <c r="D229" s="8" t="s">
        <v>279</v>
      </c>
      <c r="E229" s="8" t="s">
        <v>2474</v>
      </c>
      <c r="F229" s="9" t="s">
        <v>2479</v>
      </c>
      <c r="G229" s="9" t="s">
        <v>2476</v>
      </c>
      <c r="H229" s="9" t="s">
        <v>2477</v>
      </c>
      <c r="I229" s="9" t="s">
        <v>65</v>
      </c>
      <c r="J229" s="10" t="s">
        <v>16</v>
      </c>
      <c r="K229" s="15" t="str">
        <f>VLOOKUP(J229,DADOS!$A$3:$B$100,2,FALSE)</f>
        <v>EE-GI-001-003</v>
      </c>
      <c r="L229" s="15" t="s">
        <v>1955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279</v>
      </c>
      <c r="X229" s="12" t="s">
        <v>14</v>
      </c>
      <c r="Y229" s="12" t="s">
        <v>14</v>
      </c>
      <c r="Z229" s="13" t="s">
        <v>355</v>
      </c>
    </row>
    <row r="230" spans="1:26" ht="19.95" customHeight="1" x14ac:dyDescent="0.3">
      <c r="A230" s="6">
        <v>45698</v>
      </c>
      <c r="B230" s="7" t="s">
        <v>339</v>
      </c>
      <c r="C230" s="8" t="s">
        <v>2336</v>
      </c>
      <c r="D230" s="8" t="s">
        <v>373</v>
      </c>
      <c r="E230" s="8" t="s">
        <v>2337</v>
      </c>
      <c r="F230" s="9" t="s">
        <v>1610</v>
      </c>
      <c r="G230" s="9" t="s">
        <v>2338</v>
      </c>
      <c r="H230" s="9" t="s">
        <v>14</v>
      </c>
      <c r="I230" s="9" t="s">
        <v>69</v>
      </c>
      <c r="J230" s="10" t="s">
        <v>251</v>
      </c>
      <c r="K230" s="15" t="str">
        <f>VLOOKUP(J230,DADOS!$A$3:$B$100,2,FALSE)</f>
        <v>EE-GI-001-030</v>
      </c>
      <c r="L230" s="15" t="s">
        <v>1955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1</v>
      </c>
      <c r="W230" s="11" t="s">
        <v>373</v>
      </c>
      <c r="X230" s="12" t="s">
        <v>14</v>
      </c>
      <c r="Y230" s="12" t="s">
        <v>14</v>
      </c>
      <c r="Z230" s="13" t="s">
        <v>355</v>
      </c>
    </row>
    <row r="231" spans="1:26" ht="19.95" customHeight="1" x14ac:dyDescent="0.3">
      <c r="A231" s="6">
        <v>45698</v>
      </c>
      <c r="B231" s="7" t="s">
        <v>339</v>
      </c>
      <c r="C231" s="8" t="s">
        <v>2339</v>
      </c>
      <c r="D231" s="8" t="s">
        <v>269</v>
      </c>
      <c r="E231" s="8" t="s">
        <v>2337</v>
      </c>
      <c r="F231" s="9" t="s">
        <v>2340</v>
      </c>
      <c r="G231" s="9" t="s">
        <v>1285</v>
      </c>
      <c r="H231" s="9" t="s">
        <v>14</v>
      </c>
      <c r="I231" s="9" t="s">
        <v>68</v>
      </c>
      <c r="J231" s="10" t="s">
        <v>174</v>
      </c>
      <c r="K231" s="15" t="str">
        <f>VLOOKUP(J231,DADOS!$A$3:$B$100,2,FALSE)</f>
        <v>EE-GI-001-007</v>
      </c>
      <c r="L231" s="15" t="s">
        <v>2096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269</v>
      </c>
      <c r="X231" s="12" t="s">
        <v>14</v>
      </c>
      <c r="Y231" s="12" t="s">
        <v>14</v>
      </c>
      <c r="Z231" s="13" t="s">
        <v>355</v>
      </c>
    </row>
    <row r="232" spans="1:26" ht="19.95" customHeight="1" x14ac:dyDescent="0.3">
      <c r="A232" s="6">
        <v>45698</v>
      </c>
      <c r="B232" s="7" t="s">
        <v>339</v>
      </c>
      <c r="C232" s="8" t="s">
        <v>1133</v>
      </c>
      <c r="D232" s="8" t="s">
        <v>693</v>
      </c>
      <c r="E232" s="8" t="s">
        <v>2337</v>
      </c>
      <c r="F232" s="9" t="s">
        <v>2327</v>
      </c>
      <c r="G232" s="9" t="s">
        <v>2341</v>
      </c>
      <c r="H232" s="9" t="s">
        <v>14</v>
      </c>
      <c r="I232" s="9" t="s">
        <v>66</v>
      </c>
      <c r="J232" s="10" t="s">
        <v>186</v>
      </c>
      <c r="K232" s="15" t="str">
        <f>VLOOKUP(J232,DADOS!$A$3:$B$100,2,FALSE)</f>
        <v>EE-GI-001-008</v>
      </c>
      <c r="L232" s="15" t="s">
        <v>260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1</v>
      </c>
      <c r="W232" s="11" t="s">
        <v>693</v>
      </c>
      <c r="X232" s="12" t="s">
        <v>14</v>
      </c>
      <c r="Y232" s="12" t="s">
        <v>14</v>
      </c>
      <c r="Z232" s="13" t="s">
        <v>355</v>
      </c>
    </row>
    <row r="233" spans="1:26" ht="19.95" customHeight="1" x14ac:dyDescent="0.3">
      <c r="A233" s="6">
        <v>45698</v>
      </c>
      <c r="B233" s="7" t="s">
        <v>578</v>
      </c>
      <c r="C233" s="8" t="s">
        <v>579</v>
      </c>
      <c r="D233" s="8" t="s">
        <v>580</v>
      </c>
      <c r="E233" s="8" t="s">
        <v>581</v>
      </c>
      <c r="F233" s="9" t="s">
        <v>582</v>
      </c>
      <c r="G233" s="9" t="s">
        <v>583</v>
      </c>
      <c r="H233" s="9" t="s">
        <v>584</v>
      </c>
      <c r="I233" s="9" t="s">
        <v>66</v>
      </c>
      <c r="J233" s="10" t="s">
        <v>174</v>
      </c>
      <c r="K233" s="15" t="str">
        <f>VLOOKUP(J233,DADOS!$A$3:$B$100,2,FALSE)</f>
        <v>EE-GI-001-007</v>
      </c>
      <c r="L233" s="15" t="s">
        <v>260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1</v>
      </c>
      <c r="W233" s="11" t="s">
        <v>580</v>
      </c>
      <c r="X233" s="12" t="s">
        <v>14</v>
      </c>
      <c r="Y233" s="12" t="s">
        <v>14</v>
      </c>
      <c r="Z233" s="13" t="s">
        <v>261</v>
      </c>
    </row>
    <row r="234" spans="1:26" ht="19.95" customHeight="1" x14ac:dyDescent="0.3">
      <c r="A234" s="6">
        <v>45698</v>
      </c>
      <c r="B234" s="7" t="s">
        <v>578</v>
      </c>
      <c r="C234" s="8" t="s">
        <v>585</v>
      </c>
      <c r="D234" s="8" t="s">
        <v>586</v>
      </c>
      <c r="E234" s="8" t="s">
        <v>581</v>
      </c>
      <c r="F234" s="9" t="s">
        <v>587</v>
      </c>
      <c r="G234" s="9" t="s">
        <v>588</v>
      </c>
      <c r="H234" s="9" t="s">
        <v>589</v>
      </c>
      <c r="I234" s="9" t="s">
        <v>66</v>
      </c>
      <c r="J234" s="10" t="s">
        <v>174</v>
      </c>
      <c r="K234" s="15" t="str">
        <f>VLOOKUP(J234,DADOS!$A$3:$B$100,2,FALSE)</f>
        <v>EE-GI-001-007</v>
      </c>
      <c r="L234" s="15" t="s">
        <v>260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1</v>
      </c>
      <c r="W234" s="11" t="s">
        <v>586</v>
      </c>
      <c r="X234" s="12" t="s">
        <v>14</v>
      </c>
      <c r="Y234" s="12" t="s">
        <v>14</v>
      </c>
      <c r="Z234" s="13" t="s">
        <v>261</v>
      </c>
    </row>
    <row r="235" spans="1:26" ht="19.95" customHeight="1" x14ac:dyDescent="0.3">
      <c r="A235" s="6">
        <v>45698</v>
      </c>
      <c r="B235" s="7" t="s">
        <v>578</v>
      </c>
      <c r="C235" s="8" t="s">
        <v>596</v>
      </c>
      <c r="D235" s="8" t="s">
        <v>408</v>
      </c>
      <c r="E235" s="8" t="s">
        <v>581</v>
      </c>
      <c r="F235" s="9" t="s">
        <v>598</v>
      </c>
      <c r="G235" s="9" t="s">
        <v>367</v>
      </c>
      <c r="H235" s="9" t="s">
        <v>600</v>
      </c>
      <c r="I235" s="9" t="s">
        <v>65</v>
      </c>
      <c r="J235" s="10" t="s">
        <v>14</v>
      </c>
      <c r="K235" s="15" t="e">
        <f>VLOOKUP(J235,DADOS!$A$3:$B$100,2,FALSE)</f>
        <v>#N/A</v>
      </c>
      <c r="L235" s="15" t="s">
        <v>260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408</v>
      </c>
      <c r="X235" s="12" t="s">
        <v>14</v>
      </c>
      <c r="Y235" s="12" t="s">
        <v>14</v>
      </c>
      <c r="Z235" s="13" t="s">
        <v>261</v>
      </c>
    </row>
    <row r="236" spans="1:26" ht="19.95" customHeight="1" x14ac:dyDescent="0.3">
      <c r="A236" s="6">
        <v>45698</v>
      </c>
      <c r="B236" s="7" t="s">
        <v>578</v>
      </c>
      <c r="C236" s="8" t="s">
        <v>596</v>
      </c>
      <c r="D236" s="8" t="s">
        <v>597</v>
      </c>
      <c r="E236" s="8" t="s">
        <v>581</v>
      </c>
      <c r="F236" s="9" t="s">
        <v>599</v>
      </c>
      <c r="G236" s="9" t="s">
        <v>367</v>
      </c>
      <c r="H236" s="9" t="s">
        <v>601</v>
      </c>
      <c r="I236" s="9" t="s">
        <v>65</v>
      </c>
      <c r="J236" s="10" t="s">
        <v>14</v>
      </c>
      <c r="K236" s="15" t="e">
        <f>VLOOKUP(J236,DADOS!$A$3:$B$100,2,FALSE)</f>
        <v>#N/A</v>
      </c>
      <c r="L236" s="15" t="s">
        <v>260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1</v>
      </c>
      <c r="W236" s="11" t="s">
        <v>597</v>
      </c>
      <c r="X236" s="12" t="s">
        <v>14</v>
      </c>
      <c r="Y236" s="12" t="s">
        <v>14</v>
      </c>
      <c r="Z236" s="13" t="s">
        <v>261</v>
      </c>
    </row>
    <row r="237" spans="1:26" ht="19.95" customHeight="1" x14ac:dyDescent="0.3">
      <c r="A237" s="6">
        <v>45698</v>
      </c>
      <c r="B237" s="7" t="s">
        <v>578</v>
      </c>
      <c r="C237" s="8" t="s">
        <v>618</v>
      </c>
      <c r="D237" s="8" t="s">
        <v>623</v>
      </c>
      <c r="E237" s="8" t="s">
        <v>581</v>
      </c>
      <c r="F237" s="9" t="s">
        <v>620</v>
      </c>
      <c r="G237" s="9" t="s">
        <v>621</v>
      </c>
      <c r="H237" s="9" t="s">
        <v>624</v>
      </c>
      <c r="I237" s="9" t="s">
        <v>66</v>
      </c>
      <c r="J237" s="10" t="s">
        <v>186</v>
      </c>
      <c r="K237" s="15" t="str">
        <f>VLOOKUP(J237,DADOS!$A$3:$B$100,2,FALSE)</f>
        <v>EE-GI-001-008</v>
      </c>
      <c r="L237" s="15" t="s">
        <v>303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0</v>
      </c>
      <c r="S237" s="17" t="b">
        <v>0</v>
      </c>
      <c r="T237" s="17" t="b">
        <v>0</v>
      </c>
      <c r="U237" s="17" t="b">
        <v>0</v>
      </c>
      <c r="V237" s="17" t="b">
        <v>1</v>
      </c>
      <c r="W237" s="11" t="s">
        <v>623</v>
      </c>
      <c r="X237" s="12" t="s">
        <v>14</v>
      </c>
      <c r="Y237" s="12" t="s">
        <v>14</v>
      </c>
      <c r="Z237" s="13" t="s">
        <v>261</v>
      </c>
    </row>
    <row r="238" spans="1:26" ht="19.95" customHeight="1" x14ac:dyDescent="0.3">
      <c r="A238" s="6">
        <v>45698</v>
      </c>
      <c r="B238" s="7" t="s">
        <v>254</v>
      </c>
      <c r="C238" s="8" t="s">
        <v>255</v>
      </c>
      <c r="D238" s="8" t="s">
        <v>730</v>
      </c>
      <c r="E238" s="8" t="s">
        <v>731</v>
      </c>
      <c r="F238" s="9" t="s">
        <v>274</v>
      </c>
      <c r="G238" s="9" t="s">
        <v>258</v>
      </c>
      <c r="H238" s="9" t="s">
        <v>732</v>
      </c>
      <c r="I238" s="9" t="s">
        <v>66</v>
      </c>
      <c r="J238" s="10" t="s">
        <v>15</v>
      </c>
      <c r="K238" s="15" t="str">
        <f>VLOOKUP(J238,DADOS!$A$3:$B$100,2,FALSE)</f>
        <v>EE-GI-001-002</v>
      </c>
      <c r="L238" s="15" t="s">
        <v>260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1</v>
      </c>
      <c r="S238" s="17" t="b">
        <v>0</v>
      </c>
      <c r="T238" s="17" t="b">
        <v>0</v>
      </c>
      <c r="U238" s="17" t="b">
        <v>0</v>
      </c>
      <c r="V238" s="17" t="b">
        <v>0</v>
      </c>
      <c r="W238" s="11" t="s">
        <v>730</v>
      </c>
      <c r="X238" s="12" t="s">
        <v>14</v>
      </c>
      <c r="Y238" s="12" t="s">
        <v>14</v>
      </c>
      <c r="Z238" s="13" t="s">
        <v>261</v>
      </c>
    </row>
    <row r="239" spans="1:26" ht="19.95" customHeight="1" x14ac:dyDescent="0.3">
      <c r="A239" s="6">
        <v>45698</v>
      </c>
      <c r="B239" s="7" t="s">
        <v>254</v>
      </c>
      <c r="C239" s="8" t="s">
        <v>733</v>
      </c>
      <c r="D239" s="8" t="s">
        <v>269</v>
      </c>
      <c r="E239" s="8" t="s">
        <v>734</v>
      </c>
      <c r="F239" s="9" t="s">
        <v>735</v>
      </c>
      <c r="G239" s="9" t="s">
        <v>273</v>
      </c>
      <c r="H239" s="9" t="s">
        <v>736</v>
      </c>
      <c r="I239" s="9" t="s">
        <v>65</v>
      </c>
      <c r="J239" s="10" t="s">
        <v>16</v>
      </c>
      <c r="K239" s="15" t="str">
        <f>VLOOKUP(J239,DADOS!$A$3:$B$100,2,FALSE)</f>
        <v>EE-GI-001-003</v>
      </c>
      <c r="L239" s="15" t="s">
        <v>260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1</v>
      </c>
      <c r="S239" s="17" t="b">
        <v>0</v>
      </c>
      <c r="T239" s="17" t="b">
        <v>0</v>
      </c>
      <c r="U239" s="17" t="b">
        <v>0</v>
      </c>
      <c r="V239" s="17" t="b">
        <v>0</v>
      </c>
      <c r="W239" s="11" t="s">
        <v>269</v>
      </c>
      <c r="X239" s="12" t="s">
        <v>14</v>
      </c>
      <c r="Y239" s="12" t="s">
        <v>14</v>
      </c>
      <c r="Z239" s="13" t="s">
        <v>261</v>
      </c>
    </row>
    <row r="240" spans="1:26" ht="19.95" customHeight="1" x14ac:dyDescent="0.3">
      <c r="A240" s="6">
        <v>45698</v>
      </c>
      <c r="B240" s="7" t="s">
        <v>254</v>
      </c>
      <c r="C240" s="8" t="s">
        <v>292</v>
      </c>
      <c r="D240" s="8" t="s">
        <v>269</v>
      </c>
      <c r="E240" s="8" t="s">
        <v>734</v>
      </c>
      <c r="F240" s="9" t="s">
        <v>635</v>
      </c>
      <c r="G240" s="9" t="s">
        <v>273</v>
      </c>
      <c r="H240" s="9" t="s">
        <v>736</v>
      </c>
      <c r="I240" s="9" t="s">
        <v>65</v>
      </c>
      <c r="J240" s="10" t="s">
        <v>16</v>
      </c>
      <c r="K240" s="15" t="str">
        <f>VLOOKUP(J240,DADOS!$A$3:$B$100,2,FALSE)</f>
        <v>EE-GI-001-003</v>
      </c>
      <c r="L240" s="15" t="s">
        <v>260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1</v>
      </c>
      <c r="S240" s="17" t="b">
        <v>0</v>
      </c>
      <c r="T240" s="17" t="b">
        <v>0</v>
      </c>
      <c r="U240" s="17" t="b">
        <v>0</v>
      </c>
      <c r="V240" s="17" t="b">
        <v>0</v>
      </c>
      <c r="W240" s="11" t="s">
        <v>269</v>
      </c>
      <c r="X240" s="12" t="s">
        <v>14</v>
      </c>
      <c r="Y240" s="12" t="s">
        <v>14</v>
      </c>
      <c r="Z240" s="13" t="s">
        <v>261</v>
      </c>
    </row>
    <row r="241" spans="1:26" ht="19.95" customHeight="1" x14ac:dyDescent="0.3">
      <c r="A241" s="6">
        <v>45698</v>
      </c>
      <c r="B241" s="7" t="s">
        <v>254</v>
      </c>
      <c r="C241" s="8" t="s">
        <v>304</v>
      </c>
      <c r="D241" s="8" t="s">
        <v>364</v>
      </c>
      <c r="E241" s="8" t="s">
        <v>734</v>
      </c>
      <c r="F241" s="9" t="s">
        <v>306</v>
      </c>
      <c r="G241" s="9" t="s">
        <v>273</v>
      </c>
      <c r="H241" s="9" t="s">
        <v>736</v>
      </c>
      <c r="I241" s="9" t="s">
        <v>65</v>
      </c>
      <c r="J241" s="10" t="s">
        <v>16</v>
      </c>
      <c r="K241" s="15" t="str">
        <f>VLOOKUP(J241,DADOS!$A$3:$B$100,2,FALSE)</f>
        <v>EE-GI-001-003</v>
      </c>
      <c r="L241" s="15" t="s">
        <v>260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1</v>
      </c>
      <c r="S241" s="17" t="b">
        <v>0</v>
      </c>
      <c r="T241" s="17" t="b">
        <v>0</v>
      </c>
      <c r="U241" s="17" t="b">
        <v>0</v>
      </c>
      <c r="V241" s="17" t="b">
        <v>0</v>
      </c>
      <c r="W241" s="11" t="s">
        <v>737</v>
      </c>
      <c r="X241" s="12" t="s">
        <v>14</v>
      </c>
      <c r="Y241" s="12" t="s">
        <v>14</v>
      </c>
      <c r="Z241" s="13" t="s">
        <v>261</v>
      </c>
    </row>
    <row r="242" spans="1:26" ht="19.95" customHeight="1" x14ac:dyDescent="0.3">
      <c r="A242" s="6">
        <v>45698</v>
      </c>
      <c r="B242" s="7" t="s">
        <v>254</v>
      </c>
      <c r="C242" s="8" t="s">
        <v>660</v>
      </c>
      <c r="D242" s="8" t="s">
        <v>738</v>
      </c>
      <c r="E242" s="8" t="s">
        <v>739</v>
      </c>
      <c r="F242" s="9" t="s">
        <v>662</v>
      </c>
      <c r="G242" s="9" t="s">
        <v>265</v>
      </c>
      <c r="H242" s="9" t="s">
        <v>740</v>
      </c>
      <c r="I242" s="9" t="s">
        <v>66</v>
      </c>
      <c r="J242" s="10" t="s">
        <v>15</v>
      </c>
      <c r="K242" s="15" t="str">
        <f>VLOOKUP(J242,DADOS!$A$3:$B$100,2,FALSE)</f>
        <v>EE-GI-001-002</v>
      </c>
      <c r="L242" s="15" t="s">
        <v>260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1</v>
      </c>
      <c r="S242" s="17" t="b">
        <v>0</v>
      </c>
      <c r="T242" s="17" t="b">
        <v>0</v>
      </c>
      <c r="U242" s="17" t="b">
        <v>0</v>
      </c>
      <c r="V242" s="17" t="b">
        <v>0</v>
      </c>
      <c r="W242" s="11" t="s">
        <v>738</v>
      </c>
      <c r="X242" s="12" t="s">
        <v>14</v>
      </c>
      <c r="Y242" s="12" t="s">
        <v>14</v>
      </c>
      <c r="Z242" s="13" t="s">
        <v>261</v>
      </c>
    </row>
    <row r="243" spans="1:26" ht="19.95" customHeight="1" x14ac:dyDescent="0.3">
      <c r="A243" s="6">
        <v>45698</v>
      </c>
      <c r="B243" s="7" t="s">
        <v>254</v>
      </c>
      <c r="C243" s="8" t="s">
        <v>286</v>
      </c>
      <c r="D243" s="8" t="s">
        <v>269</v>
      </c>
      <c r="E243" s="8" t="s">
        <v>741</v>
      </c>
      <c r="F243" s="9" t="s">
        <v>288</v>
      </c>
      <c r="G243" s="9" t="s">
        <v>655</v>
      </c>
      <c r="H243" s="9" t="s">
        <v>742</v>
      </c>
      <c r="I243" s="9" t="s">
        <v>65</v>
      </c>
      <c r="J243" s="10" t="s">
        <v>15</v>
      </c>
      <c r="K243" s="15" t="str">
        <f>VLOOKUP(J243,DADOS!$A$3:$B$100,2,FALSE)</f>
        <v>EE-GI-001-002</v>
      </c>
      <c r="L243" s="15" t="s">
        <v>260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1</v>
      </c>
      <c r="S243" s="17" t="b">
        <v>0</v>
      </c>
      <c r="T243" s="17" t="b">
        <v>0</v>
      </c>
      <c r="U243" s="17" t="b">
        <v>0</v>
      </c>
      <c r="V243" s="17" t="b">
        <v>0</v>
      </c>
      <c r="W243" s="11" t="s">
        <v>269</v>
      </c>
      <c r="X243" s="12" t="s">
        <v>14</v>
      </c>
      <c r="Y243" s="12" t="s">
        <v>14</v>
      </c>
      <c r="Z243" s="13" t="s">
        <v>261</v>
      </c>
    </row>
    <row r="244" spans="1:26" ht="19.95" customHeight="1" x14ac:dyDescent="0.3">
      <c r="A244" s="6">
        <v>45698</v>
      </c>
      <c r="B244" s="7" t="s">
        <v>254</v>
      </c>
      <c r="C244" s="8" t="s">
        <v>743</v>
      </c>
      <c r="D244" s="8" t="s">
        <v>434</v>
      </c>
      <c r="E244" s="8" t="s">
        <v>744</v>
      </c>
      <c r="F244" s="9" t="s">
        <v>745</v>
      </c>
      <c r="G244" s="9" t="s">
        <v>746</v>
      </c>
      <c r="H244" s="9" t="s">
        <v>747</v>
      </c>
      <c r="I244" s="9" t="s">
        <v>96</v>
      </c>
      <c r="J244" s="10" t="s">
        <v>15</v>
      </c>
      <c r="K244" s="15" t="str">
        <f>VLOOKUP(J244,DADOS!$A$3:$B$100,2,FALSE)</f>
        <v>EE-GI-001-002</v>
      </c>
      <c r="L244" s="15" t="s">
        <v>260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1</v>
      </c>
      <c r="S244" s="17" t="b">
        <v>0</v>
      </c>
      <c r="T244" s="17" t="b">
        <v>0</v>
      </c>
      <c r="U244" s="17" t="b">
        <v>0</v>
      </c>
      <c r="V244" s="17" t="b">
        <v>0</v>
      </c>
      <c r="W244" s="11" t="s">
        <v>434</v>
      </c>
      <c r="X244" s="12" t="s">
        <v>14</v>
      </c>
      <c r="Y244" s="12" t="s">
        <v>14</v>
      </c>
      <c r="Z244" s="13" t="s">
        <v>261</v>
      </c>
    </row>
    <row r="245" spans="1:26" ht="19.95" customHeight="1" x14ac:dyDescent="0.3">
      <c r="A245" s="6">
        <v>45698</v>
      </c>
      <c r="B245" s="7" t="s">
        <v>930</v>
      </c>
      <c r="C245" s="8" t="s">
        <v>2663</v>
      </c>
      <c r="D245" s="8" t="s">
        <v>281</v>
      </c>
      <c r="E245" s="8" t="s">
        <v>2664</v>
      </c>
      <c r="F245" s="9" t="s">
        <v>2665</v>
      </c>
      <c r="G245" s="9" t="s">
        <v>2666</v>
      </c>
      <c r="H245" s="9" t="s">
        <v>2667</v>
      </c>
      <c r="I245" s="9" t="s">
        <v>69</v>
      </c>
      <c r="J245" s="10" t="s">
        <v>17</v>
      </c>
      <c r="K245" s="15" t="str">
        <f>VLOOKUP(J245,DADOS!$A$3:$B$100,2,FALSE)</f>
        <v>EE-GI-001-001</v>
      </c>
      <c r="L245" s="15" t="s">
        <v>260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1</v>
      </c>
      <c r="S245" s="17" t="b">
        <v>0</v>
      </c>
      <c r="T245" s="17" t="b">
        <v>0</v>
      </c>
      <c r="U245" s="17" t="b">
        <v>0</v>
      </c>
      <c r="V245" s="17" t="b">
        <v>0</v>
      </c>
      <c r="W245" s="11" t="s">
        <v>281</v>
      </c>
      <c r="X245" s="12" t="s">
        <v>14</v>
      </c>
      <c r="Y245" s="12" t="s">
        <v>14</v>
      </c>
      <c r="Z245" s="13" t="s">
        <v>261</v>
      </c>
    </row>
    <row r="246" spans="1:26" ht="19.95" customHeight="1" x14ac:dyDescent="0.3">
      <c r="A246" s="6">
        <v>45698</v>
      </c>
      <c r="B246" s="7" t="s">
        <v>930</v>
      </c>
      <c r="C246" s="8" t="s">
        <v>2663</v>
      </c>
      <c r="D246" s="8" t="s">
        <v>364</v>
      </c>
      <c r="E246" s="8" t="s">
        <v>2664</v>
      </c>
      <c r="F246" s="9" t="s">
        <v>2668</v>
      </c>
      <c r="G246" s="9" t="s">
        <v>2311</v>
      </c>
      <c r="H246" s="9" t="s">
        <v>2667</v>
      </c>
      <c r="I246" s="9" t="s">
        <v>2669</v>
      </c>
      <c r="J246" s="10" t="s">
        <v>17</v>
      </c>
      <c r="K246" s="15" t="str">
        <f>VLOOKUP(J246,DADOS!$A$3:$B$100,2,FALSE)</f>
        <v>EE-GI-001-001</v>
      </c>
      <c r="L246" s="15" t="s">
        <v>260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1</v>
      </c>
      <c r="S246" s="17" t="b">
        <v>0</v>
      </c>
      <c r="T246" s="17" t="b">
        <v>0</v>
      </c>
      <c r="U246" s="17" t="b">
        <v>0</v>
      </c>
      <c r="V246" s="17" t="b">
        <v>0</v>
      </c>
      <c r="W246" s="11" t="s">
        <v>364</v>
      </c>
      <c r="X246" s="12" t="s">
        <v>14</v>
      </c>
      <c r="Y246" s="12" t="s">
        <v>14</v>
      </c>
      <c r="Z246" s="13" t="s">
        <v>261</v>
      </c>
    </row>
    <row r="247" spans="1:26" ht="19.95" customHeight="1" x14ac:dyDescent="0.3">
      <c r="A247" s="6">
        <v>45698</v>
      </c>
      <c r="B247" s="7" t="s">
        <v>930</v>
      </c>
      <c r="C247" s="8" t="s">
        <v>2670</v>
      </c>
      <c r="D247" s="8" t="s">
        <v>269</v>
      </c>
      <c r="E247" s="8" t="s">
        <v>2664</v>
      </c>
      <c r="F247" s="9" t="s">
        <v>2671</v>
      </c>
      <c r="G247" s="9" t="s">
        <v>519</v>
      </c>
      <c r="H247" s="9" t="s">
        <v>2667</v>
      </c>
      <c r="I247" s="9" t="s">
        <v>69</v>
      </c>
      <c r="J247" s="10" t="s">
        <v>176</v>
      </c>
      <c r="K247" s="15" t="str">
        <f>VLOOKUP(J247,DADOS!$A$3:$B$100,2,FALSE)</f>
        <v>EE-GI-001-011</v>
      </c>
      <c r="L247" s="15" t="s">
        <v>260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1</v>
      </c>
      <c r="S247" s="17" t="b">
        <v>0</v>
      </c>
      <c r="T247" s="17" t="b">
        <v>0</v>
      </c>
      <c r="U247" s="17" t="b">
        <v>0</v>
      </c>
      <c r="V247" s="17" t="b">
        <v>0</v>
      </c>
      <c r="W247" s="11" t="s">
        <v>269</v>
      </c>
      <c r="X247" s="12" t="s">
        <v>14</v>
      </c>
      <c r="Y247" s="12" t="s">
        <v>14</v>
      </c>
      <c r="Z247" s="13" t="s">
        <v>261</v>
      </c>
    </row>
    <row r="248" spans="1:26" ht="19.95" customHeight="1" x14ac:dyDescent="0.3">
      <c r="A248" s="6">
        <v>45698</v>
      </c>
      <c r="B248" s="7" t="s">
        <v>930</v>
      </c>
      <c r="C248" s="8" t="s">
        <v>2672</v>
      </c>
      <c r="D248" s="8" t="s">
        <v>269</v>
      </c>
      <c r="E248" s="8" t="s">
        <v>2664</v>
      </c>
      <c r="F248" s="9" t="s">
        <v>2673</v>
      </c>
      <c r="G248" s="9" t="s">
        <v>2674</v>
      </c>
      <c r="H248" s="9" t="s">
        <v>2667</v>
      </c>
      <c r="I248" s="9" t="s">
        <v>65</v>
      </c>
      <c r="J248" s="10" t="s">
        <v>181</v>
      </c>
      <c r="K248" s="15" t="str">
        <f>VLOOKUP(J248,DADOS!$A$3:$B$100,2,FALSE)</f>
        <v>EE-GI-001-023</v>
      </c>
      <c r="L248" s="15" t="s">
        <v>260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1</v>
      </c>
      <c r="S248" s="17" t="b">
        <v>0</v>
      </c>
      <c r="T248" s="17" t="b">
        <v>0</v>
      </c>
      <c r="U248" s="17" t="b">
        <v>0</v>
      </c>
      <c r="V248" s="17" t="b">
        <v>1</v>
      </c>
      <c r="W248" s="11" t="s">
        <v>269</v>
      </c>
      <c r="X248" s="12" t="s">
        <v>14</v>
      </c>
      <c r="Y248" s="12" t="s">
        <v>14</v>
      </c>
      <c r="Z248" s="13" t="s">
        <v>261</v>
      </c>
    </row>
    <row r="249" spans="1:26" ht="19.95" customHeight="1" x14ac:dyDescent="0.3">
      <c r="A249" s="6">
        <v>45698</v>
      </c>
      <c r="B249" s="7" t="s">
        <v>930</v>
      </c>
      <c r="C249" s="8" t="s">
        <v>2675</v>
      </c>
      <c r="D249" s="8" t="s">
        <v>281</v>
      </c>
      <c r="E249" s="8" t="s">
        <v>2664</v>
      </c>
      <c r="F249" s="9" t="s">
        <v>2676</v>
      </c>
      <c r="G249" s="9" t="s">
        <v>2666</v>
      </c>
      <c r="H249" s="9" t="s">
        <v>2667</v>
      </c>
      <c r="I249" s="9" t="s">
        <v>69</v>
      </c>
      <c r="J249" s="10" t="s">
        <v>176</v>
      </c>
      <c r="K249" s="15" t="str">
        <f>VLOOKUP(J249,DADOS!$A$3:$B$100,2,FALSE)</f>
        <v>EE-GI-001-011</v>
      </c>
      <c r="L249" s="15" t="s">
        <v>260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0</v>
      </c>
      <c r="S249" s="17" t="b">
        <v>0</v>
      </c>
      <c r="T249" s="17" t="b">
        <v>0</v>
      </c>
      <c r="U249" s="17" t="b">
        <v>0</v>
      </c>
      <c r="V249" s="17" t="b">
        <v>1</v>
      </c>
      <c r="W249" s="11" t="s">
        <v>281</v>
      </c>
      <c r="X249" s="12" t="s">
        <v>14</v>
      </c>
      <c r="Y249" s="12" t="s">
        <v>14</v>
      </c>
      <c r="Z249" s="13" t="s">
        <v>261</v>
      </c>
    </row>
    <row r="250" spans="1:26" ht="19.95" customHeight="1" x14ac:dyDescent="0.3">
      <c r="A250" s="6">
        <v>45698</v>
      </c>
      <c r="B250" s="7" t="s">
        <v>930</v>
      </c>
      <c r="C250" s="8" t="s">
        <v>2677</v>
      </c>
      <c r="D250" s="8" t="s">
        <v>269</v>
      </c>
      <c r="E250" s="8" t="s">
        <v>2664</v>
      </c>
      <c r="F250" s="9" t="s">
        <v>2678</v>
      </c>
      <c r="G250" s="9" t="s">
        <v>2393</v>
      </c>
      <c r="H250" s="9" t="s">
        <v>2667</v>
      </c>
      <c r="I250" s="9" t="s">
        <v>69</v>
      </c>
      <c r="J250" s="10" t="s">
        <v>176</v>
      </c>
      <c r="K250" s="15" t="str">
        <f>VLOOKUP(J250,DADOS!$A$3:$B$100,2,FALSE)</f>
        <v>EE-GI-001-011</v>
      </c>
      <c r="L250" s="15" t="s">
        <v>260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0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1</v>
      </c>
      <c r="W250" s="11" t="s">
        <v>269</v>
      </c>
      <c r="X250" s="12" t="s">
        <v>14</v>
      </c>
      <c r="Y250" s="12" t="s">
        <v>14</v>
      </c>
      <c r="Z250" s="13" t="s">
        <v>261</v>
      </c>
    </row>
    <row r="251" spans="1:26" ht="19.95" customHeight="1" x14ac:dyDescent="0.3">
      <c r="A251" s="6">
        <v>45699</v>
      </c>
      <c r="B251" s="7" t="s">
        <v>377</v>
      </c>
      <c r="C251" s="8" t="s">
        <v>523</v>
      </c>
      <c r="D251" s="8" t="s">
        <v>524</v>
      </c>
      <c r="E251" s="8" t="s">
        <v>379</v>
      </c>
      <c r="F251" s="9" t="s">
        <v>525</v>
      </c>
      <c r="G251" s="9" t="s">
        <v>526</v>
      </c>
      <c r="H251" s="9" t="s">
        <v>527</v>
      </c>
      <c r="I251" s="9" t="s">
        <v>69</v>
      </c>
      <c r="J251" s="10" t="s">
        <v>185</v>
      </c>
      <c r="K251" s="15" t="str">
        <f>VLOOKUP(J251,DADOS!$A$3:$B$100,2,FALSE)</f>
        <v>EE-GI-001-031</v>
      </c>
      <c r="L251" s="15" t="s">
        <v>354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1</v>
      </c>
      <c r="U251" s="17" t="b">
        <v>1</v>
      </c>
      <c r="V251" s="17" t="b">
        <v>1</v>
      </c>
      <c r="W251" s="11" t="s">
        <v>364</v>
      </c>
      <c r="X251" s="12" t="s">
        <v>269</v>
      </c>
      <c r="Y251" s="12" t="s">
        <v>528</v>
      </c>
      <c r="Z251" s="12" t="s">
        <v>355</v>
      </c>
    </row>
    <row r="252" spans="1:26" ht="19.95" customHeight="1" x14ac:dyDescent="0.3">
      <c r="A252" s="6">
        <v>45699</v>
      </c>
      <c r="B252" s="7" t="s">
        <v>377</v>
      </c>
      <c r="C252" s="8" t="s">
        <v>562</v>
      </c>
      <c r="D252" s="8" t="s">
        <v>281</v>
      </c>
      <c r="E252" s="8" t="s">
        <v>563</v>
      </c>
      <c r="F252" s="9" t="s">
        <v>564</v>
      </c>
      <c r="G252" s="9" t="s">
        <v>565</v>
      </c>
      <c r="H252" s="9" t="s">
        <v>566</v>
      </c>
      <c r="I252" s="9" t="s">
        <v>74</v>
      </c>
      <c r="J252" s="10" t="s">
        <v>17</v>
      </c>
      <c r="K252" s="15" t="str">
        <f>VLOOKUP(J252,DADOS!$A$3:$B$100,2,FALSE)</f>
        <v>EE-GI-001-001</v>
      </c>
      <c r="L252" s="15" t="s">
        <v>323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0</v>
      </c>
      <c r="S252" s="17" t="b">
        <v>0</v>
      </c>
      <c r="T252" s="17" t="b">
        <v>1</v>
      </c>
      <c r="U252" s="17" t="b">
        <v>1</v>
      </c>
      <c r="V252" s="17" t="b">
        <v>1</v>
      </c>
      <c r="W252" s="11" t="s">
        <v>14</v>
      </c>
      <c r="X252" s="12" t="s">
        <v>281</v>
      </c>
      <c r="Y252" s="12" t="s">
        <v>567</v>
      </c>
      <c r="Z252" s="12" t="s">
        <v>261</v>
      </c>
    </row>
    <row r="253" spans="1:26" ht="19.95" customHeight="1" x14ac:dyDescent="0.3">
      <c r="A253" s="6">
        <v>45699</v>
      </c>
      <c r="B253" s="7" t="s">
        <v>377</v>
      </c>
      <c r="C253" s="8" t="s">
        <v>568</v>
      </c>
      <c r="D253" s="8" t="s">
        <v>373</v>
      </c>
      <c r="E253" s="8" t="s">
        <v>574</v>
      </c>
      <c r="F253" s="9" t="s">
        <v>569</v>
      </c>
      <c r="G253" s="9" t="s">
        <v>570</v>
      </c>
      <c r="H253" s="9" t="s">
        <v>571</v>
      </c>
      <c r="I253" s="9" t="s">
        <v>74</v>
      </c>
      <c r="J253" s="10" t="s">
        <v>17</v>
      </c>
      <c r="K253" s="15" t="str">
        <f>VLOOKUP(J253,DADOS!$A$3:$B$100,2,FALSE)</f>
        <v>EE-GI-001-001</v>
      </c>
      <c r="L253" s="15" t="s">
        <v>323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1</v>
      </c>
      <c r="U253" s="17" t="b">
        <v>1</v>
      </c>
      <c r="V253" s="17" t="b">
        <v>1</v>
      </c>
      <c r="W253" s="11" t="s">
        <v>14</v>
      </c>
      <c r="X253" s="12" t="s">
        <v>373</v>
      </c>
      <c r="Y253" s="12" t="s">
        <v>572</v>
      </c>
      <c r="Z253" s="12" t="s">
        <v>261</v>
      </c>
    </row>
    <row r="254" spans="1:26" ht="19.95" customHeight="1" x14ac:dyDescent="0.3">
      <c r="A254" s="6">
        <v>45699</v>
      </c>
      <c r="B254" s="7" t="s">
        <v>377</v>
      </c>
      <c r="C254" s="8" t="s">
        <v>573</v>
      </c>
      <c r="D254" s="8" t="s">
        <v>269</v>
      </c>
      <c r="E254" s="8" t="s">
        <v>574</v>
      </c>
      <c r="F254" s="9" t="s">
        <v>575</v>
      </c>
      <c r="G254" s="9" t="s">
        <v>576</v>
      </c>
      <c r="H254" s="9" t="s">
        <v>577</v>
      </c>
      <c r="I254" s="9" t="s">
        <v>64</v>
      </c>
      <c r="J254" s="10" t="s">
        <v>186</v>
      </c>
      <c r="K254" s="15" t="str">
        <f>VLOOKUP(J254,DADOS!$A$3:$B$100,2,FALSE)</f>
        <v>EE-GI-001-008</v>
      </c>
      <c r="L254" s="15" t="s">
        <v>303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0</v>
      </c>
      <c r="S254" s="17" t="b">
        <v>0</v>
      </c>
      <c r="T254" s="17" t="b">
        <v>1</v>
      </c>
      <c r="U254" s="17" t="b">
        <v>1</v>
      </c>
      <c r="V254" s="17" t="b">
        <v>1</v>
      </c>
      <c r="W254" s="11" t="s">
        <v>269</v>
      </c>
      <c r="X254" s="12" t="s">
        <v>14</v>
      </c>
      <c r="Y254" s="12" t="s">
        <v>14</v>
      </c>
      <c r="Z254" s="13" t="s">
        <v>261</v>
      </c>
    </row>
    <row r="255" spans="1:26" ht="19.95" customHeight="1" x14ac:dyDescent="0.3">
      <c r="A255" s="6">
        <v>45699</v>
      </c>
      <c r="B255" s="7" t="s">
        <v>1568</v>
      </c>
      <c r="C255" s="8" t="s">
        <v>1577</v>
      </c>
      <c r="D255" s="8" t="s">
        <v>364</v>
      </c>
      <c r="E255" s="8" t="s">
        <v>1578</v>
      </c>
      <c r="F255" s="9" t="s">
        <v>1579</v>
      </c>
      <c r="G255" s="9" t="s">
        <v>1580</v>
      </c>
      <c r="H255" s="9" t="s">
        <v>1581</v>
      </c>
      <c r="I255" s="9" t="s">
        <v>69</v>
      </c>
      <c r="J255" s="10" t="s">
        <v>185</v>
      </c>
      <c r="K255" s="15" t="str">
        <f>VLOOKUP(J255,DADOS!$A$3:$B$100,2,FALSE)</f>
        <v>EE-GI-001-031</v>
      </c>
      <c r="L255" s="15" t="s">
        <v>1576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0</v>
      </c>
      <c r="S255" s="17" t="b">
        <v>0</v>
      </c>
      <c r="T255" s="17" t="b">
        <v>1</v>
      </c>
      <c r="U255" s="17" t="b">
        <v>1</v>
      </c>
      <c r="V255" s="17" t="b">
        <v>1</v>
      </c>
      <c r="W255" s="11" t="s">
        <v>364</v>
      </c>
      <c r="X255" s="12" t="s">
        <v>14</v>
      </c>
      <c r="Y255" s="12" t="s">
        <v>14</v>
      </c>
      <c r="Z255" s="13" t="s">
        <v>355</v>
      </c>
    </row>
    <row r="256" spans="1:26" ht="19.95" customHeight="1" x14ac:dyDescent="0.3">
      <c r="A256" s="6">
        <v>45699</v>
      </c>
      <c r="B256" s="7" t="s">
        <v>1568</v>
      </c>
      <c r="C256" s="8" t="s">
        <v>1582</v>
      </c>
      <c r="D256" s="8" t="s">
        <v>458</v>
      </c>
      <c r="E256" s="8" t="s">
        <v>1583</v>
      </c>
      <c r="F256" s="9" t="s">
        <v>1584</v>
      </c>
      <c r="G256" s="9" t="s">
        <v>1585</v>
      </c>
      <c r="H256" s="9" t="s">
        <v>1586</v>
      </c>
      <c r="I256" s="9" t="s">
        <v>69</v>
      </c>
      <c r="J256" s="10" t="s">
        <v>185</v>
      </c>
      <c r="K256" s="15" t="str">
        <f>VLOOKUP(J256,DADOS!$A$3:$B$100,2,FALSE)</f>
        <v>EE-GI-001-031</v>
      </c>
      <c r="L256" s="15" t="s">
        <v>1587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1</v>
      </c>
      <c r="U256" s="17" t="b">
        <v>1</v>
      </c>
      <c r="V256" s="17" t="b">
        <v>1</v>
      </c>
      <c r="W256" s="11" t="s">
        <v>458</v>
      </c>
      <c r="X256" s="12" t="s">
        <v>14</v>
      </c>
      <c r="Y256" s="12" t="s">
        <v>14</v>
      </c>
      <c r="Z256" s="13" t="s">
        <v>355</v>
      </c>
    </row>
    <row r="257" spans="1:26" ht="19.95" customHeight="1" x14ac:dyDescent="0.3">
      <c r="A257" s="6">
        <v>45699</v>
      </c>
      <c r="B257" s="7" t="s">
        <v>1568</v>
      </c>
      <c r="C257" s="8" t="s">
        <v>1592</v>
      </c>
      <c r="D257" s="8" t="s">
        <v>287</v>
      </c>
      <c r="E257" s="8" t="s">
        <v>1591</v>
      </c>
      <c r="F257" s="9" t="s">
        <v>1589</v>
      </c>
      <c r="G257" s="9" t="s">
        <v>1573</v>
      </c>
      <c r="H257" s="9" t="s">
        <v>1588</v>
      </c>
      <c r="I257" s="9" t="s">
        <v>69</v>
      </c>
      <c r="J257" s="10" t="s">
        <v>185</v>
      </c>
      <c r="K257" s="15" t="str">
        <f>VLOOKUP(J257,DADOS!$A$3:$B$100,2,FALSE)</f>
        <v>EE-GI-001-031</v>
      </c>
      <c r="L257" s="15" t="s">
        <v>1576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1</v>
      </c>
      <c r="U257" s="17" t="b">
        <v>1</v>
      </c>
      <c r="V257" s="17" t="b">
        <v>1</v>
      </c>
      <c r="W257" s="11" t="s">
        <v>287</v>
      </c>
      <c r="X257" s="12" t="s">
        <v>14</v>
      </c>
      <c r="Y257" s="12" t="s">
        <v>14</v>
      </c>
      <c r="Z257" s="13" t="s">
        <v>355</v>
      </c>
    </row>
    <row r="258" spans="1:26" ht="19.95" customHeight="1" x14ac:dyDescent="0.3">
      <c r="A258" s="6">
        <v>45699</v>
      </c>
      <c r="B258" s="7" t="s">
        <v>1568</v>
      </c>
      <c r="C258" s="8" t="s">
        <v>1592</v>
      </c>
      <c r="D258" s="8" t="s">
        <v>287</v>
      </c>
      <c r="E258" s="8" t="s">
        <v>1591</v>
      </c>
      <c r="F258" s="9" t="s">
        <v>1590</v>
      </c>
      <c r="G258" s="9" t="s">
        <v>1573</v>
      </c>
      <c r="H258" s="9" t="s">
        <v>1588</v>
      </c>
      <c r="I258" s="9" t="s">
        <v>69</v>
      </c>
      <c r="J258" s="10" t="s">
        <v>185</v>
      </c>
      <c r="K258" s="15" t="str">
        <f>VLOOKUP(J258,DADOS!$A$3:$B$100,2,FALSE)</f>
        <v>EE-GI-001-031</v>
      </c>
      <c r="L258" s="15" t="s">
        <v>1576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1</v>
      </c>
      <c r="U258" s="17" t="b">
        <v>1</v>
      </c>
      <c r="V258" s="17" t="b">
        <v>1</v>
      </c>
      <c r="W258" s="11" t="s">
        <v>287</v>
      </c>
      <c r="X258" s="12" t="s">
        <v>14</v>
      </c>
      <c r="Y258" s="12" t="s">
        <v>14</v>
      </c>
      <c r="Z258" s="13" t="s">
        <v>355</v>
      </c>
    </row>
    <row r="259" spans="1:26" ht="19.95" customHeight="1" x14ac:dyDescent="0.3">
      <c r="A259" s="6">
        <v>45699</v>
      </c>
      <c r="B259" s="7" t="s">
        <v>1568</v>
      </c>
      <c r="C259" s="8" t="s">
        <v>1970</v>
      </c>
      <c r="D259" s="8" t="s">
        <v>281</v>
      </c>
      <c r="E259" s="8" t="s">
        <v>1971</v>
      </c>
      <c r="F259" s="9" t="s">
        <v>1972</v>
      </c>
      <c r="G259" s="9" t="s">
        <v>1973</v>
      </c>
      <c r="H259" s="9" t="s">
        <v>1974</v>
      </c>
      <c r="I259" s="9" t="s">
        <v>69</v>
      </c>
      <c r="J259" s="10" t="s">
        <v>185</v>
      </c>
      <c r="K259" s="15" t="str">
        <f>VLOOKUP(J259,DADOS!$A$3:$B$100,2,FALSE)</f>
        <v>EE-GI-001-031</v>
      </c>
      <c r="L259" s="15" t="s">
        <v>260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 t="b">
        <v>0</v>
      </c>
      <c r="R259" s="17" t="b">
        <v>1</v>
      </c>
      <c r="S259" s="17" t="b">
        <v>0</v>
      </c>
      <c r="T259" s="17" t="b">
        <v>0</v>
      </c>
      <c r="U259" s="17" t="b">
        <v>0</v>
      </c>
      <c r="V259" s="17" t="b">
        <v>0</v>
      </c>
      <c r="W259" s="11" t="s">
        <v>281</v>
      </c>
      <c r="X259" s="12" t="s">
        <v>14</v>
      </c>
      <c r="Y259" s="12" t="s">
        <v>14</v>
      </c>
      <c r="Z259" s="13" t="s">
        <v>355</v>
      </c>
    </row>
    <row r="260" spans="1:26" ht="19.95" customHeight="1" x14ac:dyDescent="0.3">
      <c r="A260" s="6">
        <v>45699</v>
      </c>
      <c r="B260" s="7" t="s">
        <v>1568</v>
      </c>
      <c r="C260" s="8" t="s">
        <v>1970</v>
      </c>
      <c r="D260" s="8" t="s">
        <v>364</v>
      </c>
      <c r="E260" s="8" t="s">
        <v>1971</v>
      </c>
      <c r="F260" s="9" t="s">
        <v>1975</v>
      </c>
      <c r="G260" s="9" t="s">
        <v>1976</v>
      </c>
      <c r="H260" s="9" t="s">
        <v>1974</v>
      </c>
      <c r="I260" s="9" t="s">
        <v>69</v>
      </c>
      <c r="J260" s="10" t="s">
        <v>185</v>
      </c>
      <c r="K260" s="15" t="str">
        <f>VLOOKUP(J260,DADOS!$A$3:$B$100,2,FALSE)</f>
        <v>EE-GI-001-031</v>
      </c>
      <c r="L260" s="15" t="s">
        <v>260</v>
      </c>
      <c r="M260" s="18" t="b">
        <v>1</v>
      </c>
      <c r="N260" s="17" t="b">
        <v>1</v>
      </c>
      <c r="O260" s="17" t="b">
        <v>1</v>
      </c>
      <c r="P260" s="17" t="b">
        <v>1</v>
      </c>
      <c r="Q260" s="17" t="b">
        <v>0</v>
      </c>
      <c r="R260" s="17" t="b">
        <v>1</v>
      </c>
      <c r="S260" s="17" t="b">
        <v>0</v>
      </c>
      <c r="T260" s="17" t="b">
        <v>0</v>
      </c>
      <c r="U260" s="17" t="b">
        <v>0</v>
      </c>
      <c r="V260" s="17" t="b">
        <v>0</v>
      </c>
      <c r="W260" s="11" t="s">
        <v>364</v>
      </c>
      <c r="X260" s="12" t="s">
        <v>14</v>
      </c>
      <c r="Y260" s="12" t="s">
        <v>14</v>
      </c>
      <c r="Z260" s="13" t="s">
        <v>355</v>
      </c>
    </row>
    <row r="261" spans="1:26" ht="19.95" customHeight="1" x14ac:dyDescent="0.3">
      <c r="A261" s="6">
        <v>45699</v>
      </c>
      <c r="B261" s="7" t="s">
        <v>1568</v>
      </c>
      <c r="C261" s="8" t="s">
        <v>1970</v>
      </c>
      <c r="D261" s="8" t="s">
        <v>281</v>
      </c>
      <c r="E261" s="8" t="s">
        <v>1971</v>
      </c>
      <c r="F261" s="9" t="s">
        <v>1977</v>
      </c>
      <c r="G261" s="9" t="s">
        <v>1978</v>
      </c>
      <c r="H261" s="9" t="s">
        <v>1974</v>
      </c>
      <c r="I261" s="9" t="s">
        <v>69</v>
      </c>
      <c r="J261" s="10" t="s">
        <v>185</v>
      </c>
      <c r="K261" s="15" t="str">
        <f>VLOOKUP(J261,DADOS!$A$3:$B$100,2,FALSE)</f>
        <v>EE-GI-001-031</v>
      </c>
      <c r="L261" s="15" t="s">
        <v>260</v>
      </c>
      <c r="M261" s="18" t="b">
        <v>1</v>
      </c>
      <c r="N261" s="17" t="b">
        <v>1</v>
      </c>
      <c r="O261" s="17" t="b">
        <v>1</v>
      </c>
      <c r="P261" s="17" t="b">
        <v>1</v>
      </c>
      <c r="Q261" s="17" t="b">
        <v>0</v>
      </c>
      <c r="R261" s="17" t="b">
        <v>1</v>
      </c>
      <c r="S261" s="17" t="b">
        <v>0</v>
      </c>
      <c r="T261" s="17" t="b">
        <v>0</v>
      </c>
      <c r="U261" s="17" t="b">
        <v>0</v>
      </c>
      <c r="V261" s="17" t="b">
        <v>0</v>
      </c>
      <c r="W261" s="11" t="s">
        <v>281</v>
      </c>
      <c r="X261" s="12" t="s">
        <v>14</v>
      </c>
      <c r="Y261" s="12" t="s">
        <v>14</v>
      </c>
      <c r="Z261" s="13" t="s">
        <v>355</v>
      </c>
    </row>
    <row r="262" spans="1:26" ht="19.95" customHeight="1" x14ac:dyDescent="0.3">
      <c r="A262" s="6">
        <v>45699</v>
      </c>
      <c r="B262" s="7" t="s">
        <v>1568</v>
      </c>
      <c r="C262" s="8" t="s">
        <v>1970</v>
      </c>
      <c r="D262" s="8" t="s">
        <v>281</v>
      </c>
      <c r="E262" s="8" t="s">
        <v>1971</v>
      </c>
      <c r="F262" s="9" t="s">
        <v>1979</v>
      </c>
      <c r="G262" s="9" t="s">
        <v>1980</v>
      </c>
      <c r="H262" s="9" t="s">
        <v>1974</v>
      </c>
      <c r="I262" s="9" t="s">
        <v>69</v>
      </c>
      <c r="J262" s="10" t="s">
        <v>185</v>
      </c>
      <c r="K262" s="15" t="str">
        <f>VLOOKUP(J262,DADOS!$A$3:$B$100,2,FALSE)</f>
        <v>EE-GI-001-031</v>
      </c>
      <c r="L262" s="15" t="s">
        <v>260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1</v>
      </c>
      <c r="S262" s="17" t="b">
        <v>0</v>
      </c>
      <c r="T262" s="17" t="b">
        <v>0</v>
      </c>
      <c r="U262" s="17" t="b">
        <v>0</v>
      </c>
      <c r="V262" s="17" t="b">
        <v>0</v>
      </c>
      <c r="W262" s="11" t="s">
        <v>281</v>
      </c>
      <c r="X262" s="12" t="s">
        <v>14</v>
      </c>
      <c r="Y262" s="12" t="s">
        <v>14</v>
      </c>
      <c r="Z262" s="13" t="s">
        <v>355</v>
      </c>
    </row>
    <row r="263" spans="1:26" ht="19.95" customHeight="1" x14ac:dyDescent="0.3">
      <c r="A263" s="6">
        <v>45699</v>
      </c>
      <c r="B263" s="7" t="s">
        <v>1568</v>
      </c>
      <c r="C263" s="8" t="s">
        <v>1970</v>
      </c>
      <c r="D263" s="8" t="s">
        <v>269</v>
      </c>
      <c r="E263" s="8" t="s">
        <v>1971</v>
      </c>
      <c r="F263" s="9" t="s">
        <v>1981</v>
      </c>
      <c r="G263" s="9" t="s">
        <v>1982</v>
      </c>
      <c r="H263" s="9" t="s">
        <v>1974</v>
      </c>
      <c r="I263" s="9" t="s">
        <v>69</v>
      </c>
      <c r="J263" s="10" t="s">
        <v>185</v>
      </c>
      <c r="K263" s="15" t="str">
        <f>VLOOKUP(J263,DADOS!$A$3:$B$100,2,FALSE)</f>
        <v>EE-GI-001-031</v>
      </c>
      <c r="L263" s="15" t="s">
        <v>260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1</v>
      </c>
      <c r="S263" s="17" t="b">
        <v>0</v>
      </c>
      <c r="T263" s="17" t="b">
        <v>0</v>
      </c>
      <c r="U263" s="17" t="b">
        <v>0</v>
      </c>
      <c r="V263" s="17" t="b">
        <v>0</v>
      </c>
      <c r="W263" s="11" t="s">
        <v>269</v>
      </c>
      <c r="X263" s="12" t="s">
        <v>14</v>
      </c>
      <c r="Y263" s="12" t="s">
        <v>14</v>
      </c>
      <c r="Z263" s="13" t="s">
        <v>355</v>
      </c>
    </row>
    <row r="264" spans="1:26" ht="19.95" customHeight="1" x14ac:dyDescent="0.3">
      <c r="A264" s="6">
        <v>45699</v>
      </c>
      <c r="B264" s="7" t="s">
        <v>1568</v>
      </c>
      <c r="C264" s="8" t="s">
        <v>1983</v>
      </c>
      <c r="D264" s="8" t="s">
        <v>269</v>
      </c>
      <c r="E264" s="8" t="s">
        <v>1984</v>
      </c>
      <c r="F264" s="9" t="s">
        <v>1985</v>
      </c>
      <c r="G264" s="9" t="s">
        <v>1986</v>
      </c>
      <c r="H264" s="9" t="s">
        <v>1987</v>
      </c>
      <c r="I264" s="9" t="s">
        <v>69</v>
      </c>
      <c r="J264" s="10" t="s">
        <v>185</v>
      </c>
      <c r="K264" s="15" t="str">
        <f>VLOOKUP(J264,DADOS!$A$3:$B$100,2,FALSE)</f>
        <v>EE-GI-001-031</v>
      </c>
      <c r="L264" s="15" t="s">
        <v>260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1</v>
      </c>
      <c r="S264" s="17" t="b">
        <v>0</v>
      </c>
      <c r="T264" s="17" t="b">
        <v>0</v>
      </c>
      <c r="U264" s="17" t="b">
        <v>0</v>
      </c>
      <c r="V264" s="17" t="b">
        <v>0</v>
      </c>
      <c r="W264" s="11" t="s">
        <v>269</v>
      </c>
      <c r="X264" s="12" t="s">
        <v>14</v>
      </c>
      <c r="Y264" s="12" t="s">
        <v>14</v>
      </c>
      <c r="Z264" s="13" t="s">
        <v>355</v>
      </c>
    </row>
    <row r="265" spans="1:26" ht="19.95" customHeight="1" x14ac:dyDescent="0.3">
      <c r="A265" s="6">
        <v>45699</v>
      </c>
      <c r="B265" s="7" t="s">
        <v>1568</v>
      </c>
      <c r="C265" s="8" t="s">
        <v>1983</v>
      </c>
      <c r="D265" s="8" t="s">
        <v>269</v>
      </c>
      <c r="E265" s="8" t="s">
        <v>1984</v>
      </c>
      <c r="F265" s="9" t="s">
        <v>1988</v>
      </c>
      <c r="G265" s="9" t="s">
        <v>1989</v>
      </c>
      <c r="H265" s="9" t="s">
        <v>1987</v>
      </c>
      <c r="I265" s="9" t="s">
        <v>69</v>
      </c>
      <c r="J265" s="10" t="s">
        <v>185</v>
      </c>
      <c r="K265" s="15" t="str">
        <f>VLOOKUP(J265,DADOS!$A$3:$B$100,2,FALSE)</f>
        <v>EE-GI-001-031</v>
      </c>
      <c r="L265" s="15" t="s">
        <v>260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1</v>
      </c>
      <c r="S265" s="17" t="b">
        <v>0</v>
      </c>
      <c r="T265" s="17" t="b">
        <v>0</v>
      </c>
      <c r="U265" s="17" t="b">
        <v>0</v>
      </c>
      <c r="V265" s="17" t="b">
        <v>0</v>
      </c>
      <c r="W265" s="11" t="s">
        <v>269</v>
      </c>
      <c r="X265" s="12" t="s">
        <v>14</v>
      </c>
      <c r="Y265" s="12" t="s">
        <v>14</v>
      </c>
      <c r="Z265" s="13" t="s">
        <v>355</v>
      </c>
    </row>
    <row r="266" spans="1:26" ht="19.95" customHeight="1" x14ac:dyDescent="0.3">
      <c r="A266" s="6">
        <v>45699</v>
      </c>
      <c r="B266" s="7" t="s">
        <v>1568</v>
      </c>
      <c r="C266" s="8" t="s">
        <v>1990</v>
      </c>
      <c r="D266" s="8" t="s">
        <v>373</v>
      </c>
      <c r="E266" s="8" t="s">
        <v>1984</v>
      </c>
      <c r="F266" s="9" t="s">
        <v>1991</v>
      </c>
      <c r="G266" s="9" t="s">
        <v>1992</v>
      </c>
      <c r="H266" s="9" t="s">
        <v>1996</v>
      </c>
      <c r="I266" s="9" t="s">
        <v>69</v>
      </c>
      <c r="J266" s="10" t="s">
        <v>185</v>
      </c>
      <c r="K266" s="15" t="str">
        <f>VLOOKUP(J266,DADOS!$A$3:$B$100,2,FALSE)</f>
        <v>EE-GI-001-031</v>
      </c>
      <c r="L266" s="15" t="s">
        <v>1955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1</v>
      </c>
      <c r="S266" s="17" t="b">
        <v>0</v>
      </c>
      <c r="T266" s="17" t="b">
        <v>0</v>
      </c>
      <c r="U266" s="17" t="b">
        <v>0</v>
      </c>
      <c r="V266" s="17" t="b">
        <v>0</v>
      </c>
      <c r="W266" s="11" t="s">
        <v>373</v>
      </c>
      <c r="X266" s="12" t="s">
        <v>14</v>
      </c>
      <c r="Y266" s="12" t="s">
        <v>14</v>
      </c>
      <c r="Z266" s="13" t="s">
        <v>355</v>
      </c>
    </row>
    <row r="267" spans="1:26" ht="19.95" customHeight="1" x14ac:dyDescent="0.3">
      <c r="A267" s="6">
        <v>45699</v>
      </c>
      <c r="B267" s="7" t="s">
        <v>1568</v>
      </c>
      <c r="C267" s="8" t="s">
        <v>1956</v>
      </c>
      <c r="D267" s="8" t="s">
        <v>269</v>
      </c>
      <c r="E267" s="8" t="s">
        <v>1984</v>
      </c>
      <c r="F267" s="9" t="s">
        <v>1993</v>
      </c>
      <c r="G267" s="9" t="s">
        <v>1997</v>
      </c>
      <c r="H267" s="9" t="s">
        <v>1995</v>
      </c>
      <c r="I267" s="9" t="s">
        <v>69</v>
      </c>
      <c r="J267" s="10" t="s">
        <v>185</v>
      </c>
      <c r="K267" s="15" t="str">
        <f>VLOOKUP(J267,DADOS!$A$3:$B$100,2,FALSE)</f>
        <v>EE-GI-001-031</v>
      </c>
      <c r="L267" s="15" t="s">
        <v>1955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1</v>
      </c>
      <c r="S267" s="17" t="b">
        <v>0</v>
      </c>
      <c r="T267" s="17" t="b">
        <v>0</v>
      </c>
      <c r="U267" s="17" t="b">
        <v>0</v>
      </c>
      <c r="V267" s="17" t="b">
        <v>0</v>
      </c>
      <c r="W267" s="11" t="s">
        <v>269</v>
      </c>
      <c r="X267" s="12" t="s">
        <v>14</v>
      </c>
      <c r="Y267" s="12" t="s">
        <v>14</v>
      </c>
      <c r="Z267" s="13" t="s">
        <v>355</v>
      </c>
    </row>
    <row r="268" spans="1:26" ht="19.95" customHeight="1" x14ac:dyDescent="0.3">
      <c r="A268" s="6">
        <v>45699</v>
      </c>
      <c r="B268" s="7" t="s">
        <v>1568</v>
      </c>
      <c r="C268" s="8" t="s">
        <v>1956</v>
      </c>
      <c r="D268" s="8" t="s">
        <v>269</v>
      </c>
      <c r="E268" s="8" t="s">
        <v>1984</v>
      </c>
      <c r="F268" s="9" t="s">
        <v>1957</v>
      </c>
      <c r="G268" s="9" t="s">
        <v>1994</v>
      </c>
      <c r="H268" s="9" t="s">
        <v>1995</v>
      </c>
      <c r="I268" s="9" t="s">
        <v>69</v>
      </c>
      <c r="J268" s="10" t="s">
        <v>185</v>
      </c>
      <c r="K268" s="15" t="str">
        <f>VLOOKUP(J268,DADOS!$A$3:$B$100,2,FALSE)</f>
        <v>EE-GI-001-031</v>
      </c>
      <c r="L268" s="15" t="s">
        <v>1955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1</v>
      </c>
      <c r="S268" s="17" t="b">
        <v>0</v>
      </c>
      <c r="T268" s="17" t="b">
        <v>0</v>
      </c>
      <c r="U268" s="17" t="b">
        <v>0</v>
      </c>
      <c r="V268" s="17" t="b">
        <v>0</v>
      </c>
      <c r="W268" s="11" t="s">
        <v>269</v>
      </c>
      <c r="X268" s="12" t="s">
        <v>14</v>
      </c>
      <c r="Y268" s="12" t="s">
        <v>14</v>
      </c>
      <c r="Z268" s="13" t="s">
        <v>355</v>
      </c>
    </row>
    <row r="269" spans="1:26" ht="19.95" customHeight="1" x14ac:dyDescent="0.3">
      <c r="A269" s="6">
        <v>45699</v>
      </c>
      <c r="B269" s="7" t="s">
        <v>1568</v>
      </c>
      <c r="C269" s="8" t="s">
        <v>1962</v>
      </c>
      <c r="D269" s="8" t="s">
        <v>269</v>
      </c>
      <c r="E269" s="8" t="s">
        <v>1984</v>
      </c>
      <c r="F269" s="9" t="s">
        <v>1998</v>
      </c>
      <c r="G269" s="9" t="s">
        <v>1999</v>
      </c>
      <c r="H269" s="9" t="s">
        <v>2000</v>
      </c>
      <c r="I269" s="9" t="s">
        <v>69</v>
      </c>
      <c r="J269" s="10" t="s">
        <v>185</v>
      </c>
      <c r="K269" s="15" t="str">
        <f>VLOOKUP(J269,DADOS!$A$3:$B$100,2,FALSE)</f>
        <v>EE-GI-001-031</v>
      </c>
      <c r="L269" s="15" t="s">
        <v>1955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1</v>
      </c>
      <c r="S269" s="17" t="b">
        <v>0</v>
      </c>
      <c r="T269" s="17" t="b">
        <v>0</v>
      </c>
      <c r="U269" s="17" t="b">
        <v>0</v>
      </c>
      <c r="V269" s="17" t="b">
        <v>0</v>
      </c>
      <c r="W269" s="11" t="s">
        <v>269</v>
      </c>
      <c r="X269" s="12" t="s">
        <v>14</v>
      </c>
      <c r="Y269" s="12" t="s">
        <v>14</v>
      </c>
      <c r="Z269" s="13" t="s">
        <v>355</v>
      </c>
    </row>
    <row r="270" spans="1:26" ht="19.95" customHeight="1" x14ac:dyDescent="0.3">
      <c r="A270" s="6">
        <v>45699</v>
      </c>
      <c r="B270" s="7" t="s">
        <v>1568</v>
      </c>
      <c r="C270" s="8" t="s">
        <v>1962</v>
      </c>
      <c r="D270" s="8" t="s">
        <v>269</v>
      </c>
      <c r="E270" s="8" t="s">
        <v>1984</v>
      </c>
      <c r="F270" s="9" t="s">
        <v>1963</v>
      </c>
      <c r="G270" s="9" t="s">
        <v>2001</v>
      </c>
      <c r="H270" s="9" t="s">
        <v>2000</v>
      </c>
      <c r="I270" s="9" t="s">
        <v>69</v>
      </c>
      <c r="J270" s="10" t="s">
        <v>185</v>
      </c>
      <c r="K270" s="15" t="str">
        <f>VLOOKUP(J270,DADOS!$A$3:$B$100,2,FALSE)</f>
        <v>EE-GI-001-031</v>
      </c>
      <c r="L270" s="15" t="s">
        <v>1955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1</v>
      </c>
      <c r="S270" s="17" t="b">
        <v>0</v>
      </c>
      <c r="T270" s="17" t="b">
        <v>0</v>
      </c>
      <c r="U270" s="17" t="b">
        <v>0</v>
      </c>
      <c r="V270" s="17" t="b">
        <v>0</v>
      </c>
      <c r="W270" s="11" t="s">
        <v>269</v>
      </c>
      <c r="X270" s="12" t="s">
        <v>14</v>
      </c>
      <c r="Y270" s="12" t="s">
        <v>14</v>
      </c>
      <c r="Z270" s="13" t="s">
        <v>355</v>
      </c>
    </row>
    <row r="271" spans="1:26" ht="19.95" customHeight="1" x14ac:dyDescent="0.3">
      <c r="A271" s="6">
        <v>45699</v>
      </c>
      <c r="B271" s="7" t="s">
        <v>1568</v>
      </c>
      <c r="C271" s="8" t="s">
        <v>1962</v>
      </c>
      <c r="D271" s="8" t="s">
        <v>269</v>
      </c>
      <c r="E271" s="8" t="s">
        <v>1984</v>
      </c>
      <c r="F271" s="9" t="s">
        <v>2002</v>
      </c>
      <c r="G271" s="9" t="s">
        <v>2003</v>
      </c>
      <c r="H271" s="9" t="s">
        <v>2000</v>
      </c>
      <c r="I271" s="9" t="s">
        <v>69</v>
      </c>
      <c r="J271" s="10" t="s">
        <v>185</v>
      </c>
      <c r="K271" s="15" t="str">
        <f>VLOOKUP(J271,DADOS!$A$3:$B$100,2,FALSE)</f>
        <v>EE-GI-001-031</v>
      </c>
      <c r="L271" s="15" t="s">
        <v>1955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1</v>
      </c>
      <c r="S271" s="17" t="b">
        <v>0</v>
      </c>
      <c r="T271" s="17" t="b">
        <v>0</v>
      </c>
      <c r="U271" s="17" t="b">
        <v>0</v>
      </c>
      <c r="V271" s="17" t="b">
        <v>0</v>
      </c>
      <c r="W271" s="11" t="s">
        <v>269</v>
      </c>
      <c r="X271" s="12" t="s">
        <v>14</v>
      </c>
      <c r="Y271" s="12" t="s">
        <v>14</v>
      </c>
      <c r="Z271" s="13" t="s">
        <v>355</v>
      </c>
    </row>
    <row r="272" spans="1:26" ht="19.95" customHeight="1" x14ac:dyDescent="0.3">
      <c r="A272" s="6">
        <v>45699</v>
      </c>
      <c r="B272" s="7" t="s">
        <v>1568</v>
      </c>
      <c r="C272" s="8" t="s">
        <v>1962</v>
      </c>
      <c r="D272" s="8" t="s">
        <v>281</v>
      </c>
      <c r="E272" s="8" t="s">
        <v>1984</v>
      </c>
      <c r="F272" s="9" t="s">
        <v>2004</v>
      </c>
      <c r="G272" s="9" t="s">
        <v>2005</v>
      </c>
      <c r="H272" s="9" t="s">
        <v>2000</v>
      </c>
      <c r="I272" s="9" t="s">
        <v>69</v>
      </c>
      <c r="J272" s="10" t="s">
        <v>185</v>
      </c>
      <c r="K272" s="15" t="str">
        <f>VLOOKUP(J272,DADOS!$A$3:$B$100,2,FALSE)</f>
        <v>EE-GI-001-031</v>
      </c>
      <c r="L272" s="15" t="s">
        <v>1955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1</v>
      </c>
      <c r="S272" s="17" t="b">
        <v>0</v>
      </c>
      <c r="T272" s="17" t="b">
        <v>0</v>
      </c>
      <c r="U272" s="17" t="b">
        <v>0</v>
      </c>
      <c r="V272" s="17" t="b">
        <v>0</v>
      </c>
      <c r="W272" s="11" t="s">
        <v>281</v>
      </c>
      <c r="X272" s="12" t="s">
        <v>14</v>
      </c>
      <c r="Y272" s="12" t="s">
        <v>14</v>
      </c>
      <c r="Z272" s="13" t="s">
        <v>355</v>
      </c>
    </row>
    <row r="273" spans="1:26" ht="19.95" customHeight="1" x14ac:dyDescent="0.3">
      <c r="A273" s="6">
        <v>45699</v>
      </c>
      <c r="B273" s="7" t="s">
        <v>1568</v>
      </c>
      <c r="C273" s="8" t="s">
        <v>2006</v>
      </c>
      <c r="D273" s="8" t="s">
        <v>281</v>
      </c>
      <c r="E273" s="8" t="s">
        <v>1971</v>
      </c>
      <c r="F273" s="9" t="s">
        <v>2007</v>
      </c>
      <c r="G273" s="9" t="s">
        <v>2008</v>
      </c>
      <c r="H273" s="9" t="s">
        <v>2009</v>
      </c>
      <c r="I273" s="9" t="s">
        <v>69</v>
      </c>
      <c r="J273" s="10" t="s">
        <v>185</v>
      </c>
      <c r="K273" s="15" t="str">
        <f>VLOOKUP(J273,DADOS!$A$3:$B$100,2,FALSE)</f>
        <v>EE-GI-001-031</v>
      </c>
      <c r="L273" s="15" t="s">
        <v>1955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1</v>
      </c>
      <c r="S273" s="17" t="b">
        <v>0</v>
      </c>
      <c r="T273" s="17" t="b">
        <v>0</v>
      </c>
      <c r="U273" s="17" t="b">
        <v>0</v>
      </c>
      <c r="V273" s="17" t="b">
        <v>0</v>
      </c>
      <c r="W273" s="11" t="s">
        <v>281</v>
      </c>
      <c r="X273" s="12" t="s">
        <v>14</v>
      </c>
      <c r="Y273" s="12" t="s">
        <v>14</v>
      </c>
      <c r="Z273" s="13" t="s">
        <v>355</v>
      </c>
    </row>
    <row r="274" spans="1:26" ht="19.95" customHeight="1" x14ac:dyDescent="0.3">
      <c r="A274" s="6">
        <v>45699</v>
      </c>
      <c r="B274" s="7" t="s">
        <v>1568</v>
      </c>
      <c r="C274" s="8" t="s">
        <v>1956</v>
      </c>
      <c r="D274" s="8" t="s">
        <v>269</v>
      </c>
      <c r="E274" s="8" t="s">
        <v>1971</v>
      </c>
      <c r="F274" s="9" t="s">
        <v>2010</v>
      </c>
      <c r="G274" s="9" t="s">
        <v>2011</v>
      </c>
      <c r="H274" s="9" t="s">
        <v>2012</v>
      </c>
      <c r="I274" s="9" t="s">
        <v>69</v>
      </c>
      <c r="J274" s="10" t="s">
        <v>185</v>
      </c>
      <c r="K274" s="15" t="str">
        <f>VLOOKUP(J274,DADOS!$A$3:$B$100,2,FALSE)</f>
        <v>EE-GI-001-031</v>
      </c>
      <c r="L274" s="15" t="s">
        <v>1955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1</v>
      </c>
      <c r="S274" s="17" t="b">
        <v>0</v>
      </c>
      <c r="T274" s="17" t="b">
        <v>0</v>
      </c>
      <c r="U274" s="17" t="b">
        <v>0</v>
      </c>
      <c r="V274" s="17" t="b">
        <v>0</v>
      </c>
      <c r="W274" s="11" t="s">
        <v>269</v>
      </c>
      <c r="X274" s="12" t="s">
        <v>14</v>
      </c>
      <c r="Y274" s="12" t="s">
        <v>14</v>
      </c>
      <c r="Z274" s="13" t="s">
        <v>355</v>
      </c>
    </row>
    <row r="275" spans="1:26" ht="19.95" customHeight="1" x14ac:dyDescent="0.3">
      <c r="A275" s="6">
        <v>45699</v>
      </c>
      <c r="B275" s="7" t="s">
        <v>1568</v>
      </c>
      <c r="C275" s="8" t="s">
        <v>1956</v>
      </c>
      <c r="D275" s="8" t="s">
        <v>269</v>
      </c>
      <c r="E275" s="8" t="s">
        <v>1971</v>
      </c>
      <c r="F275" s="9" t="s">
        <v>2013</v>
      </c>
      <c r="G275" s="9" t="s">
        <v>2014</v>
      </c>
      <c r="H275" s="9" t="s">
        <v>2012</v>
      </c>
      <c r="I275" s="9" t="s">
        <v>69</v>
      </c>
      <c r="J275" s="10" t="s">
        <v>185</v>
      </c>
      <c r="K275" s="15" t="str">
        <f>VLOOKUP(J275,DADOS!$A$3:$B$100,2,FALSE)</f>
        <v>EE-GI-001-031</v>
      </c>
      <c r="L275" s="15" t="s">
        <v>1955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1</v>
      </c>
      <c r="S275" s="17" t="b">
        <v>0</v>
      </c>
      <c r="T275" s="17" t="b">
        <v>0</v>
      </c>
      <c r="U275" s="17" t="b">
        <v>0</v>
      </c>
      <c r="V275" s="17" t="b">
        <v>0</v>
      </c>
      <c r="W275" s="11" t="s">
        <v>269</v>
      </c>
      <c r="X275" s="12" t="s">
        <v>14</v>
      </c>
      <c r="Y275" s="12" t="s">
        <v>14</v>
      </c>
      <c r="Z275" s="13" t="s">
        <v>355</v>
      </c>
    </row>
    <row r="276" spans="1:26" ht="19.95" customHeight="1" x14ac:dyDescent="0.3">
      <c r="A276" s="6">
        <v>45699</v>
      </c>
      <c r="B276" s="7" t="s">
        <v>1568</v>
      </c>
      <c r="C276" s="8" t="s">
        <v>2015</v>
      </c>
      <c r="D276" s="8" t="s">
        <v>269</v>
      </c>
      <c r="E276" s="8" t="s">
        <v>1971</v>
      </c>
      <c r="F276" s="9" t="s">
        <v>2016</v>
      </c>
      <c r="G276" s="9" t="s">
        <v>2017</v>
      </c>
      <c r="H276" s="9" t="s">
        <v>2018</v>
      </c>
      <c r="I276" s="9" t="s">
        <v>69</v>
      </c>
      <c r="J276" s="10" t="s">
        <v>185</v>
      </c>
      <c r="K276" s="15" t="str">
        <f>VLOOKUP(J276,DADOS!$A$3:$B$100,2,FALSE)</f>
        <v>EE-GI-001-031</v>
      </c>
      <c r="L276" s="15" t="s">
        <v>1955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1</v>
      </c>
      <c r="S276" s="17" t="b">
        <v>0</v>
      </c>
      <c r="T276" s="17" t="b">
        <v>0</v>
      </c>
      <c r="U276" s="17" t="b">
        <v>0</v>
      </c>
      <c r="V276" s="17" t="b">
        <v>0</v>
      </c>
      <c r="W276" s="11" t="s">
        <v>269</v>
      </c>
      <c r="X276" s="12" t="s">
        <v>14</v>
      </c>
      <c r="Y276" s="12" t="s">
        <v>14</v>
      </c>
      <c r="Z276" s="13" t="s">
        <v>355</v>
      </c>
    </row>
    <row r="277" spans="1:26" ht="19.95" customHeight="1" x14ac:dyDescent="0.3">
      <c r="A277" s="6">
        <v>45699</v>
      </c>
      <c r="B277" s="7" t="s">
        <v>1568</v>
      </c>
      <c r="C277" s="8" t="s">
        <v>2015</v>
      </c>
      <c r="D277" s="8" t="s">
        <v>364</v>
      </c>
      <c r="E277" s="8" t="s">
        <v>1971</v>
      </c>
      <c r="F277" s="9" t="s">
        <v>2019</v>
      </c>
      <c r="G277" s="9" t="s">
        <v>2020</v>
      </c>
      <c r="H277" s="9" t="s">
        <v>2018</v>
      </c>
      <c r="I277" s="9" t="s">
        <v>69</v>
      </c>
      <c r="J277" s="10" t="s">
        <v>185</v>
      </c>
      <c r="K277" s="15" t="str">
        <f>VLOOKUP(J277,DADOS!$A$3:$B$100,2,FALSE)</f>
        <v>EE-GI-001-031</v>
      </c>
      <c r="L277" s="15" t="s">
        <v>1955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1</v>
      </c>
      <c r="S277" s="17" t="b">
        <v>0</v>
      </c>
      <c r="T277" s="17" t="b">
        <v>0</v>
      </c>
      <c r="U277" s="17" t="b">
        <v>0</v>
      </c>
      <c r="V277" s="17" t="b">
        <v>0</v>
      </c>
      <c r="W277" s="11" t="s">
        <v>364</v>
      </c>
      <c r="X277" s="12" t="s">
        <v>14</v>
      </c>
      <c r="Y277" s="12" t="s">
        <v>14</v>
      </c>
      <c r="Z277" s="13" t="s">
        <v>355</v>
      </c>
    </row>
    <row r="278" spans="1:26" ht="19.95" customHeight="1" x14ac:dyDescent="0.3">
      <c r="A278" s="6">
        <v>45699</v>
      </c>
      <c r="B278" s="7" t="s">
        <v>1568</v>
      </c>
      <c r="C278" s="8" t="s">
        <v>2015</v>
      </c>
      <c r="D278" s="8" t="s">
        <v>281</v>
      </c>
      <c r="E278" s="8" t="s">
        <v>1971</v>
      </c>
      <c r="F278" s="9" t="s">
        <v>2021</v>
      </c>
      <c r="G278" s="9" t="s">
        <v>2022</v>
      </c>
      <c r="H278" s="9" t="s">
        <v>2018</v>
      </c>
      <c r="I278" s="9" t="s">
        <v>69</v>
      </c>
      <c r="J278" s="10" t="s">
        <v>185</v>
      </c>
      <c r="K278" s="15" t="str">
        <f>VLOOKUP(J278,DADOS!$A$3:$B$100,2,FALSE)</f>
        <v>EE-GI-001-031</v>
      </c>
      <c r="L278" s="15" t="s">
        <v>1955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1</v>
      </c>
      <c r="S278" s="17" t="b">
        <v>0</v>
      </c>
      <c r="T278" s="17" t="b">
        <v>0</v>
      </c>
      <c r="U278" s="17" t="b">
        <v>0</v>
      </c>
      <c r="V278" s="17" t="b">
        <v>0</v>
      </c>
      <c r="W278" s="11" t="s">
        <v>281</v>
      </c>
      <c r="X278" s="12" t="s">
        <v>14</v>
      </c>
      <c r="Y278" s="12" t="s">
        <v>14</v>
      </c>
      <c r="Z278" s="13" t="s">
        <v>355</v>
      </c>
    </row>
    <row r="279" spans="1:26" ht="19.95" customHeight="1" x14ac:dyDescent="0.3">
      <c r="A279" s="6">
        <v>45699</v>
      </c>
      <c r="B279" s="7" t="s">
        <v>1568</v>
      </c>
      <c r="C279" s="8" t="s">
        <v>2023</v>
      </c>
      <c r="D279" s="8" t="s">
        <v>373</v>
      </c>
      <c r="E279" s="8" t="s">
        <v>1971</v>
      </c>
      <c r="F279" s="9" t="s">
        <v>2024</v>
      </c>
      <c r="G279" s="9" t="s">
        <v>2025</v>
      </c>
      <c r="H279" s="9" t="s">
        <v>2026</v>
      </c>
      <c r="I279" s="9" t="s">
        <v>66</v>
      </c>
      <c r="J279" s="10" t="s">
        <v>185</v>
      </c>
      <c r="K279" s="15" t="str">
        <f>VLOOKUP(J279,DADOS!$A$3:$B$100,2,FALSE)</f>
        <v>EE-GI-001-031</v>
      </c>
      <c r="L279" s="15" t="s">
        <v>1955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1</v>
      </c>
      <c r="S279" s="17" t="b">
        <v>0</v>
      </c>
      <c r="T279" s="17" t="b">
        <v>0</v>
      </c>
      <c r="U279" s="17" t="b">
        <v>0</v>
      </c>
      <c r="V279" s="17" t="b">
        <v>0</v>
      </c>
      <c r="W279" s="11" t="s">
        <v>373</v>
      </c>
      <c r="X279" s="12" t="s">
        <v>14</v>
      </c>
      <c r="Y279" s="12" t="s">
        <v>14</v>
      </c>
      <c r="Z279" s="13" t="s">
        <v>355</v>
      </c>
    </row>
    <row r="280" spans="1:26" ht="19.95" customHeight="1" x14ac:dyDescent="0.3">
      <c r="A280" s="6">
        <v>45699</v>
      </c>
      <c r="B280" s="7" t="s">
        <v>339</v>
      </c>
      <c r="C280" s="8" t="s">
        <v>1619</v>
      </c>
      <c r="D280" s="8" t="s">
        <v>603</v>
      </c>
      <c r="E280" s="8" t="s">
        <v>1680</v>
      </c>
      <c r="F280" s="9" t="s">
        <v>468</v>
      </c>
      <c r="G280" s="9" t="s">
        <v>1681</v>
      </c>
      <c r="H280" s="9" t="s">
        <v>14</v>
      </c>
      <c r="I280" s="9" t="s">
        <v>66</v>
      </c>
      <c r="J280" s="10" t="s">
        <v>15</v>
      </c>
      <c r="K280" s="15" t="str">
        <f>VLOOKUP(J280,DADOS!$A$3:$B$100,2,FALSE)</f>
        <v>EE-GI-001-002</v>
      </c>
      <c r="L280" s="15" t="s">
        <v>260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1</v>
      </c>
      <c r="W280" s="11" t="s">
        <v>269</v>
      </c>
      <c r="X280" s="12" t="s">
        <v>14</v>
      </c>
      <c r="Y280" s="12" t="s">
        <v>14</v>
      </c>
      <c r="Z280" s="13" t="s">
        <v>355</v>
      </c>
    </row>
    <row r="281" spans="1:26" ht="19.95" customHeight="1" x14ac:dyDescent="0.3">
      <c r="A281" s="6">
        <v>45699</v>
      </c>
      <c r="B281" s="7" t="s">
        <v>339</v>
      </c>
      <c r="C281" s="8" t="s">
        <v>2342</v>
      </c>
      <c r="D281" s="8" t="s">
        <v>281</v>
      </c>
      <c r="E281" s="8" t="s">
        <v>1680</v>
      </c>
      <c r="F281" s="9" t="s">
        <v>2343</v>
      </c>
      <c r="G281" s="9" t="s">
        <v>2344</v>
      </c>
      <c r="H281" s="9" t="s">
        <v>14</v>
      </c>
      <c r="I281" s="9" t="s">
        <v>66</v>
      </c>
      <c r="J281" s="10" t="s">
        <v>15</v>
      </c>
      <c r="K281" s="15" t="str">
        <f>VLOOKUP(J281,DADOS!$A$3:$B$100,2,FALSE)</f>
        <v>EE-GI-001-002</v>
      </c>
      <c r="L281" s="15" t="s">
        <v>260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1</v>
      </c>
      <c r="W281" s="11" t="s">
        <v>281</v>
      </c>
      <c r="X281" s="12" t="s">
        <v>14</v>
      </c>
      <c r="Y281" s="12" t="s">
        <v>14</v>
      </c>
      <c r="Z281" s="13" t="s">
        <v>355</v>
      </c>
    </row>
    <row r="282" spans="1:26" ht="19.95" customHeight="1" x14ac:dyDescent="0.3">
      <c r="A282" s="6">
        <v>45699</v>
      </c>
      <c r="B282" s="7" t="s">
        <v>339</v>
      </c>
      <c r="C282" s="8" t="s">
        <v>2345</v>
      </c>
      <c r="D282" s="8" t="s">
        <v>281</v>
      </c>
      <c r="E282" s="8" t="s">
        <v>1680</v>
      </c>
      <c r="F282" s="9" t="s">
        <v>2346</v>
      </c>
      <c r="G282" s="9" t="s">
        <v>2347</v>
      </c>
      <c r="H282" s="9" t="s">
        <v>14</v>
      </c>
      <c r="I282" s="9" t="s">
        <v>69</v>
      </c>
      <c r="J282" s="10" t="s">
        <v>251</v>
      </c>
      <c r="K282" s="15" t="str">
        <f>VLOOKUP(J282,DADOS!$A$3:$B$100,2,FALSE)</f>
        <v>EE-GI-001-030</v>
      </c>
      <c r="L282" s="15" t="s">
        <v>260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281</v>
      </c>
      <c r="X282" s="12" t="s">
        <v>14</v>
      </c>
      <c r="Y282" s="12" t="s">
        <v>14</v>
      </c>
      <c r="Z282" s="13" t="s">
        <v>355</v>
      </c>
    </row>
    <row r="283" spans="1:26" ht="19.95" customHeight="1" x14ac:dyDescent="0.3">
      <c r="A283" s="6">
        <v>45699</v>
      </c>
      <c r="B283" s="7" t="s">
        <v>339</v>
      </c>
      <c r="C283" s="8" t="s">
        <v>2345</v>
      </c>
      <c r="D283" s="8" t="s">
        <v>269</v>
      </c>
      <c r="E283" s="8" t="s">
        <v>1680</v>
      </c>
      <c r="F283" s="9" t="s">
        <v>2348</v>
      </c>
      <c r="G283" s="9" t="s">
        <v>2347</v>
      </c>
      <c r="H283" s="9" t="s">
        <v>14</v>
      </c>
      <c r="I283" s="9" t="s">
        <v>69</v>
      </c>
      <c r="J283" s="10" t="s">
        <v>251</v>
      </c>
      <c r="K283" s="15" t="str">
        <f>VLOOKUP(J283,DADOS!$A$3:$B$100,2,FALSE)</f>
        <v>EE-GI-001-030</v>
      </c>
      <c r="L283" s="15" t="s">
        <v>260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269</v>
      </c>
      <c r="X283" s="12" t="s">
        <v>14</v>
      </c>
      <c r="Y283" s="12" t="s">
        <v>14</v>
      </c>
      <c r="Z283" s="13" t="s">
        <v>355</v>
      </c>
    </row>
    <row r="284" spans="1:26" ht="19.95" customHeight="1" x14ac:dyDescent="0.3">
      <c r="A284" s="6">
        <v>45699</v>
      </c>
      <c r="B284" s="7" t="s">
        <v>339</v>
      </c>
      <c r="C284" s="8" t="s">
        <v>2345</v>
      </c>
      <c r="D284" s="8" t="s">
        <v>281</v>
      </c>
      <c r="E284" s="8" t="s">
        <v>1680</v>
      </c>
      <c r="F284" s="9" t="s">
        <v>2349</v>
      </c>
      <c r="G284" s="9" t="s">
        <v>2347</v>
      </c>
      <c r="H284" s="9" t="s">
        <v>14</v>
      </c>
      <c r="I284" s="9" t="s">
        <v>69</v>
      </c>
      <c r="J284" s="10" t="s">
        <v>251</v>
      </c>
      <c r="K284" s="15" t="str">
        <f>VLOOKUP(J284,DADOS!$A$3:$B$100,2,FALSE)</f>
        <v>EE-GI-001-030</v>
      </c>
      <c r="L284" s="15" t="s">
        <v>260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281</v>
      </c>
      <c r="X284" s="12" t="s">
        <v>14</v>
      </c>
      <c r="Y284" s="12" t="s">
        <v>14</v>
      </c>
      <c r="Z284" s="13" t="s">
        <v>355</v>
      </c>
    </row>
    <row r="285" spans="1:26" ht="19.95" customHeight="1" x14ac:dyDescent="0.3">
      <c r="A285" s="6">
        <v>45699</v>
      </c>
      <c r="B285" s="7" t="s">
        <v>339</v>
      </c>
      <c r="C285" s="8" t="s">
        <v>2345</v>
      </c>
      <c r="D285" s="8" t="s">
        <v>281</v>
      </c>
      <c r="E285" s="8" t="s">
        <v>1680</v>
      </c>
      <c r="F285" s="9" t="s">
        <v>2350</v>
      </c>
      <c r="G285" s="9" t="s">
        <v>2347</v>
      </c>
      <c r="H285" s="9" t="s">
        <v>14</v>
      </c>
      <c r="I285" s="9" t="s">
        <v>69</v>
      </c>
      <c r="J285" s="10" t="s">
        <v>251</v>
      </c>
      <c r="K285" s="15" t="str">
        <f>VLOOKUP(J285,DADOS!$A$3:$B$100,2,FALSE)</f>
        <v>EE-GI-001-030</v>
      </c>
      <c r="L285" s="15" t="s">
        <v>260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281</v>
      </c>
      <c r="X285" s="12" t="s">
        <v>14</v>
      </c>
      <c r="Y285" s="12" t="s">
        <v>14</v>
      </c>
      <c r="Z285" s="13" t="s">
        <v>355</v>
      </c>
    </row>
    <row r="286" spans="1:26" ht="19.95" customHeight="1" x14ac:dyDescent="0.3">
      <c r="A286" s="6">
        <v>45699</v>
      </c>
      <c r="B286" s="7" t="s">
        <v>339</v>
      </c>
      <c r="C286" s="8" t="s">
        <v>2351</v>
      </c>
      <c r="D286" s="8" t="s">
        <v>279</v>
      </c>
      <c r="E286" s="8" t="s">
        <v>1680</v>
      </c>
      <c r="F286" s="9" t="s">
        <v>2352</v>
      </c>
      <c r="G286" s="9" t="s">
        <v>2353</v>
      </c>
      <c r="H286" s="9" t="s">
        <v>14</v>
      </c>
      <c r="I286" s="9" t="s">
        <v>65</v>
      </c>
      <c r="J286" s="10" t="s">
        <v>174</v>
      </c>
      <c r="K286" s="15" t="str">
        <f>VLOOKUP(J286,DADOS!$A$3:$B$100,2,FALSE)</f>
        <v>EE-GI-001-007</v>
      </c>
      <c r="L286" s="15" t="s">
        <v>260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1</v>
      </c>
      <c r="W286" s="11" t="s">
        <v>279</v>
      </c>
      <c r="X286" s="12" t="s">
        <v>14</v>
      </c>
      <c r="Y286" s="12" t="s">
        <v>14</v>
      </c>
      <c r="Z286" s="13" t="s">
        <v>355</v>
      </c>
    </row>
    <row r="287" spans="1:26" ht="19.95" customHeight="1" x14ac:dyDescent="0.3">
      <c r="A287" s="6">
        <v>45699</v>
      </c>
      <c r="B287" s="7" t="s">
        <v>406</v>
      </c>
      <c r="C287" s="8" t="s">
        <v>2713</v>
      </c>
      <c r="D287" s="8" t="s">
        <v>1248</v>
      </c>
      <c r="E287" s="8" t="s">
        <v>2714</v>
      </c>
      <c r="F287" s="9" t="s">
        <v>2715</v>
      </c>
      <c r="G287" s="9" t="s">
        <v>2717</v>
      </c>
      <c r="H287" s="9" t="s">
        <v>2718</v>
      </c>
      <c r="I287" s="9" t="s">
        <v>69</v>
      </c>
      <c r="J287" s="10" t="s">
        <v>15</v>
      </c>
      <c r="K287" s="15" t="str">
        <f>VLOOKUP(J287,DADOS!$A$3:$B$100,2,FALSE)</f>
        <v>EE-GI-001-002</v>
      </c>
      <c r="L287" s="15" t="s">
        <v>260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1</v>
      </c>
      <c r="S287" s="17" t="b">
        <v>0</v>
      </c>
      <c r="T287" s="17" t="b">
        <v>0</v>
      </c>
      <c r="U287" s="17" t="b">
        <v>0</v>
      </c>
      <c r="V287" s="17" t="b">
        <v>0</v>
      </c>
      <c r="W287" s="11" t="s">
        <v>1248</v>
      </c>
      <c r="X287" s="12" t="s">
        <v>14</v>
      </c>
      <c r="Y287" s="12" t="s">
        <v>14</v>
      </c>
      <c r="Z287" s="13" t="s">
        <v>261</v>
      </c>
    </row>
    <row r="288" spans="1:26" ht="19.95" customHeight="1" x14ac:dyDescent="0.3">
      <c r="A288" s="6">
        <v>45699</v>
      </c>
      <c r="B288" s="7" t="s">
        <v>406</v>
      </c>
      <c r="C288" s="8" t="s">
        <v>2713</v>
      </c>
      <c r="D288" s="8" t="s">
        <v>268</v>
      </c>
      <c r="E288" s="8" t="s">
        <v>2714</v>
      </c>
      <c r="F288" s="9" t="s">
        <v>2716</v>
      </c>
      <c r="G288" s="9" t="s">
        <v>2717</v>
      </c>
      <c r="H288" s="9" t="s">
        <v>2718</v>
      </c>
      <c r="I288" s="9" t="s">
        <v>69</v>
      </c>
      <c r="J288" s="10" t="s">
        <v>15</v>
      </c>
      <c r="K288" s="15" t="str">
        <f>VLOOKUP(J288,DADOS!$A$3:$B$100,2,FALSE)</f>
        <v>EE-GI-001-002</v>
      </c>
      <c r="L288" s="15" t="s">
        <v>260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1</v>
      </c>
      <c r="S288" s="17" t="b">
        <v>0</v>
      </c>
      <c r="T288" s="17" t="b">
        <v>0</v>
      </c>
      <c r="U288" s="17" t="b">
        <v>0</v>
      </c>
      <c r="V288" s="17" t="b">
        <v>0</v>
      </c>
      <c r="W288" s="11" t="s">
        <v>268</v>
      </c>
      <c r="X288" s="12" t="s">
        <v>14</v>
      </c>
      <c r="Y288" s="12" t="s">
        <v>14</v>
      </c>
      <c r="Z288" s="13" t="s">
        <v>261</v>
      </c>
    </row>
    <row r="289" spans="1:26" ht="19.95" customHeight="1" x14ac:dyDescent="0.3">
      <c r="A289" s="6">
        <v>45699</v>
      </c>
      <c r="B289" s="7" t="s">
        <v>916</v>
      </c>
      <c r="C289" s="8" t="s">
        <v>2457</v>
      </c>
      <c r="D289" s="8" t="s">
        <v>1644</v>
      </c>
      <c r="E289" s="8" t="s">
        <v>2458</v>
      </c>
      <c r="F289" s="9" t="s">
        <v>2459</v>
      </c>
      <c r="G289" s="9" t="s">
        <v>2463</v>
      </c>
      <c r="H289" s="66" t="s">
        <v>2792</v>
      </c>
      <c r="I289" s="9" t="s">
        <v>70</v>
      </c>
      <c r="J289" s="10" t="s">
        <v>181</v>
      </c>
      <c r="K289" s="15" t="str">
        <f>VLOOKUP(J289,DADOS!$A$3:$B$100,2,FALSE)</f>
        <v>EE-GI-001-023</v>
      </c>
      <c r="L289" s="15" t="s">
        <v>260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1</v>
      </c>
      <c r="W289" s="11" t="s">
        <v>1644</v>
      </c>
      <c r="X289" s="12" t="s">
        <v>14</v>
      </c>
      <c r="Y289" s="12" t="s">
        <v>14</v>
      </c>
      <c r="Z289" s="13" t="s">
        <v>261</v>
      </c>
    </row>
    <row r="290" spans="1:26" ht="19.95" customHeight="1" x14ac:dyDescent="0.3">
      <c r="A290" s="6">
        <v>45699</v>
      </c>
      <c r="B290" s="7" t="s">
        <v>916</v>
      </c>
      <c r="C290" s="8" t="s">
        <v>2460</v>
      </c>
      <c r="D290" s="8" t="s">
        <v>408</v>
      </c>
      <c r="E290" s="8" t="s">
        <v>2458</v>
      </c>
      <c r="F290" s="9" t="s">
        <v>2461</v>
      </c>
      <c r="G290" s="9" t="s">
        <v>2462</v>
      </c>
      <c r="H290" s="66" t="s">
        <v>2793</v>
      </c>
      <c r="I290" s="9" t="s">
        <v>70</v>
      </c>
      <c r="J290" s="10" t="s">
        <v>181</v>
      </c>
      <c r="K290" s="15" t="str">
        <f>VLOOKUP(J290,DADOS!$A$3:$B$100,2,FALSE)</f>
        <v>EE-GI-001-023</v>
      </c>
      <c r="L290" s="15" t="s">
        <v>260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1</v>
      </c>
      <c r="W290" s="11" t="s">
        <v>408</v>
      </c>
      <c r="X290" s="12" t="s">
        <v>14</v>
      </c>
      <c r="Y290" s="12" t="s">
        <v>14</v>
      </c>
      <c r="Z290" s="13" t="s">
        <v>261</v>
      </c>
    </row>
    <row r="291" spans="1:26" ht="19.95" customHeight="1" x14ac:dyDescent="0.3">
      <c r="A291" s="6">
        <v>45699</v>
      </c>
      <c r="B291" s="7" t="s">
        <v>916</v>
      </c>
      <c r="C291" s="8" t="s">
        <v>1772</v>
      </c>
      <c r="D291" s="8" t="s">
        <v>269</v>
      </c>
      <c r="E291" s="8" t="s">
        <v>2458</v>
      </c>
      <c r="F291" s="9" t="s">
        <v>2604</v>
      </c>
      <c r="G291" s="9" t="s">
        <v>2605</v>
      </c>
      <c r="H291" s="9" t="s">
        <v>2606</v>
      </c>
      <c r="I291" s="9" t="s">
        <v>70</v>
      </c>
      <c r="J291" s="10" t="s">
        <v>17</v>
      </c>
      <c r="K291" s="15" t="str">
        <f>VLOOKUP(J291,DADOS!$A$3:$B$100,2,FALSE)</f>
        <v>EE-GI-001-001</v>
      </c>
      <c r="L291" s="15" t="s">
        <v>260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1</v>
      </c>
      <c r="W291" s="11" t="s">
        <v>269</v>
      </c>
      <c r="X291" s="12" t="s">
        <v>14</v>
      </c>
      <c r="Y291" s="12" t="s">
        <v>14</v>
      </c>
      <c r="Z291" s="13" t="s">
        <v>261</v>
      </c>
    </row>
    <row r="292" spans="1:26" ht="19.95" customHeight="1" x14ac:dyDescent="0.3">
      <c r="A292" s="6">
        <v>45699</v>
      </c>
      <c r="B292" s="7" t="s">
        <v>916</v>
      </c>
      <c r="C292" s="8" t="s">
        <v>1782</v>
      </c>
      <c r="D292" s="8" t="s">
        <v>281</v>
      </c>
      <c r="E292" s="8" t="s">
        <v>2458</v>
      </c>
      <c r="F292" s="9" t="s">
        <v>2607</v>
      </c>
      <c r="G292" s="9" t="s">
        <v>928</v>
      </c>
      <c r="H292" s="9" t="s">
        <v>2608</v>
      </c>
      <c r="I292" s="9" t="s">
        <v>70</v>
      </c>
      <c r="J292" s="10" t="s">
        <v>17</v>
      </c>
      <c r="K292" s="15" t="str">
        <f>VLOOKUP(J292,DADOS!$A$3:$B$100,2,FALSE)</f>
        <v>EE-GI-001-001</v>
      </c>
      <c r="L292" s="15" t="s">
        <v>260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1</v>
      </c>
      <c r="W292" s="11" t="s">
        <v>269</v>
      </c>
      <c r="X292" s="12" t="s">
        <v>14</v>
      </c>
      <c r="Y292" s="12" t="s">
        <v>14</v>
      </c>
      <c r="Z292" s="13" t="s">
        <v>261</v>
      </c>
    </row>
    <row r="293" spans="1:26" ht="19.95" customHeight="1" x14ac:dyDescent="0.3">
      <c r="A293" s="6">
        <v>45699</v>
      </c>
      <c r="B293" s="7" t="s">
        <v>916</v>
      </c>
      <c r="C293" s="8" t="s">
        <v>2609</v>
      </c>
      <c r="D293" s="8" t="s">
        <v>281</v>
      </c>
      <c r="E293" s="8" t="s">
        <v>2458</v>
      </c>
      <c r="F293" s="9" t="s">
        <v>2610</v>
      </c>
      <c r="G293" s="9" t="s">
        <v>2611</v>
      </c>
      <c r="H293" s="9" t="s">
        <v>2612</v>
      </c>
      <c r="I293" s="9" t="s">
        <v>69</v>
      </c>
      <c r="J293" s="10" t="s">
        <v>251</v>
      </c>
      <c r="K293" s="15" t="str">
        <f>VLOOKUP(J293,DADOS!$A$3:$B$100,2,FALSE)</f>
        <v>EE-GI-001-030</v>
      </c>
      <c r="L293" s="15" t="s">
        <v>260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1</v>
      </c>
      <c r="W293" s="11" t="s">
        <v>281</v>
      </c>
      <c r="X293" s="12" t="s">
        <v>14</v>
      </c>
      <c r="Y293" s="12" t="s">
        <v>14</v>
      </c>
      <c r="Z293" s="13" t="s">
        <v>261</v>
      </c>
    </row>
    <row r="294" spans="1:26" ht="19.95" customHeight="1" x14ac:dyDescent="0.3">
      <c r="A294" s="6">
        <v>45699</v>
      </c>
      <c r="B294" s="7" t="s">
        <v>916</v>
      </c>
      <c r="C294" s="8" t="s">
        <v>2609</v>
      </c>
      <c r="D294" s="8" t="s">
        <v>373</v>
      </c>
      <c r="E294" s="8" t="s">
        <v>2458</v>
      </c>
      <c r="F294" s="9" t="s">
        <v>2613</v>
      </c>
      <c r="G294" s="9" t="s">
        <v>2611</v>
      </c>
      <c r="H294" s="9" t="s">
        <v>2612</v>
      </c>
      <c r="I294" s="9" t="s">
        <v>69</v>
      </c>
      <c r="J294" s="10" t="s">
        <v>251</v>
      </c>
      <c r="K294" s="15" t="str">
        <f>VLOOKUP(J294,DADOS!$A$3:$B$100,2,FALSE)</f>
        <v>EE-GI-001-030</v>
      </c>
      <c r="L294" s="15" t="s">
        <v>260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1</v>
      </c>
      <c r="W294" s="11" t="s">
        <v>373</v>
      </c>
      <c r="X294" s="12" t="s">
        <v>14</v>
      </c>
      <c r="Y294" s="12" t="s">
        <v>14</v>
      </c>
      <c r="Z294" s="13" t="s">
        <v>261</v>
      </c>
    </row>
    <row r="295" spans="1:26" ht="19.95" customHeight="1" x14ac:dyDescent="0.3">
      <c r="A295" s="6">
        <v>45699</v>
      </c>
      <c r="B295" s="7" t="s">
        <v>916</v>
      </c>
      <c r="C295" s="8" t="s">
        <v>2609</v>
      </c>
      <c r="D295" s="8" t="s">
        <v>269</v>
      </c>
      <c r="E295" s="8" t="s">
        <v>2458</v>
      </c>
      <c r="F295" s="9" t="s">
        <v>2614</v>
      </c>
      <c r="G295" s="9" t="s">
        <v>2611</v>
      </c>
      <c r="H295" s="9" t="s">
        <v>2612</v>
      </c>
      <c r="I295" s="9" t="s">
        <v>69</v>
      </c>
      <c r="J295" s="10" t="s">
        <v>251</v>
      </c>
      <c r="K295" s="15" t="str">
        <f>VLOOKUP(J295,DADOS!$A$3:$B$100,2,FALSE)</f>
        <v>EE-GI-001-030</v>
      </c>
      <c r="L295" s="15" t="s">
        <v>260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1</v>
      </c>
      <c r="W295" s="11" t="s">
        <v>269</v>
      </c>
      <c r="X295" s="12" t="s">
        <v>14</v>
      </c>
      <c r="Y295" s="12" t="s">
        <v>14</v>
      </c>
      <c r="Z295" s="13" t="s">
        <v>261</v>
      </c>
    </row>
    <row r="296" spans="1:26" ht="19.95" customHeight="1" x14ac:dyDescent="0.3">
      <c r="A296" s="6">
        <v>45699</v>
      </c>
      <c r="B296" s="7" t="s">
        <v>916</v>
      </c>
      <c r="C296" s="8" t="s">
        <v>2609</v>
      </c>
      <c r="D296" s="8" t="s">
        <v>269</v>
      </c>
      <c r="E296" s="8" t="s">
        <v>2458</v>
      </c>
      <c r="F296" s="9" t="s">
        <v>2615</v>
      </c>
      <c r="G296" s="9" t="s">
        <v>2611</v>
      </c>
      <c r="H296" s="9" t="s">
        <v>2612</v>
      </c>
      <c r="I296" s="9" t="s">
        <v>69</v>
      </c>
      <c r="J296" s="10" t="s">
        <v>251</v>
      </c>
      <c r="K296" s="15" t="str">
        <f>VLOOKUP(J296,DADOS!$A$3:$B$100,2,FALSE)</f>
        <v>EE-GI-001-030</v>
      </c>
      <c r="L296" s="15" t="s">
        <v>260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1</v>
      </c>
      <c r="W296" s="11" t="s">
        <v>269</v>
      </c>
      <c r="X296" s="12" t="s">
        <v>14</v>
      </c>
      <c r="Y296" s="12" t="s">
        <v>14</v>
      </c>
      <c r="Z296" s="13" t="s">
        <v>261</v>
      </c>
    </row>
    <row r="297" spans="1:26" ht="19.95" customHeight="1" x14ac:dyDescent="0.3">
      <c r="A297" s="6">
        <v>45699</v>
      </c>
      <c r="B297" s="7" t="s">
        <v>916</v>
      </c>
      <c r="C297" s="8" t="s">
        <v>2689</v>
      </c>
      <c r="D297" s="8" t="s">
        <v>269</v>
      </c>
      <c r="E297" s="8" t="s">
        <v>2458</v>
      </c>
      <c r="F297" s="9" t="s">
        <v>2690</v>
      </c>
      <c r="G297" s="34"/>
      <c r="H297" s="9" t="s">
        <v>2691</v>
      </c>
      <c r="I297" s="9" t="s">
        <v>70</v>
      </c>
      <c r="J297" s="10" t="s">
        <v>17</v>
      </c>
      <c r="K297" s="15" t="str">
        <f>VLOOKUP(J297,DADOS!$A$3:$B$100,2,FALSE)</f>
        <v>EE-GI-001-001</v>
      </c>
      <c r="L297" s="15" t="s">
        <v>260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1</v>
      </c>
      <c r="W297" s="11" t="s">
        <v>269</v>
      </c>
      <c r="X297" s="12" t="s">
        <v>14</v>
      </c>
      <c r="Y297" s="12" t="s">
        <v>14</v>
      </c>
      <c r="Z297" s="13" t="s">
        <v>261</v>
      </c>
    </row>
    <row r="298" spans="1:26" ht="19.95" customHeight="1" x14ac:dyDescent="0.3">
      <c r="A298" s="6">
        <v>45700</v>
      </c>
      <c r="B298" s="7" t="s">
        <v>916</v>
      </c>
      <c r="C298" s="8" t="s">
        <v>2692</v>
      </c>
      <c r="D298" s="8" t="s">
        <v>364</v>
      </c>
      <c r="E298" s="8" t="s">
        <v>2458</v>
      </c>
      <c r="F298" s="9" t="s">
        <v>2694</v>
      </c>
      <c r="G298" s="9" t="s">
        <v>2422</v>
      </c>
      <c r="H298" s="9" t="s">
        <v>2693</v>
      </c>
      <c r="I298" s="9" t="s">
        <v>69</v>
      </c>
      <c r="J298" s="10" t="s">
        <v>251</v>
      </c>
      <c r="K298" s="15" t="str">
        <f>VLOOKUP(J298,DADOS!$A$3:$B$100,2,FALSE)</f>
        <v>EE-GI-001-030</v>
      </c>
      <c r="L298" s="15" t="s">
        <v>260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1</v>
      </c>
      <c r="W298" s="11" t="s">
        <v>364</v>
      </c>
      <c r="X298" s="12" t="s">
        <v>14</v>
      </c>
      <c r="Y298" s="12" t="s">
        <v>14</v>
      </c>
      <c r="Z298" s="13" t="s">
        <v>261</v>
      </c>
    </row>
    <row r="299" spans="1:26" ht="19.95" customHeight="1" x14ac:dyDescent="0.3">
      <c r="A299" s="6">
        <v>45700</v>
      </c>
      <c r="B299" s="7" t="s">
        <v>339</v>
      </c>
      <c r="C299" s="8" t="s">
        <v>2354</v>
      </c>
      <c r="D299" s="8" t="s">
        <v>269</v>
      </c>
      <c r="E299" s="8" t="s">
        <v>687</v>
      </c>
      <c r="F299" s="9" t="s">
        <v>2355</v>
      </c>
      <c r="G299" s="9" t="s">
        <v>2356</v>
      </c>
      <c r="H299" s="9" t="s">
        <v>14</v>
      </c>
      <c r="I299" s="9" t="s">
        <v>65</v>
      </c>
      <c r="J299" s="10" t="s">
        <v>251</v>
      </c>
      <c r="K299" s="15" t="str">
        <f>VLOOKUP(J299,DADOS!$A$3:$B$100,2,FALSE)</f>
        <v>EE-GI-001-030</v>
      </c>
      <c r="L299" s="15" t="s">
        <v>260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1</v>
      </c>
      <c r="W299" s="11" t="s">
        <v>269</v>
      </c>
      <c r="X299" s="12" t="s">
        <v>14</v>
      </c>
      <c r="Y299" s="12" t="s">
        <v>14</v>
      </c>
      <c r="Z299" s="13" t="s">
        <v>355</v>
      </c>
    </row>
    <row r="300" spans="1:26" ht="19.95" customHeight="1" x14ac:dyDescent="0.3">
      <c r="A300" s="6">
        <v>45700</v>
      </c>
      <c r="B300" s="7" t="s">
        <v>339</v>
      </c>
      <c r="C300" s="8" t="s">
        <v>2357</v>
      </c>
      <c r="D300" s="8" t="s">
        <v>269</v>
      </c>
      <c r="E300" s="8" t="s">
        <v>687</v>
      </c>
      <c r="F300" s="9" t="s">
        <v>2358</v>
      </c>
      <c r="G300" s="9" t="s">
        <v>2347</v>
      </c>
      <c r="H300" s="9" t="s">
        <v>14</v>
      </c>
      <c r="I300" s="9" t="s">
        <v>69</v>
      </c>
      <c r="J300" s="10" t="s">
        <v>251</v>
      </c>
      <c r="K300" s="15" t="str">
        <f>VLOOKUP(J300,DADOS!$A$3:$B$100,2,FALSE)</f>
        <v>EE-GI-001-030</v>
      </c>
      <c r="L300" s="15" t="s">
        <v>260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1</v>
      </c>
      <c r="W300" s="11" t="s">
        <v>269</v>
      </c>
      <c r="X300" s="12" t="s">
        <v>14</v>
      </c>
      <c r="Y300" s="12" t="s">
        <v>14</v>
      </c>
      <c r="Z300" s="13" t="s">
        <v>355</v>
      </c>
    </row>
    <row r="301" spans="1:26" ht="19.95" customHeight="1" x14ac:dyDescent="0.3">
      <c r="A301" s="6">
        <v>45700</v>
      </c>
      <c r="B301" s="7" t="s">
        <v>546</v>
      </c>
      <c r="C301" s="8" t="s">
        <v>547</v>
      </c>
      <c r="D301" s="8" t="s">
        <v>434</v>
      </c>
      <c r="E301" s="8" t="s">
        <v>548</v>
      </c>
      <c r="F301" s="9" t="s">
        <v>549</v>
      </c>
      <c r="G301" s="9" t="s">
        <v>550</v>
      </c>
      <c r="H301" s="9" t="s">
        <v>729</v>
      </c>
      <c r="I301" s="9" t="s">
        <v>97</v>
      </c>
      <c r="J301" s="10" t="s">
        <v>173</v>
      </c>
      <c r="K301" s="15" t="str">
        <f>VLOOKUP(J301,DADOS!$A$3:$B$100,2,FALSE)</f>
        <v>EE-GI-001-006</v>
      </c>
      <c r="L301" s="15" t="s">
        <v>260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1</v>
      </c>
      <c r="S301" s="17" t="b">
        <v>0</v>
      </c>
      <c r="T301" s="17" t="b">
        <v>0</v>
      </c>
      <c r="U301" s="17" t="b">
        <v>0</v>
      </c>
      <c r="V301" s="17" t="b">
        <v>0</v>
      </c>
      <c r="W301" s="11" t="s">
        <v>434</v>
      </c>
      <c r="X301" s="12" t="s">
        <v>14</v>
      </c>
      <c r="Y301" s="12" t="s">
        <v>14</v>
      </c>
      <c r="Z301" s="13" t="s">
        <v>261</v>
      </c>
    </row>
    <row r="302" spans="1:26" ht="19.95" customHeight="1" x14ac:dyDescent="0.3">
      <c r="A302" s="6">
        <v>45700</v>
      </c>
      <c r="B302" s="7" t="s">
        <v>546</v>
      </c>
      <c r="C302" s="8" t="s">
        <v>551</v>
      </c>
      <c r="D302" s="8" t="s">
        <v>434</v>
      </c>
      <c r="E302" s="8" t="s">
        <v>548</v>
      </c>
      <c r="F302" s="9" t="s">
        <v>552</v>
      </c>
      <c r="G302" s="9" t="s">
        <v>553</v>
      </c>
      <c r="H302" s="9" t="s">
        <v>729</v>
      </c>
      <c r="I302" s="9" t="s">
        <v>96</v>
      </c>
      <c r="J302" s="10" t="s">
        <v>173</v>
      </c>
      <c r="K302" s="15" t="str">
        <f>VLOOKUP(J302,DADOS!$A$3:$B$100,2,FALSE)</f>
        <v>EE-GI-001-006</v>
      </c>
      <c r="L302" s="15" t="s">
        <v>260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1</v>
      </c>
      <c r="S302" s="17" t="b">
        <v>0</v>
      </c>
      <c r="T302" s="17" t="b">
        <v>0</v>
      </c>
      <c r="U302" s="17" t="b">
        <v>0</v>
      </c>
      <c r="V302" s="17" t="b">
        <v>0</v>
      </c>
      <c r="W302" s="11" t="s">
        <v>434</v>
      </c>
      <c r="X302" s="12" t="s">
        <v>14</v>
      </c>
      <c r="Y302" s="12" t="s">
        <v>14</v>
      </c>
      <c r="Z302" s="13" t="s">
        <v>261</v>
      </c>
    </row>
    <row r="303" spans="1:26" ht="19.95" customHeight="1" x14ac:dyDescent="0.3">
      <c r="A303" s="6">
        <v>45700</v>
      </c>
      <c r="B303" s="7" t="s">
        <v>2710</v>
      </c>
      <c r="C303" s="8" t="s">
        <v>554</v>
      </c>
      <c r="D303" s="8" t="s">
        <v>268</v>
      </c>
      <c r="E303" s="8" t="s">
        <v>555</v>
      </c>
      <c r="F303" s="9" t="s">
        <v>556</v>
      </c>
      <c r="G303" s="9" t="s">
        <v>557</v>
      </c>
      <c r="H303" s="9" t="s">
        <v>558</v>
      </c>
      <c r="I303" s="9" t="s">
        <v>65</v>
      </c>
      <c r="J303" s="10" t="s">
        <v>181</v>
      </c>
      <c r="K303" s="15" t="str">
        <f>VLOOKUP(J303,DADOS!$A$3:$B$100,2,FALSE)</f>
        <v>EE-GI-001-023</v>
      </c>
      <c r="L303" s="15" t="s">
        <v>260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1</v>
      </c>
      <c r="S303" s="17" t="b">
        <v>0</v>
      </c>
      <c r="T303" s="17" t="b">
        <v>0</v>
      </c>
      <c r="U303" s="17" t="b">
        <v>0</v>
      </c>
      <c r="V303" s="17" t="b">
        <v>0</v>
      </c>
      <c r="W303" s="11" t="s">
        <v>268</v>
      </c>
      <c r="X303" s="12" t="s">
        <v>14</v>
      </c>
      <c r="Y303" s="12" t="s">
        <v>14</v>
      </c>
      <c r="Z303" s="13" t="s">
        <v>261</v>
      </c>
    </row>
    <row r="304" spans="1:26" ht="19.95" customHeight="1" x14ac:dyDescent="0.3">
      <c r="A304" s="6">
        <v>45700</v>
      </c>
      <c r="B304" s="7" t="s">
        <v>2710</v>
      </c>
      <c r="C304" s="8" t="s">
        <v>560</v>
      </c>
      <c r="D304" s="8" t="s">
        <v>414</v>
      </c>
      <c r="E304" s="8" t="s">
        <v>555</v>
      </c>
      <c r="F304" s="9" t="s">
        <v>561</v>
      </c>
      <c r="G304" s="9" t="s">
        <v>559</v>
      </c>
      <c r="H304" s="9" t="s">
        <v>558</v>
      </c>
      <c r="I304" s="9" t="s">
        <v>65</v>
      </c>
      <c r="J304" s="10" t="s">
        <v>181</v>
      </c>
      <c r="K304" s="15" t="str">
        <f>VLOOKUP(J304,DADOS!$A$3:$B$100,2,FALSE)</f>
        <v>EE-GI-001-023</v>
      </c>
      <c r="L304" s="15" t="s">
        <v>260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0</v>
      </c>
      <c r="U304" s="17" t="b">
        <v>0</v>
      </c>
      <c r="V304" s="17" t="b">
        <v>0</v>
      </c>
      <c r="W304" s="11" t="s">
        <v>414</v>
      </c>
      <c r="X304" s="12" t="s">
        <v>14</v>
      </c>
      <c r="Y304" s="12" t="s">
        <v>14</v>
      </c>
      <c r="Z304" s="13" t="s">
        <v>261</v>
      </c>
    </row>
    <row r="305" spans="1:26" ht="19.95" customHeight="1" x14ac:dyDescent="0.3">
      <c r="A305" s="6">
        <v>45700</v>
      </c>
      <c r="B305" s="7" t="s">
        <v>629</v>
      </c>
      <c r="C305" s="8" t="s">
        <v>630</v>
      </c>
      <c r="D305" s="8" t="s">
        <v>364</v>
      </c>
      <c r="E305" s="8" t="s">
        <v>631</v>
      </c>
      <c r="F305" s="9" t="s">
        <v>632</v>
      </c>
      <c r="G305" s="9" t="s">
        <v>367</v>
      </c>
      <c r="H305" s="9" t="s">
        <v>633</v>
      </c>
      <c r="I305" s="9" t="s">
        <v>14</v>
      </c>
      <c r="J305" s="10" t="s">
        <v>14</v>
      </c>
      <c r="K305" s="15" t="e">
        <f>VLOOKUP(J305,DADOS!$A$3:$B$100,2,FALSE)</f>
        <v>#N/A</v>
      </c>
      <c r="L305" s="15" t="s">
        <v>303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0</v>
      </c>
      <c r="S305" s="17" t="b">
        <v>0</v>
      </c>
      <c r="T305" s="17" t="b">
        <v>0</v>
      </c>
      <c r="U305" s="17" t="b">
        <v>0</v>
      </c>
      <c r="V305" s="17" t="b">
        <v>1</v>
      </c>
      <c r="W305" s="11" t="s">
        <v>364</v>
      </c>
      <c r="X305" s="12" t="s">
        <v>14</v>
      </c>
      <c r="Y305" s="12" t="s">
        <v>14</v>
      </c>
      <c r="Z305" s="13" t="s">
        <v>261</v>
      </c>
    </row>
    <row r="306" spans="1:26" ht="19.95" customHeight="1" x14ac:dyDescent="0.3">
      <c r="A306" s="6">
        <v>45700</v>
      </c>
      <c r="B306" s="7" t="s">
        <v>930</v>
      </c>
      <c r="C306" s="8" t="s">
        <v>2495</v>
      </c>
      <c r="D306" s="8" t="s">
        <v>364</v>
      </c>
      <c r="E306" s="8" t="s">
        <v>2496</v>
      </c>
      <c r="F306" s="9" t="s">
        <v>2497</v>
      </c>
      <c r="G306" s="9" t="s">
        <v>2498</v>
      </c>
      <c r="H306" s="9" t="s">
        <v>2499</v>
      </c>
      <c r="I306" s="9" t="s">
        <v>69</v>
      </c>
      <c r="J306" s="10" t="s">
        <v>173</v>
      </c>
      <c r="K306" s="15" t="str">
        <f>VLOOKUP(J306,DADOS!$A$3:$B$100,2,FALSE)</f>
        <v>EE-GI-001-006</v>
      </c>
      <c r="L306" s="15" t="s">
        <v>1955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0</v>
      </c>
      <c r="S306" s="17" t="b">
        <v>0</v>
      </c>
      <c r="T306" s="17" t="b">
        <v>0</v>
      </c>
      <c r="U306" s="17" t="b">
        <v>0</v>
      </c>
      <c r="V306" s="17" t="b">
        <v>1</v>
      </c>
      <c r="W306" s="11" t="s">
        <v>364</v>
      </c>
      <c r="X306" s="12" t="s">
        <v>14</v>
      </c>
      <c r="Y306" s="12" t="s">
        <v>14</v>
      </c>
      <c r="Z306" s="13" t="s">
        <v>261</v>
      </c>
    </row>
    <row r="307" spans="1:26" ht="19.95" customHeight="1" x14ac:dyDescent="0.3">
      <c r="A307" s="6">
        <v>45700</v>
      </c>
      <c r="B307" s="7" t="s">
        <v>930</v>
      </c>
      <c r="C307" s="8" t="s">
        <v>2500</v>
      </c>
      <c r="D307" s="8" t="s">
        <v>281</v>
      </c>
      <c r="E307" s="8" t="s">
        <v>2496</v>
      </c>
      <c r="F307" s="9" t="s">
        <v>2501</v>
      </c>
      <c r="G307" s="9" t="s">
        <v>2502</v>
      </c>
      <c r="H307" s="9" t="s">
        <v>2499</v>
      </c>
      <c r="I307" s="9" t="s">
        <v>69</v>
      </c>
      <c r="J307" s="10" t="s">
        <v>173</v>
      </c>
      <c r="K307" s="15" t="str">
        <f>VLOOKUP(J307,DADOS!$A$3:$B$100,2,FALSE)</f>
        <v>EE-GI-001-006</v>
      </c>
      <c r="L307" s="15" t="s">
        <v>1955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0</v>
      </c>
      <c r="S307" s="17" t="b">
        <v>0</v>
      </c>
      <c r="T307" s="17" t="b">
        <v>0</v>
      </c>
      <c r="U307" s="17" t="b">
        <v>0</v>
      </c>
      <c r="V307" s="17" t="b">
        <v>1</v>
      </c>
      <c r="W307" s="11" t="s">
        <v>281</v>
      </c>
      <c r="X307" s="12" t="s">
        <v>14</v>
      </c>
      <c r="Y307" s="12" t="s">
        <v>14</v>
      </c>
      <c r="Z307" s="13" t="s">
        <v>261</v>
      </c>
    </row>
    <row r="308" spans="1:26" ht="19.95" customHeight="1" x14ac:dyDescent="0.3">
      <c r="A308" s="6">
        <v>45700</v>
      </c>
      <c r="B308" s="7" t="s">
        <v>916</v>
      </c>
      <c r="C308" s="8" t="s">
        <v>2648</v>
      </c>
      <c r="D308" s="8" t="s">
        <v>458</v>
      </c>
      <c r="E308" s="8" t="s">
        <v>2649</v>
      </c>
      <c r="F308" s="9" t="s">
        <v>2508</v>
      </c>
      <c r="G308" s="9" t="s">
        <v>2509</v>
      </c>
      <c r="H308" s="9" t="s">
        <v>2650</v>
      </c>
      <c r="I308" s="9" t="s">
        <v>70</v>
      </c>
      <c r="J308" s="10" t="s">
        <v>17</v>
      </c>
      <c r="K308" s="15" t="str">
        <f>VLOOKUP(J308,DADOS!$A$3:$B$100,2,FALSE)</f>
        <v>EE-GI-001-001</v>
      </c>
      <c r="L308" s="15" t="s">
        <v>260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0</v>
      </c>
      <c r="S308" s="17" t="b">
        <v>0</v>
      </c>
      <c r="T308" s="17" t="b">
        <v>0</v>
      </c>
      <c r="U308" s="17" t="b">
        <v>0</v>
      </c>
      <c r="V308" s="17" t="b">
        <v>1</v>
      </c>
      <c r="W308" s="11" t="s">
        <v>458</v>
      </c>
      <c r="X308" s="12" t="s">
        <v>14</v>
      </c>
      <c r="Y308" s="12" t="s">
        <v>14</v>
      </c>
      <c r="Z308" s="13" t="s">
        <v>2536</v>
      </c>
    </row>
    <row r="309" spans="1:26" ht="19.95" customHeight="1" x14ac:dyDescent="0.3">
      <c r="A309" s="6">
        <v>45700</v>
      </c>
      <c r="B309" s="7" t="s">
        <v>916</v>
      </c>
      <c r="C309" s="8" t="s">
        <v>2648</v>
      </c>
      <c r="D309" s="8" t="s">
        <v>277</v>
      </c>
      <c r="E309" s="8" t="s">
        <v>2649</v>
      </c>
      <c r="F309" s="9" t="s">
        <v>2508</v>
      </c>
      <c r="G309" s="9" t="s">
        <v>2509</v>
      </c>
      <c r="H309" s="9" t="s">
        <v>2650</v>
      </c>
      <c r="I309" s="9" t="s">
        <v>70</v>
      </c>
      <c r="J309" s="10" t="s">
        <v>17</v>
      </c>
      <c r="K309" s="15" t="str">
        <f>VLOOKUP(J309,DADOS!$A$3:$B$100,2,FALSE)</f>
        <v>EE-GI-001-001</v>
      </c>
      <c r="L309" s="15" t="s">
        <v>260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0</v>
      </c>
      <c r="S309" s="17" t="b">
        <v>0</v>
      </c>
      <c r="T309" s="17" t="b">
        <v>0</v>
      </c>
      <c r="U309" s="17" t="b">
        <v>0</v>
      </c>
      <c r="V309" s="17" t="b">
        <v>1</v>
      </c>
      <c r="W309" s="11" t="s">
        <v>277</v>
      </c>
      <c r="X309" s="12" t="s">
        <v>14</v>
      </c>
      <c r="Y309" s="12" t="s">
        <v>14</v>
      </c>
      <c r="Z309" s="13" t="s">
        <v>2536</v>
      </c>
    </row>
    <row r="310" spans="1:26" ht="19.95" customHeight="1" x14ac:dyDescent="0.3">
      <c r="A310" s="6">
        <v>45700</v>
      </c>
      <c r="B310" s="7" t="s">
        <v>2781</v>
      </c>
      <c r="C310" s="8" t="s">
        <v>2782</v>
      </c>
      <c r="D310" s="8" t="s">
        <v>287</v>
      </c>
      <c r="E310" s="8" t="s">
        <v>2783</v>
      </c>
      <c r="F310" s="9" t="s">
        <v>2784</v>
      </c>
      <c r="G310" s="9" t="s">
        <v>2785</v>
      </c>
      <c r="H310" s="9" t="s">
        <v>2785</v>
      </c>
      <c r="I310" s="9" t="s">
        <v>69</v>
      </c>
      <c r="J310" s="10" t="s">
        <v>184</v>
      </c>
      <c r="K310" s="15" t="str">
        <f>VLOOKUP(J310,DADOS!$A$3:$B$100,2,FALSE)</f>
        <v>EE-GI-001-026</v>
      </c>
      <c r="L310" s="15" t="s">
        <v>260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1</v>
      </c>
      <c r="W310" s="11" t="s">
        <v>287</v>
      </c>
      <c r="X310" s="12" t="s">
        <v>14</v>
      </c>
      <c r="Y310" s="12" t="s">
        <v>14</v>
      </c>
      <c r="Z310" s="13" t="s">
        <v>261</v>
      </c>
    </row>
    <row r="311" spans="1:26" ht="19.95" customHeight="1" x14ac:dyDescent="0.3">
      <c r="A311" s="6">
        <v>45700</v>
      </c>
      <c r="B311" s="7" t="s">
        <v>2781</v>
      </c>
      <c r="C311" s="8" t="s">
        <v>2782</v>
      </c>
      <c r="D311" s="8" t="s">
        <v>281</v>
      </c>
      <c r="E311" s="8" t="s">
        <v>2783</v>
      </c>
      <c r="F311" s="9" t="s">
        <v>2786</v>
      </c>
      <c r="G311" s="9" t="s">
        <v>2787</v>
      </c>
      <c r="H311" s="9" t="s">
        <v>2787</v>
      </c>
      <c r="I311" s="9" t="s">
        <v>69</v>
      </c>
      <c r="J311" s="10" t="s">
        <v>184</v>
      </c>
      <c r="K311" s="15" t="str">
        <f>VLOOKUP(J311,DADOS!$A$3:$B$100,2,FALSE)</f>
        <v>EE-GI-001-026</v>
      </c>
      <c r="L311" s="15" t="s">
        <v>260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0</v>
      </c>
      <c r="S311" s="17" t="b">
        <v>0</v>
      </c>
      <c r="T311" s="17" t="b">
        <v>0</v>
      </c>
      <c r="U311" s="17" t="b">
        <v>0</v>
      </c>
      <c r="V311" s="17" t="b">
        <v>1</v>
      </c>
      <c r="W311" s="11" t="s">
        <v>281</v>
      </c>
      <c r="X311" s="12" t="s">
        <v>14</v>
      </c>
      <c r="Y311" s="12" t="s">
        <v>14</v>
      </c>
      <c r="Z311" s="13" t="s">
        <v>261</v>
      </c>
    </row>
    <row r="312" spans="1:26" ht="19.95" customHeight="1" x14ac:dyDescent="0.3">
      <c r="A312" s="6">
        <v>45701</v>
      </c>
      <c r="B312" s="7" t="s">
        <v>254</v>
      </c>
      <c r="C312" s="8" t="s">
        <v>292</v>
      </c>
      <c r="D312" s="8" t="s">
        <v>364</v>
      </c>
      <c r="E312" s="8" t="s">
        <v>634</v>
      </c>
      <c r="F312" s="9" t="s">
        <v>635</v>
      </c>
      <c r="G312" s="9" t="s">
        <v>273</v>
      </c>
      <c r="H312" s="9" t="s">
        <v>636</v>
      </c>
      <c r="I312" s="9" t="s">
        <v>65</v>
      </c>
      <c r="J312" s="10" t="s">
        <v>16</v>
      </c>
      <c r="K312" s="15" t="str">
        <f>VLOOKUP(J312,DADOS!$A$3:$B$100,2,FALSE)</f>
        <v>EE-GI-001-003</v>
      </c>
      <c r="L312" s="15" t="s">
        <v>260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1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281</v>
      </c>
      <c r="X312" s="12" t="s">
        <v>269</v>
      </c>
      <c r="Y312" s="12" t="s">
        <v>637</v>
      </c>
      <c r="Z312" s="12" t="s">
        <v>261</v>
      </c>
    </row>
    <row r="313" spans="1:26" ht="19.95" customHeight="1" x14ac:dyDescent="0.3">
      <c r="A313" s="6">
        <v>45701</v>
      </c>
      <c r="B313" s="7" t="s">
        <v>254</v>
      </c>
      <c r="C313" s="8" t="s">
        <v>638</v>
      </c>
      <c r="D313" s="8" t="s">
        <v>364</v>
      </c>
      <c r="E313" s="8" t="s">
        <v>640</v>
      </c>
      <c r="F313" s="9" t="s">
        <v>641</v>
      </c>
      <c r="G313" s="9" t="s">
        <v>643</v>
      </c>
      <c r="H313" s="9" t="s">
        <v>644</v>
      </c>
      <c r="I313" s="9" t="s">
        <v>69</v>
      </c>
      <c r="J313" s="10" t="s">
        <v>15</v>
      </c>
      <c r="K313" s="15" t="str">
        <f>VLOOKUP(J313,DADOS!$A$3:$B$100,2,FALSE)</f>
        <v>EE-GI-001-002</v>
      </c>
      <c r="L313" s="15" t="s">
        <v>260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1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14</v>
      </c>
      <c r="X313" s="12" t="s">
        <v>364</v>
      </c>
      <c r="Y313" s="12" t="s">
        <v>645</v>
      </c>
      <c r="Z313" s="12" t="s">
        <v>261</v>
      </c>
    </row>
    <row r="314" spans="1:26" ht="19.95" customHeight="1" x14ac:dyDescent="0.3">
      <c r="A314" s="6">
        <v>45701</v>
      </c>
      <c r="B314" s="7" t="s">
        <v>254</v>
      </c>
      <c r="C314" s="8" t="s">
        <v>638</v>
      </c>
      <c r="D314" s="8" t="s">
        <v>269</v>
      </c>
      <c r="E314" s="8" t="s">
        <v>640</v>
      </c>
      <c r="F314" s="9" t="s">
        <v>642</v>
      </c>
      <c r="G314" s="9" t="s">
        <v>643</v>
      </c>
      <c r="H314" s="9" t="s">
        <v>644</v>
      </c>
      <c r="I314" s="9" t="s">
        <v>69</v>
      </c>
      <c r="J314" s="10" t="s">
        <v>15</v>
      </c>
      <c r="K314" s="15" t="str">
        <f>VLOOKUP(J314,DADOS!$A$3:$B$100,2,FALSE)</f>
        <v>EE-GI-001-002</v>
      </c>
      <c r="L314" s="15" t="s">
        <v>260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1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14</v>
      </c>
      <c r="X314" s="12" t="s">
        <v>269</v>
      </c>
      <c r="Y314" s="12" t="s">
        <v>645</v>
      </c>
      <c r="Z314" s="12" t="s">
        <v>261</v>
      </c>
    </row>
    <row r="315" spans="1:26" ht="19.95" customHeight="1" x14ac:dyDescent="0.3">
      <c r="A315" s="6">
        <v>45701</v>
      </c>
      <c r="B315" s="7" t="s">
        <v>254</v>
      </c>
      <c r="C315" s="8" t="s">
        <v>646</v>
      </c>
      <c r="D315" s="8" t="s">
        <v>364</v>
      </c>
      <c r="E315" s="8" t="s">
        <v>648</v>
      </c>
      <c r="F315" s="9" t="s">
        <v>650</v>
      </c>
      <c r="G315" s="9" t="s">
        <v>651</v>
      </c>
      <c r="H315" s="9" t="s">
        <v>652</v>
      </c>
      <c r="I315" s="9" t="s">
        <v>69</v>
      </c>
      <c r="J315" s="10" t="s">
        <v>15</v>
      </c>
      <c r="K315" s="15" t="str">
        <f>VLOOKUP(J315,DADOS!$A$3:$B$100,2,FALSE)</f>
        <v>EE-GI-001-002</v>
      </c>
      <c r="L315" s="15" t="s">
        <v>260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1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364</v>
      </c>
      <c r="X315" s="12" t="s">
        <v>14</v>
      </c>
      <c r="Y315" s="12" t="s">
        <v>14</v>
      </c>
      <c r="Z315" s="13" t="s">
        <v>261</v>
      </c>
    </row>
    <row r="316" spans="1:26" ht="19.95" customHeight="1" x14ac:dyDescent="0.3">
      <c r="A316" s="6">
        <v>45701</v>
      </c>
      <c r="B316" s="7" t="s">
        <v>254</v>
      </c>
      <c r="C316" s="8" t="s">
        <v>647</v>
      </c>
      <c r="D316" s="8" t="s">
        <v>281</v>
      </c>
      <c r="E316" s="8" t="s">
        <v>648</v>
      </c>
      <c r="F316" s="9" t="s">
        <v>649</v>
      </c>
      <c r="G316" s="9" t="s">
        <v>651</v>
      </c>
      <c r="H316" s="9" t="s">
        <v>652</v>
      </c>
      <c r="I316" s="9" t="s">
        <v>69</v>
      </c>
      <c r="J316" s="10" t="s">
        <v>15</v>
      </c>
      <c r="K316" s="15" t="str">
        <f>VLOOKUP(J316,DADOS!$A$3:$B$100,2,FALSE)</f>
        <v>EE-GI-001-002</v>
      </c>
      <c r="L316" s="15" t="s">
        <v>303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1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281</v>
      </c>
      <c r="X316" s="12" t="s">
        <v>14</v>
      </c>
      <c r="Y316" s="12" t="s">
        <v>14</v>
      </c>
      <c r="Z316" s="13" t="s">
        <v>261</v>
      </c>
    </row>
    <row r="317" spans="1:26" ht="19.95" customHeight="1" x14ac:dyDescent="0.3">
      <c r="A317" s="6">
        <v>45701</v>
      </c>
      <c r="B317" s="7" t="s">
        <v>254</v>
      </c>
      <c r="C317" s="8" t="s">
        <v>280</v>
      </c>
      <c r="D317" s="8" t="s">
        <v>269</v>
      </c>
      <c r="E317" s="8" t="s">
        <v>653</v>
      </c>
      <c r="F317" s="9" t="s">
        <v>654</v>
      </c>
      <c r="G317" s="9" t="s">
        <v>655</v>
      </c>
      <c r="H317" s="9" t="s">
        <v>672</v>
      </c>
      <c r="I317" s="9" t="s">
        <v>65</v>
      </c>
      <c r="J317" s="10" t="s">
        <v>15</v>
      </c>
      <c r="K317" s="15" t="str">
        <f>VLOOKUP(J317,DADOS!$A$3:$B$100,2,FALSE)</f>
        <v>EE-GI-001-002</v>
      </c>
      <c r="L317" s="15" t="s">
        <v>260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1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269</v>
      </c>
      <c r="X317" s="12" t="s">
        <v>14</v>
      </c>
      <c r="Y317" s="12" t="s">
        <v>14</v>
      </c>
      <c r="Z317" s="13" t="s">
        <v>261</v>
      </c>
    </row>
    <row r="318" spans="1:26" ht="19.95" customHeight="1" x14ac:dyDescent="0.3">
      <c r="A318" s="6">
        <v>45701</v>
      </c>
      <c r="B318" s="7" t="s">
        <v>254</v>
      </c>
      <c r="C318" s="8" t="s">
        <v>657</v>
      </c>
      <c r="D318" s="8" t="s">
        <v>269</v>
      </c>
      <c r="E318" s="8" t="s">
        <v>639</v>
      </c>
      <c r="F318" s="9" t="s">
        <v>656</v>
      </c>
      <c r="G318" s="9" t="s">
        <v>659</v>
      </c>
      <c r="H318" s="9" t="s">
        <v>1537</v>
      </c>
      <c r="I318" s="9" t="s">
        <v>69</v>
      </c>
      <c r="J318" s="10" t="s">
        <v>15</v>
      </c>
      <c r="K318" s="15" t="str">
        <f>VLOOKUP(J318,DADOS!$A$3:$B$100,2,FALSE)</f>
        <v>EE-GI-001-002</v>
      </c>
      <c r="L318" s="15" t="s">
        <v>303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1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269</v>
      </c>
      <c r="X318" s="12" t="s">
        <v>14</v>
      </c>
      <c r="Y318" s="12" t="s">
        <v>14</v>
      </c>
      <c r="Z318" s="13" t="s">
        <v>261</v>
      </c>
    </row>
    <row r="319" spans="1:26" ht="19.95" customHeight="1" x14ac:dyDescent="0.3">
      <c r="A319" s="6">
        <v>45701</v>
      </c>
      <c r="B319" s="7" t="s">
        <v>254</v>
      </c>
      <c r="C319" s="8" t="s">
        <v>660</v>
      </c>
      <c r="D319" s="8" t="s">
        <v>281</v>
      </c>
      <c r="E319" s="8" t="s">
        <v>661</v>
      </c>
      <c r="F319" s="9" t="s">
        <v>662</v>
      </c>
      <c r="G319" s="9" t="s">
        <v>663</v>
      </c>
      <c r="H319" s="9" t="s">
        <v>673</v>
      </c>
      <c r="I319" s="9" t="s">
        <v>66</v>
      </c>
      <c r="J319" s="10" t="s">
        <v>15</v>
      </c>
      <c r="K319" s="15" t="str">
        <f>VLOOKUP(J319,DADOS!$A$3:$B$100,2,FALSE)</f>
        <v>EE-GI-001-002</v>
      </c>
      <c r="L319" s="15" t="s">
        <v>260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1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281</v>
      </c>
      <c r="X319" s="12" t="s">
        <v>14</v>
      </c>
      <c r="Y319" s="12" t="s">
        <v>14</v>
      </c>
      <c r="Z319" s="13" t="s">
        <v>261</v>
      </c>
    </row>
    <row r="320" spans="1:26" ht="19.95" customHeight="1" x14ac:dyDescent="0.3">
      <c r="A320" s="6">
        <v>45701</v>
      </c>
      <c r="B320" s="7" t="s">
        <v>254</v>
      </c>
      <c r="C320" s="8" t="s">
        <v>664</v>
      </c>
      <c r="D320" s="8" t="s">
        <v>364</v>
      </c>
      <c r="E320" s="8" t="s">
        <v>666</v>
      </c>
      <c r="F320" s="9" t="s">
        <v>667</v>
      </c>
      <c r="G320" s="9" t="s">
        <v>670</v>
      </c>
      <c r="H320" s="9" t="s">
        <v>671</v>
      </c>
      <c r="I320" s="9" t="s">
        <v>70</v>
      </c>
      <c r="J320" s="10" t="s">
        <v>186</v>
      </c>
      <c r="K320" s="15" t="str">
        <f>VLOOKUP(J320,DADOS!$A$3:$B$100,2,FALSE)</f>
        <v>EE-GI-001-008</v>
      </c>
      <c r="L320" s="15" t="s">
        <v>303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0</v>
      </c>
      <c r="W320" s="11" t="s">
        <v>364</v>
      </c>
      <c r="X320" s="12" t="s">
        <v>14</v>
      </c>
      <c r="Y320" s="12" t="s">
        <v>14</v>
      </c>
      <c r="Z320" s="13" t="s">
        <v>261</v>
      </c>
    </row>
    <row r="321" spans="1:26" ht="19.95" customHeight="1" x14ac:dyDescent="0.3">
      <c r="A321" s="6">
        <v>45701</v>
      </c>
      <c r="B321" s="7" t="s">
        <v>254</v>
      </c>
      <c r="C321" s="8" t="s">
        <v>664</v>
      </c>
      <c r="D321" s="8" t="s">
        <v>269</v>
      </c>
      <c r="E321" s="8" t="s">
        <v>666</v>
      </c>
      <c r="F321" s="9" t="s">
        <v>677</v>
      </c>
      <c r="G321" s="9" t="s">
        <v>670</v>
      </c>
      <c r="H321" s="9" t="s">
        <v>671</v>
      </c>
      <c r="I321" s="9" t="s">
        <v>70</v>
      </c>
      <c r="J321" s="10" t="s">
        <v>186</v>
      </c>
      <c r="K321" s="15" t="str">
        <f>VLOOKUP(J321,DADOS!$A$3:$B$100,2,FALSE)</f>
        <v>EE-GI-001-008</v>
      </c>
      <c r="L321" s="15" t="s">
        <v>303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0</v>
      </c>
      <c r="W321" s="11" t="s">
        <v>269</v>
      </c>
      <c r="X321" s="12" t="s">
        <v>14</v>
      </c>
      <c r="Y321" s="12" t="s">
        <v>14</v>
      </c>
      <c r="Z321" s="13" t="s">
        <v>261</v>
      </c>
    </row>
    <row r="322" spans="1:26" ht="19.95" customHeight="1" x14ac:dyDescent="0.3">
      <c r="A322" s="6">
        <v>45701</v>
      </c>
      <c r="B322" s="7" t="s">
        <v>254</v>
      </c>
      <c r="C322" s="8" t="s">
        <v>664</v>
      </c>
      <c r="D322" s="8" t="s">
        <v>269</v>
      </c>
      <c r="E322" s="8" t="s">
        <v>668</v>
      </c>
      <c r="F322" s="9" t="s">
        <v>669</v>
      </c>
      <c r="G322" s="9" t="s">
        <v>670</v>
      </c>
      <c r="H322" s="9" t="s">
        <v>1538</v>
      </c>
      <c r="I322" s="9" t="s">
        <v>70</v>
      </c>
      <c r="J322" s="10" t="s">
        <v>186</v>
      </c>
      <c r="K322" s="15" t="str">
        <f>VLOOKUP(J322,DADOS!$A$3:$B$100,2,FALSE)</f>
        <v>EE-GI-001-008</v>
      </c>
      <c r="L322" s="15" t="s">
        <v>303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0</v>
      </c>
      <c r="W322" s="11" t="s">
        <v>269</v>
      </c>
      <c r="X322" s="12" t="s">
        <v>14</v>
      </c>
      <c r="Y322" s="12" t="s">
        <v>14</v>
      </c>
      <c r="Z322" s="13" t="s">
        <v>261</v>
      </c>
    </row>
    <row r="323" spans="1:26" ht="19.95" customHeight="1" x14ac:dyDescent="0.3">
      <c r="A323" s="6">
        <v>45701</v>
      </c>
      <c r="B323" s="7" t="s">
        <v>254</v>
      </c>
      <c r="C323" s="8" t="s">
        <v>674</v>
      </c>
      <c r="D323" s="8" t="s">
        <v>269</v>
      </c>
      <c r="E323" s="8" t="s">
        <v>665</v>
      </c>
      <c r="F323" s="9" t="s">
        <v>675</v>
      </c>
      <c r="G323" s="9" t="s">
        <v>658</v>
      </c>
      <c r="H323" s="9" t="s">
        <v>676</v>
      </c>
      <c r="I323" s="9" t="s">
        <v>69</v>
      </c>
      <c r="J323" s="10" t="s">
        <v>15</v>
      </c>
      <c r="K323" s="15" t="str">
        <f>VLOOKUP(J323,DADOS!$A$3:$B$100,2,FALSE)</f>
        <v>EE-GI-001-002</v>
      </c>
      <c r="L323" s="15" t="s">
        <v>303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1</v>
      </c>
      <c r="S323" s="17" t="b">
        <v>0</v>
      </c>
      <c r="T323" s="17" t="b">
        <v>0</v>
      </c>
      <c r="U323" s="17" t="b">
        <v>0</v>
      </c>
      <c r="V323" s="17" t="b">
        <v>0</v>
      </c>
      <c r="W323" s="11" t="s">
        <v>269</v>
      </c>
      <c r="X323" s="12" t="s">
        <v>14</v>
      </c>
      <c r="Y323" s="12" t="s">
        <v>14</v>
      </c>
      <c r="Z323" s="13" t="s">
        <v>261</v>
      </c>
    </row>
    <row r="324" spans="1:26" ht="19.95" customHeight="1" x14ac:dyDescent="0.3">
      <c r="A324" s="6">
        <v>45701</v>
      </c>
      <c r="B324" s="7" t="s">
        <v>678</v>
      </c>
      <c r="C324" s="8" t="s">
        <v>679</v>
      </c>
      <c r="D324" s="8" t="s">
        <v>680</v>
      </c>
      <c r="E324" s="8" t="s">
        <v>681</v>
      </c>
      <c r="F324" s="9" t="s">
        <v>682</v>
      </c>
      <c r="G324" s="9" t="s">
        <v>683</v>
      </c>
      <c r="H324" s="9" t="s">
        <v>683</v>
      </c>
      <c r="I324" s="9" t="s">
        <v>69</v>
      </c>
      <c r="J324" s="10" t="s">
        <v>24</v>
      </c>
      <c r="K324" s="15" t="str">
        <f>VLOOKUP(J324,DADOS!$A$3:$B$100,2,FALSE)</f>
        <v>EE-GI-021-005</v>
      </c>
      <c r="L324" s="15" t="s">
        <v>260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0</v>
      </c>
      <c r="U324" s="17" t="b">
        <v>0</v>
      </c>
      <c r="V324" s="17" t="b">
        <v>1</v>
      </c>
      <c r="W324" s="11" t="s">
        <v>680</v>
      </c>
      <c r="X324" s="12" t="s">
        <v>14</v>
      </c>
      <c r="Y324" s="12" t="s">
        <v>14</v>
      </c>
      <c r="Z324" s="13" t="s">
        <v>261</v>
      </c>
    </row>
    <row r="325" spans="1:26" ht="19.95" customHeight="1" x14ac:dyDescent="0.3">
      <c r="A325" s="6">
        <v>45701</v>
      </c>
      <c r="B325" s="7" t="s">
        <v>678</v>
      </c>
      <c r="C325" s="8" t="s">
        <v>679</v>
      </c>
      <c r="D325" s="8" t="s">
        <v>421</v>
      </c>
      <c r="E325" s="8" t="s">
        <v>681</v>
      </c>
      <c r="F325" s="9" t="s">
        <v>685</v>
      </c>
      <c r="G325" s="9" t="s">
        <v>684</v>
      </c>
      <c r="H325" s="9" t="s">
        <v>684</v>
      </c>
      <c r="I325" s="9" t="s">
        <v>69</v>
      </c>
      <c r="J325" s="10" t="s">
        <v>24</v>
      </c>
      <c r="K325" s="15" t="str">
        <f>VLOOKUP(J325,DADOS!$A$3:$B$100,2,FALSE)</f>
        <v>EE-GI-021-005</v>
      </c>
      <c r="L325" s="15" t="s">
        <v>260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0</v>
      </c>
      <c r="U325" s="17" t="b">
        <v>0</v>
      </c>
      <c r="V325" s="17" t="b">
        <v>1</v>
      </c>
      <c r="W325" s="11" t="s">
        <v>421</v>
      </c>
      <c r="X325" s="12" t="s">
        <v>14</v>
      </c>
      <c r="Y325" s="12" t="s">
        <v>14</v>
      </c>
      <c r="Z325" s="13" t="s">
        <v>261</v>
      </c>
    </row>
    <row r="326" spans="1:26" ht="19.95" customHeight="1" x14ac:dyDescent="0.3">
      <c r="A326" s="6">
        <v>45701</v>
      </c>
      <c r="B326" s="7" t="s">
        <v>678</v>
      </c>
      <c r="C326" s="8" t="s">
        <v>2788</v>
      </c>
      <c r="D326" s="8" t="s">
        <v>281</v>
      </c>
      <c r="E326" s="8" t="s">
        <v>2789</v>
      </c>
      <c r="F326" s="9" t="s">
        <v>2790</v>
      </c>
      <c r="G326" s="9" t="s">
        <v>2791</v>
      </c>
      <c r="H326" s="9" t="s">
        <v>2791</v>
      </c>
      <c r="I326" s="9" t="s">
        <v>74</v>
      </c>
      <c r="J326" s="10" t="s">
        <v>250</v>
      </c>
      <c r="K326" s="15" t="str">
        <f>VLOOKUP(J326,DADOS!$A$3:$B$100,2,FALSE)</f>
        <v>EE-GI-001-028</v>
      </c>
      <c r="L326" s="15" t="s">
        <v>2096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0</v>
      </c>
      <c r="U326" s="17" t="b">
        <v>0</v>
      </c>
      <c r="V326" s="17" t="b">
        <v>1</v>
      </c>
      <c r="W326" s="11" t="s">
        <v>281</v>
      </c>
      <c r="X326" s="12" t="s">
        <v>14</v>
      </c>
      <c r="Y326" s="12" t="s">
        <v>14</v>
      </c>
      <c r="Z326" s="13" t="s">
        <v>261</v>
      </c>
    </row>
    <row r="327" spans="1:26" ht="19.95" customHeight="1" x14ac:dyDescent="0.3">
      <c r="A327" s="6">
        <v>45701</v>
      </c>
      <c r="B327" s="7" t="s">
        <v>339</v>
      </c>
      <c r="C327" s="9" t="s">
        <v>618</v>
      </c>
      <c r="D327" s="8" t="s">
        <v>269</v>
      </c>
      <c r="E327" s="8" t="s">
        <v>687</v>
      </c>
      <c r="F327" s="9" t="s">
        <v>690</v>
      </c>
      <c r="G327" s="9" t="s">
        <v>689</v>
      </c>
      <c r="H327" s="9" t="s">
        <v>14</v>
      </c>
      <c r="I327" s="9" t="s">
        <v>66</v>
      </c>
      <c r="J327" s="10" t="s">
        <v>186</v>
      </c>
      <c r="K327" s="15" t="str">
        <f>VLOOKUP(J327,DADOS!$A$3:$B$100,2,FALSE)</f>
        <v>EE-GI-001-008</v>
      </c>
      <c r="L327" s="15" t="s">
        <v>260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1</v>
      </c>
      <c r="W327" s="11" t="s">
        <v>269</v>
      </c>
      <c r="X327" s="12" t="s">
        <v>14</v>
      </c>
      <c r="Y327" s="12" t="s">
        <v>14</v>
      </c>
      <c r="Z327" s="13" t="s">
        <v>261</v>
      </c>
    </row>
    <row r="328" spans="1:26" ht="19.95" customHeight="1" x14ac:dyDescent="0.3">
      <c r="A328" s="6">
        <v>45701</v>
      </c>
      <c r="B328" s="7" t="s">
        <v>339</v>
      </c>
      <c r="C328" s="9" t="s">
        <v>618</v>
      </c>
      <c r="D328" s="8" t="s">
        <v>691</v>
      </c>
      <c r="E328" s="8" t="s">
        <v>687</v>
      </c>
      <c r="F328" s="9" t="s">
        <v>692</v>
      </c>
      <c r="G328" s="9" t="s">
        <v>689</v>
      </c>
      <c r="H328" s="9" t="s">
        <v>14</v>
      </c>
      <c r="I328" s="9" t="s">
        <v>66</v>
      </c>
      <c r="J328" s="10" t="s">
        <v>186</v>
      </c>
      <c r="K328" s="15" t="str">
        <f>VLOOKUP(J328,DADOS!$A$3:$B$100,2,FALSE)</f>
        <v>EE-GI-001-008</v>
      </c>
      <c r="L328" s="15" t="s">
        <v>260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0</v>
      </c>
      <c r="V328" s="17" t="b">
        <v>1</v>
      </c>
      <c r="W328" s="11" t="s">
        <v>691</v>
      </c>
      <c r="X328" s="12" t="s">
        <v>14</v>
      </c>
      <c r="Y328" s="12" t="s">
        <v>14</v>
      </c>
      <c r="Z328" s="13" t="s">
        <v>261</v>
      </c>
    </row>
    <row r="329" spans="1:26" ht="19.95" customHeight="1" x14ac:dyDescent="0.3">
      <c r="A329" s="6">
        <v>45701</v>
      </c>
      <c r="B329" s="7" t="s">
        <v>339</v>
      </c>
      <c r="C329" s="8" t="s">
        <v>686</v>
      </c>
      <c r="D329" s="8" t="s">
        <v>269</v>
      </c>
      <c r="E329" s="8" t="s">
        <v>687</v>
      </c>
      <c r="F329" s="8" t="s">
        <v>688</v>
      </c>
      <c r="G329" s="9" t="s">
        <v>689</v>
      </c>
      <c r="H329" s="9" t="s">
        <v>14</v>
      </c>
      <c r="I329" s="9" t="s">
        <v>66</v>
      </c>
      <c r="J329" s="10" t="s">
        <v>186</v>
      </c>
      <c r="K329" s="15" t="str">
        <f>VLOOKUP(J329,DADOS!$A$3:$B$100,2,FALSE)</f>
        <v>EE-GI-001-008</v>
      </c>
      <c r="L329" s="15" t="s">
        <v>260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0</v>
      </c>
      <c r="S329" s="17" t="b">
        <v>0</v>
      </c>
      <c r="T329" s="17" t="b">
        <v>0</v>
      </c>
      <c r="U329" s="17" t="b">
        <v>0</v>
      </c>
      <c r="V329" s="17" t="b">
        <v>1</v>
      </c>
      <c r="W329" s="11" t="s">
        <v>269</v>
      </c>
      <c r="X329" s="12" t="s">
        <v>14</v>
      </c>
      <c r="Y329" s="12" t="s">
        <v>14</v>
      </c>
      <c r="Z329" s="13" t="s">
        <v>261</v>
      </c>
    </row>
    <row r="330" spans="1:26" ht="19.95" customHeight="1" x14ac:dyDescent="0.3">
      <c r="A330" s="6">
        <v>45701</v>
      </c>
      <c r="B330" s="7" t="s">
        <v>339</v>
      </c>
      <c r="C330" s="9" t="s">
        <v>618</v>
      </c>
      <c r="D330" s="8" t="s">
        <v>693</v>
      </c>
      <c r="E330" s="8" t="s">
        <v>694</v>
      </c>
      <c r="F330" s="8" t="s">
        <v>692</v>
      </c>
      <c r="G330" s="9" t="s">
        <v>689</v>
      </c>
      <c r="H330" s="9" t="s">
        <v>14</v>
      </c>
      <c r="I330" s="9" t="s">
        <v>66</v>
      </c>
      <c r="J330" s="10" t="s">
        <v>186</v>
      </c>
      <c r="K330" s="15" t="str">
        <f>VLOOKUP(J330,DADOS!$A$3:$B$100,2,FALSE)</f>
        <v>EE-GI-001-008</v>
      </c>
      <c r="L330" s="15" t="s">
        <v>260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0</v>
      </c>
      <c r="S330" s="17" t="b">
        <v>0</v>
      </c>
      <c r="T330" s="17" t="b">
        <v>0</v>
      </c>
      <c r="U330" s="17" t="b">
        <v>0</v>
      </c>
      <c r="V330" s="17" t="b">
        <v>1</v>
      </c>
      <c r="W330" s="11" t="s">
        <v>693</v>
      </c>
      <c r="X330" s="12" t="s">
        <v>14</v>
      </c>
      <c r="Y330" s="12" t="s">
        <v>14</v>
      </c>
      <c r="Z330" s="13" t="s">
        <v>261</v>
      </c>
    </row>
    <row r="331" spans="1:26" ht="19.95" customHeight="1" x14ac:dyDescent="0.3">
      <c r="A331" s="6">
        <v>45701</v>
      </c>
      <c r="B331" s="7" t="s">
        <v>339</v>
      </c>
      <c r="C331" s="9" t="s">
        <v>2359</v>
      </c>
      <c r="D331" s="8" t="s">
        <v>269</v>
      </c>
      <c r="E331" s="8" t="s">
        <v>694</v>
      </c>
      <c r="F331" s="8" t="s">
        <v>2360</v>
      </c>
      <c r="G331" s="9" t="s">
        <v>2347</v>
      </c>
      <c r="H331" s="9" t="s">
        <v>14</v>
      </c>
      <c r="I331" s="9" t="s">
        <v>69</v>
      </c>
      <c r="J331" s="10" t="s">
        <v>251</v>
      </c>
      <c r="K331" s="15" t="str">
        <f>VLOOKUP(J331,DADOS!$A$3:$B$100,2,FALSE)</f>
        <v>EE-GI-001-030</v>
      </c>
      <c r="L331" s="15" t="s">
        <v>260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0</v>
      </c>
      <c r="S331" s="17" t="b">
        <v>0</v>
      </c>
      <c r="T331" s="17" t="b">
        <v>0</v>
      </c>
      <c r="U331" s="17" t="b">
        <v>0</v>
      </c>
      <c r="V331" s="17" t="b">
        <v>1</v>
      </c>
      <c r="W331" s="11" t="s">
        <v>269</v>
      </c>
      <c r="X331" s="12" t="s">
        <v>14</v>
      </c>
      <c r="Y331" s="12" t="s">
        <v>14</v>
      </c>
      <c r="Z331" s="13" t="s">
        <v>355</v>
      </c>
    </row>
    <row r="332" spans="1:26" ht="19.95" customHeight="1" x14ac:dyDescent="0.3">
      <c r="A332" s="6">
        <v>45701</v>
      </c>
      <c r="B332" s="7" t="s">
        <v>339</v>
      </c>
      <c r="C332" s="9" t="s">
        <v>2359</v>
      </c>
      <c r="D332" s="8" t="s">
        <v>281</v>
      </c>
      <c r="E332" s="8" t="s">
        <v>694</v>
      </c>
      <c r="F332" s="8" t="s">
        <v>2361</v>
      </c>
      <c r="G332" s="9" t="s">
        <v>2347</v>
      </c>
      <c r="H332" s="9" t="s">
        <v>14</v>
      </c>
      <c r="I332" s="9" t="s">
        <v>69</v>
      </c>
      <c r="J332" s="10" t="s">
        <v>251</v>
      </c>
      <c r="K332" s="15" t="str">
        <f>VLOOKUP(J332,DADOS!$A$3:$B$100,2,FALSE)</f>
        <v>EE-GI-001-030</v>
      </c>
      <c r="L332" s="15" t="s">
        <v>260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1</v>
      </c>
      <c r="W332" s="11" t="s">
        <v>281</v>
      </c>
      <c r="X332" s="12" t="s">
        <v>14</v>
      </c>
      <c r="Y332" s="12" t="s">
        <v>14</v>
      </c>
      <c r="Z332" s="13" t="s">
        <v>355</v>
      </c>
    </row>
    <row r="333" spans="1:26" ht="19.95" customHeight="1" x14ac:dyDescent="0.3">
      <c r="A333" s="6">
        <v>45701</v>
      </c>
      <c r="B333" s="7" t="s">
        <v>339</v>
      </c>
      <c r="C333" s="9" t="s">
        <v>2359</v>
      </c>
      <c r="D333" s="8" t="s">
        <v>281</v>
      </c>
      <c r="E333" s="8" t="s">
        <v>694</v>
      </c>
      <c r="F333" s="8" t="s">
        <v>2362</v>
      </c>
      <c r="G333" s="9" t="s">
        <v>2347</v>
      </c>
      <c r="H333" s="9" t="s">
        <v>14</v>
      </c>
      <c r="I333" s="9" t="s">
        <v>69</v>
      </c>
      <c r="J333" s="10" t="s">
        <v>251</v>
      </c>
      <c r="K333" s="15" t="str">
        <f>VLOOKUP(J333,DADOS!$A$3:$B$100,2,FALSE)</f>
        <v>EE-GI-001-030</v>
      </c>
      <c r="L333" s="15" t="s">
        <v>260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281</v>
      </c>
      <c r="X333" s="12" t="s">
        <v>14</v>
      </c>
      <c r="Y333" s="12" t="s">
        <v>14</v>
      </c>
      <c r="Z333" s="13" t="s">
        <v>355</v>
      </c>
    </row>
    <row r="334" spans="1:26" ht="19.95" customHeight="1" x14ac:dyDescent="0.3">
      <c r="A334" s="6">
        <v>45701</v>
      </c>
      <c r="B334" s="7" t="s">
        <v>339</v>
      </c>
      <c r="C334" s="9" t="s">
        <v>2359</v>
      </c>
      <c r="D334" s="8" t="s">
        <v>281</v>
      </c>
      <c r="E334" s="8" t="s">
        <v>694</v>
      </c>
      <c r="F334" s="8" t="s">
        <v>2363</v>
      </c>
      <c r="G334" s="9" t="s">
        <v>2347</v>
      </c>
      <c r="H334" s="9" t="s">
        <v>14</v>
      </c>
      <c r="I334" s="9" t="s">
        <v>69</v>
      </c>
      <c r="J334" s="10" t="s">
        <v>251</v>
      </c>
      <c r="K334" s="15" t="str">
        <f>VLOOKUP(J334,DADOS!$A$3:$B$100,2,FALSE)</f>
        <v>EE-GI-001-030</v>
      </c>
      <c r="L334" s="15" t="s">
        <v>260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281</v>
      </c>
      <c r="X334" s="12" t="s">
        <v>14</v>
      </c>
      <c r="Y334" s="12" t="s">
        <v>14</v>
      </c>
      <c r="Z334" s="13" t="s">
        <v>355</v>
      </c>
    </row>
    <row r="335" spans="1:26" ht="19.95" customHeight="1" x14ac:dyDescent="0.3">
      <c r="A335" s="6">
        <v>45701</v>
      </c>
      <c r="B335" s="7" t="s">
        <v>339</v>
      </c>
      <c r="C335" s="9" t="s">
        <v>2364</v>
      </c>
      <c r="D335" s="8" t="s">
        <v>364</v>
      </c>
      <c r="E335" s="8" t="s">
        <v>694</v>
      </c>
      <c r="F335" s="8" t="s">
        <v>2365</v>
      </c>
      <c r="G335" s="9" t="s">
        <v>2366</v>
      </c>
      <c r="H335" s="9" t="s">
        <v>14</v>
      </c>
      <c r="I335" s="9" t="s">
        <v>66</v>
      </c>
      <c r="J335" s="10" t="s">
        <v>15</v>
      </c>
      <c r="K335" s="15" t="str">
        <f>VLOOKUP(J335,DADOS!$A$3:$B$100,2,FALSE)</f>
        <v>EE-GI-001-002</v>
      </c>
      <c r="L335" s="15" t="s">
        <v>260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364</v>
      </c>
      <c r="X335" s="12" t="s">
        <v>14</v>
      </c>
      <c r="Y335" s="12" t="s">
        <v>14</v>
      </c>
      <c r="Z335" s="13" t="s">
        <v>355</v>
      </c>
    </row>
    <row r="336" spans="1:26" ht="19.95" customHeight="1" x14ac:dyDescent="0.3">
      <c r="A336" s="6">
        <v>45701</v>
      </c>
      <c r="B336" s="7" t="s">
        <v>339</v>
      </c>
      <c r="C336" s="9" t="s">
        <v>2367</v>
      </c>
      <c r="D336" s="8" t="s">
        <v>269</v>
      </c>
      <c r="E336" s="8" t="s">
        <v>694</v>
      </c>
      <c r="F336" s="8" t="s">
        <v>2368</v>
      </c>
      <c r="G336" s="9" t="s">
        <v>2311</v>
      </c>
      <c r="H336" s="9" t="s">
        <v>14</v>
      </c>
      <c r="I336" s="9" t="s">
        <v>69</v>
      </c>
      <c r="J336" s="10" t="s">
        <v>176</v>
      </c>
      <c r="K336" s="15" t="str">
        <f>VLOOKUP(J336,DADOS!$A$3:$B$100,2,FALSE)</f>
        <v>EE-GI-001-011</v>
      </c>
      <c r="L336" s="15" t="s">
        <v>1955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1</v>
      </c>
      <c r="W336" s="11" t="s">
        <v>269</v>
      </c>
      <c r="X336" s="12" t="s">
        <v>14</v>
      </c>
      <c r="Y336" s="12" t="s">
        <v>14</v>
      </c>
      <c r="Z336" s="13" t="s">
        <v>355</v>
      </c>
    </row>
    <row r="337" spans="1:26" ht="19.95" customHeight="1" x14ac:dyDescent="0.3">
      <c r="A337" s="6">
        <v>45701</v>
      </c>
      <c r="B337" s="7" t="s">
        <v>339</v>
      </c>
      <c r="C337" s="9" t="s">
        <v>2367</v>
      </c>
      <c r="D337" s="8" t="s">
        <v>269</v>
      </c>
      <c r="E337" s="8" t="s">
        <v>694</v>
      </c>
      <c r="F337" s="8" t="s">
        <v>2369</v>
      </c>
      <c r="G337" s="9" t="s">
        <v>2370</v>
      </c>
      <c r="H337" s="9" t="s">
        <v>14</v>
      </c>
      <c r="I337" s="9" t="s">
        <v>69</v>
      </c>
      <c r="J337" s="10" t="s">
        <v>176</v>
      </c>
      <c r="K337" s="15" t="str">
        <f>VLOOKUP(J337,DADOS!$A$3:$B$100,2,FALSE)</f>
        <v>EE-GI-001-011</v>
      </c>
      <c r="L337" s="15" t="s">
        <v>1955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269</v>
      </c>
      <c r="X337" s="12" t="s">
        <v>14</v>
      </c>
      <c r="Y337" s="12" t="s">
        <v>14</v>
      </c>
      <c r="Z337" s="13" t="s">
        <v>355</v>
      </c>
    </row>
    <row r="338" spans="1:26" ht="19.95" customHeight="1" x14ac:dyDescent="0.3">
      <c r="A338" s="6">
        <v>45701</v>
      </c>
      <c r="B338" s="7" t="s">
        <v>339</v>
      </c>
      <c r="C338" s="9" t="s">
        <v>1792</v>
      </c>
      <c r="D338" s="8" t="s">
        <v>269</v>
      </c>
      <c r="E338" s="8" t="s">
        <v>694</v>
      </c>
      <c r="F338" s="8" t="s">
        <v>2371</v>
      </c>
      <c r="G338" s="9" t="s">
        <v>2372</v>
      </c>
      <c r="H338" s="9" t="s">
        <v>14</v>
      </c>
      <c r="I338" s="9" t="s">
        <v>69</v>
      </c>
      <c r="J338" s="10" t="s">
        <v>251</v>
      </c>
      <c r="K338" s="15" t="str">
        <f>VLOOKUP(J338,DADOS!$A$3:$B$100,2,FALSE)</f>
        <v>EE-GI-001-030</v>
      </c>
      <c r="L338" s="15" t="s">
        <v>1955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269</v>
      </c>
      <c r="X338" s="12" t="s">
        <v>14</v>
      </c>
      <c r="Y338" s="12" t="s">
        <v>14</v>
      </c>
      <c r="Z338" s="13" t="s">
        <v>355</v>
      </c>
    </row>
    <row r="339" spans="1:26" ht="19.95" customHeight="1" x14ac:dyDescent="0.3">
      <c r="A339" s="6">
        <v>45701</v>
      </c>
      <c r="B339" s="7" t="s">
        <v>339</v>
      </c>
      <c r="C339" s="9" t="s">
        <v>2373</v>
      </c>
      <c r="D339" s="8" t="s">
        <v>268</v>
      </c>
      <c r="E339" s="8" t="s">
        <v>694</v>
      </c>
      <c r="F339" s="8" t="s">
        <v>2374</v>
      </c>
      <c r="G339" s="9" t="s">
        <v>2338</v>
      </c>
      <c r="H339" s="9" t="s">
        <v>14</v>
      </c>
      <c r="I339" s="9" t="s">
        <v>69</v>
      </c>
      <c r="J339" s="10" t="s">
        <v>251</v>
      </c>
      <c r="K339" s="15" t="str">
        <f>VLOOKUP(J339,DADOS!$A$3:$B$100,2,FALSE)</f>
        <v>EE-GI-001-030</v>
      </c>
      <c r="L339" s="15" t="s">
        <v>1955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1</v>
      </c>
      <c r="W339" s="11" t="s">
        <v>268</v>
      </c>
      <c r="X339" s="12" t="s">
        <v>14</v>
      </c>
      <c r="Y339" s="12" t="s">
        <v>14</v>
      </c>
      <c r="Z339" s="13" t="s">
        <v>355</v>
      </c>
    </row>
    <row r="340" spans="1:26" ht="19.95" customHeight="1" x14ac:dyDescent="0.3">
      <c r="A340" s="6">
        <v>45701</v>
      </c>
      <c r="B340" s="7" t="s">
        <v>339</v>
      </c>
      <c r="C340" s="9" t="s">
        <v>1619</v>
      </c>
      <c r="D340" s="8" t="s">
        <v>444</v>
      </c>
      <c r="E340" s="8" t="s">
        <v>694</v>
      </c>
      <c r="F340" s="8" t="s">
        <v>468</v>
      </c>
      <c r="G340" s="9" t="s">
        <v>1681</v>
      </c>
      <c r="H340" s="9" t="s">
        <v>14</v>
      </c>
      <c r="I340" s="9" t="s">
        <v>66</v>
      </c>
      <c r="J340" s="10" t="s">
        <v>15</v>
      </c>
      <c r="K340" s="15" t="str">
        <f>VLOOKUP(J340,DADOS!$A$3:$B$100,2,FALSE)</f>
        <v>EE-GI-001-002</v>
      </c>
      <c r="L340" s="15" t="s">
        <v>1955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1</v>
      </c>
      <c r="W340" s="11" t="s">
        <v>444</v>
      </c>
      <c r="X340" s="12" t="s">
        <v>14</v>
      </c>
      <c r="Y340" s="12" t="s">
        <v>14</v>
      </c>
      <c r="Z340" s="13" t="s">
        <v>355</v>
      </c>
    </row>
    <row r="341" spans="1:26" ht="19.95" customHeight="1" x14ac:dyDescent="0.3">
      <c r="A341" s="6">
        <v>45701</v>
      </c>
      <c r="B341" s="7" t="s">
        <v>930</v>
      </c>
      <c r="C341" s="8" t="s">
        <v>939</v>
      </c>
      <c r="D341" s="8" t="s">
        <v>269</v>
      </c>
      <c r="E341" s="8" t="s">
        <v>940</v>
      </c>
      <c r="F341" s="9" t="s">
        <v>941</v>
      </c>
      <c r="G341" s="9" t="s">
        <v>928</v>
      </c>
      <c r="H341" s="9" t="s">
        <v>942</v>
      </c>
      <c r="I341" s="9" t="s">
        <v>70</v>
      </c>
      <c r="J341" s="10" t="s">
        <v>17</v>
      </c>
      <c r="K341" s="15" t="str">
        <f>VLOOKUP(J341,DADOS!$A$3:$B$100,2,FALSE)</f>
        <v>EE-GI-001-001</v>
      </c>
      <c r="L341" s="15" t="s">
        <v>303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269</v>
      </c>
      <c r="X341" s="12" t="s">
        <v>14</v>
      </c>
      <c r="Y341" s="12" t="s">
        <v>14</v>
      </c>
      <c r="Z341" s="13" t="s">
        <v>261</v>
      </c>
    </row>
    <row r="342" spans="1:26" ht="19.95" customHeight="1" x14ac:dyDescent="0.3">
      <c r="A342" s="6">
        <v>45701</v>
      </c>
      <c r="B342" s="7" t="s">
        <v>930</v>
      </c>
      <c r="C342" s="8" t="s">
        <v>2538</v>
      </c>
      <c r="D342" s="8" t="s">
        <v>287</v>
      </c>
      <c r="E342" s="8" t="s">
        <v>940</v>
      </c>
      <c r="F342" s="9" t="s">
        <v>2539</v>
      </c>
      <c r="G342" s="9" t="s">
        <v>2540</v>
      </c>
      <c r="H342" s="9" t="s">
        <v>942</v>
      </c>
      <c r="I342" s="9" t="s">
        <v>65</v>
      </c>
      <c r="J342" s="10" t="s">
        <v>174</v>
      </c>
      <c r="K342" s="15" t="str">
        <f>VLOOKUP(J342,DADOS!$A$3:$B$100,2,FALSE)</f>
        <v>EE-GI-001-007</v>
      </c>
      <c r="L342" s="15" t="s">
        <v>260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287</v>
      </c>
      <c r="X342" s="12" t="s">
        <v>14</v>
      </c>
      <c r="Y342" s="12" t="s">
        <v>14</v>
      </c>
      <c r="Z342" s="13" t="s">
        <v>2536</v>
      </c>
    </row>
    <row r="343" spans="1:26" ht="19.95" customHeight="1" x14ac:dyDescent="0.3">
      <c r="A343" s="6">
        <v>45701</v>
      </c>
      <c r="B343" s="7" t="s">
        <v>930</v>
      </c>
      <c r="C343" s="8" t="s">
        <v>2541</v>
      </c>
      <c r="D343" s="8" t="s">
        <v>287</v>
      </c>
      <c r="E343" s="8" t="s">
        <v>940</v>
      </c>
      <c r="F343" s="9" t="s">
        <v>2543</v>
      </c>
      <c r="G343" s="9" t="s">
        <v>2544</v>
      </c>
      <c r="H343" s="9" t="s">
        <v>942</v>
      </c>
      <c r="I343" s="9" t="s">
        <v>65</v>
      </c>
      <c r="J343" s="10" t="s">
        <v>193</v>
      </c>
      <c r="K343" s="15" t="str">
        <f>VLOOKUP(J343,DADOS!$A$3:$B$100,2,FALSE)</f>
        <v>EE-GI-001-043</v>
      </c>
      <c r="L343" s="15" t="s">
        <v>260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0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373</v>
      </c>
      <c r="X343" s="12" t="s">
        <v>14</v>
      </c>
      <c r="Y343" s="12" t="s">
        <v>14</v>
      </c>
      <c r="Z343" s="13" t="s">
        <v>2536</v>
      </c>
    </row>
    <row r="344" spans="1:26" ht="19.95" customHeight="1" x14ac:dyDescent="0.3">
      <c r="A344" s="6">
        <v>45701</v>
      </c>
      <c r="B344" s="7" t="s">
        <v>406</v>
      </c>
      <c r="C344" s="8" t="s">
        <v>1377</v>
      </c>
      <c r="D344" s="8" t="s">
        <v>1292</v>
      </c>
      <c r="E344" s="8" t="s">
        <v>1378</v>
      </c>
      <c r="F344" s="9" t="s">
        <v>1379</v>
      </c>
      <c r="G344" s="9" t="s">
        <v>1381</v>
      </c>
      <c r="H344" s="9" t="s">
        <v>1380</v>
      </c>
      <c r="I344" s="9" t="s">
        <v>66</v>
      </c>
      <c r="J344" s="10" t="s">
        <v>15</v>
      </c>
      <c r="K344" s="15" t="str">
        <f>VLOOKUP(J344,DADOS!$A$3:$B$100,2,FALSE)</f>
        <v>EE-GI-001-002</v>
      </c>
      <c r="L344" s="15" t="s">
        <v>260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1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1292</v>
      </c>
      <c r="X344" s="12" t="s">
        <v>14</v>
      </c>
      <c r="Y344" s="12" t="s">
        <v>14</v>
      </c>
      <c r="Z344" s="13" t="s">
        <v>261</v>
      </c>
    </row>
    <row r="345" spans="1:26" ht="19.95" customHeight="1" x14ac:dyDescent="0.3">
      <c r="A345" s="6">
        <v>45701</v>
      </c>
      <c r="B345" s="7" t="s">
        <v>748</v>
      </c>
      <c r="C345" s="8" t="s">
        <v>1823</v>
      </c>
      <c r="D345" s="8" t="s">
        <v>269</v>
      </c>
      <c r="E345" s="8" t="s">
        <v>1824</v>
      </c>
      <c r="F345" s="9" t="s">
        <v>1825</v>
      </c>
      <c r="G345" s="9" t="s">
        <v>1826</v>
      </c>
      <c r="H345" s="9" t="s">
        <v>1827</v>
      </c>
      <c r="I345" s="9" t="s">
        <v>66</v>
      </c>
      <c r="J345" s="10" t="s">
        <v>21</v>
      </c>
      <c r="K345" s="15" t="str">
        <f>VLOOKUP(J345,DADOS!$A$3:$B$100,2,FALSE)</f>
        <v>EE-GI-221-064</v>
      </c>
      <c r="L345" s="15" t="s">
        <v>754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1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0</v>
      </c>
      <c r="W345" s="11" t="s">
        <v>269</v>
      </c>
      <c r="X345" s="12" t="s">
        <v>14</v>
      </c>
      <c r="Y345" s="12" t="s">
        <v>14</v>
      </c>
      <c r="Z345" s="13" t="s">
        <v>355</v>
      </c>
    </row>
    <row r="346" spans="1:26" ht="19.95" customHeight="1" x14ac:dyDescent="0.3">
      <c r="A346" s="6">
        <v>45701</v>
      </c>
      <c r="B346" s="7" t="s">
        <v>748</v>
      </c>
      <c r="C346" s="8" t="s">
        <v>1828</v>
      </c>
      <c r="D346" s="8" t="s">
        <v>281</v>
      </c>
      <c r="E346" s="8" t="s">
        <v>1829</v>
      </c>
      <c r="F346" s="9" t="s">
        <v>1830</v>
      </c>
      <c r="G346" s="9" t="s">
        <v>1831</v>
      </c>
      <c r="H346" s="9" t="s">
        <v>1832</v>
      </c>
      <c r="I346" s="9" t="s">
        <v>68</v>
      </c>
      <c r="J346" s="10" t="s">
        <v>28</v>
      </c>
      <c r="K346" s="15" t="str">
        <f>VLOOKUP(J346,DADOS!$A$3:$B$100,2,FALSE)</f>
        <v>EE-GI-221-042</v>
      </c>
      <c r="L346" s="15" t="s">
        <v>754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1</v>
      </c>
      <c r="R346" s="17" t="b">
        <v>0</v>
      </c>
      <c r="S346" s="17" t="b">
        <v>0</v>
      </c>
      <c r="T346" s="17" t="b">
        <v>0</v>
      </c>
      <c r="U346" s="17" t="b">
        <v>0</v>
      </c>
      <c r="V346" s="17" t="b">
        <v>0</v>
      </c>
      <c r="W346" s="11" t="s">
        <v>281</v>
      </c>
      <c r="X346" s="12" t="s">
        <v>14</v>
      </c>
      <c r="Y346" s="12" t="s">
        <v>14</v>
      </c>
      <c r="Z346" s="13" t="s">
        <v>355</v>
      </c>
    </row>
    <row r="347" spans="1:26" ht="19.95" customHeight="1" x14ac:dyDescent="0.3">
      <c r="A347" s="6">
        <v>45701</v>
      </c>
      <c r="B347" s="7" t="s">
        <v>748</v>
      </c>
      <c r="C347" s="8" t="s">
        <v>1884</v>
      </c>
      <c r="D347" s="8" t="s">
        <v>281</v>
      </c>
      <c r="E347" s="8" t="s">
        <v>1885</v>
      </c>
      <c r="F347" s="9" t="s">
        <v>1886</v>
      </c>
      <c r="G347" s="9" t="s">
        <v>1882</v>
      </c>
      <c r="H347" s="9" t="s">
        <v>1887</v>
      </c>
      <c r="I347" s="9" t="s">
        <v>70</v>
      </c>
      <c r="J347" s="10" t="s">
        <v>19</v>
      </c>
      <c r="K347" s="15" t="str">
        <f>VLOOKUP(J347,DADOS!$A$3:$B$100,2,FALSE)</f>
        <v>EE-GI-221-033</v>
      </c>
      <c r="L347" s="15" t="s">
        <v>754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1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0</v>
      </c>
      <c r="W347" s="11" t="s">
        <v>281</v>
      </c>
      <c r="X347" s="12" t="s">
        <v>14</v>
      </c>
      <c r="Y347" s="12" t="s">
        <v>14</v>
      </c>
      <c r="Z347" s="13" t="s">
        <v>355</v>
      </c>
    </row>
    <row r="348" spans="1:26" ht="19.95" customHeight="1" x14ac:dyDescent="0.3">
      <c r="A348" s="6">
        <v>45701</v>
      </c>
      <c r="B348" s="7" t="s">
        <v>748</v>
      </c>
      <c r="C348" s="8" t="s">
        <v>1884</v>
      </c>
      <c r="D348" s="8" t="s">
        <v>364</v>
      </c>
      <c r="E348" s="8" t="s">
        <v>1885</v>
      </c>
      <c r="F348" s="9" t="s">
        <v>1888</v>
      </c>
      <c r="G348" s="9" t="s">
        <v>1882</v>
      </c>
      <c r="H348" s="9" t="s">
        <v>1887</v>
      </c>
      <c r="I348" s="9" t="s">
        <v>70</v>
      </c>
      <c r="J348" s="10" t="s">
        <v>19</v>
      </c>
      <c r="K348" s="15" t="str">
        <f>VLOOKUP(J348,DADOS!$A$3:$B$100,2,FALSE)</f>
        <v>EE-GI-221-033</v>
      </c>
      <c r="L348" s="15" t="s">
        <v>1889</v>
      </c>
      <c r="M348" s="18" t="b">
        <v>1</v>
      </c>
      <c r="N348" s="17" t="b">
        <v>1</v>
      </c>
      <c r="O348" s="17" t="b">
        <v>1</v>
      </c>
      <c r="P348" s="17" t="b">
        <v>1</v>
      </c>
      <c r="Q348" s="17" t="b">
        <v>1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0</v>
      </c>
      <c r="W348" s="11" t="s">
        <v>364</v>
      </c>
      <c r="X348" s="12" t="s">
        <v>14</v>
      </c>
      <c r="Y348" s="12" t="s">
        <v>14</v>
      </c>
      <c r="Z348" s="13" t="s">
        <v>355</v>
      </c>
    </row>
    <row r="349" spans="1:26" ht="19.95" customHeight="1" x14ac:dyDescent="0.3">
      <c r="A349" s="6">
        <v>45701</v>
      </c>
      <c r="B349" s="7" t="s">
        <v>916</v>
      </c>
      <c r="C349" s="8" t="s">
        <v>2591</v>
      </c>
      <c r="D349" s="8" t="s">
        <v>458</v>
      </c>
      <c r="E349" s="8" t="s">
        <v>2592</v>
      </c>
      <c r="F349" s="9" t="s">
        <v>2593</v>
      </c>
      <c r="G349" s="9" t="s">
        <v>2594</v>
      </c>
      <c r="H349" s="9" t="s">
        <v>2595</v>
      </c>
      <c r="I349" s="9" t="s">
        <v>65</v>
      </c>
      <c r="J349" s="10" t="s">
        <v>181</v>
      </c>
      <c r="K349" s="15" t="str">
        <f>VLOOKUP(J349,DADOS!$A$3:$B$100,2,FALSE)</f>
        <v>EE-GI-001-023</v>
      </c>
      <c r="L349" s="15" t="s">
        <v>260</v>
      </c>
      <c r="M349" s="18" t="b">
        <v>1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458</v>
      </c>
      <c r="X349" s="12" t="s">
        <v>14</v>
      </c>
      <c r="Y349" s="12" t="s">
        <v>14</v>
      </c>
      <c r="Z349" s="13" t="s">
        <v>2536</v>
      </c>
    </row>
    <row r="350" spans="1:26" ht="19.95" customHeight="1" x14ac:dyDescent="0.3">
      <c r="A350" s="6">
        <v>45701</v>
      </c>
      <c r="B350" s="7" t="s">
        <v>916</v>
      </c>
      <c r="C350" s="8" t="s">
        <v>2596</v>
      </c>
      <c r="D350" s="8" t="s">
        <v>281</v>
      </c>
      <c r="E350" s="8" t="s">
        <v>2592</v>
      </c>
      <c r="F350" s="9" t="s">
        <v>2597</v>
      </c>
      <c r="G350" s="9" t="s">
        <v>2598</v>
      </c>
      <c r="H350" s="9" t="s">
        <v>2599</v>
      </c>
      <c r="I350" s="9" t="s">
        <v>69</v>
      </c>
      <c r="J350" s="10" t="s">
        <v>251</v>
      </c>
      <c r="K350" s="15" t="str">
        <f>VLOOKUP(J350,DADOS!$A$3:$B$100,2,FALSE)</f>
        <v>EE-GI-001-030</v>
      </c>
      <c r="L350" s="15" t="s">
        <v>260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1</v>
      </c>
      <c r="W350" s="11" t="s">
        <v>458</v>
      </c>
      <c r="X350" s="12" t="s">
        <v>14</v>
      </c>
      <c r="Y350" s="12" t="s">
        <v>14</v>
      </c>
      <c r="Z350" s="13" t="s">
        <v>2536</v>
      </c>
    </row>
    <row r="351" spans="1:26" ht="19.95" customHeight="1" x14ac:dyDescent="0.3">
      <c r="A351" s="6">
        <v>45701</v>
      </c>
      <c r="B351" s="7" t="s">
        <v>916</v>
      </c>
      <c r="C351" s="8" t="s">
        <v>1012</v>
      </c>
      <c r="D351" s="8" t="s">
        <v>269</v>
      </c>
      <c r="E351" s="8" t="s">
        <v>1013</v>
      </c>
      <c r="F351" s="9" t="s">
        <v>1014</v>
      </c>
      <c r="G351" s="9" t="s">
        <v>1015</v>
      </c>
      <c r="H351" s="9" t="s">
        <v>1016</v>
      </c>
      <c r="I351" s="9" t="s">
        <v>65</v>
      </c>
      <c r="J351" s="10" t="s">
        <v>17</v>
      </c>
      <c r="K351" s="15" t="str">
        <f>VLOOKUP(J351,DADOS!$A$3:$B$100,2,FALSE)</f>
        <v>EE-GI-001-001</v>
      </c>
      <c r="L351" s="15" t="s">
        <v>303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1</v>
      </c>
      <c r="U351" s="17" t="b">
        <v>1</v>
      </c>
      <c r="V351" s="17" t="b">
        <v>1</v>
      </c>
      <c r="W351" s="11" t="s">
        <v>269</v>
      </c>
      <c r="X351" s="12" t="s">
        <v>14</v>
      </c>
      <c r="Y351" s="12" t="s">
        <v>14</v>
      </c>
      <c r="Z351" s="13" t="s">
        <v>261</v>
      </c>
    </row>
    <row r="352" spans="1:26" ht="19.95" customHeight="1" x14ac:dyDescent="0.3">
      <c r="A352" s="6">
        <v>45701</v>
      </c>
      <c r="B352" s="7" t="s">
        <v>916</v>
      </c>
      <c r="C352" s="8" t="s">
        <v>2600</v>
      </c>
      <c r="D352" s="8" t="s">
        <v>364</v>
      </c>
      <c r="E352" s="8" t="s">
        <v>2592</v>
      </c>
      <c r="F352" s="9" t="s">
        <v>2601</v>
      </c>
      <c r="G352" s="9" t="s">
        <v>2602</v>
      </c>
      <c r="H352" s="9" t="s">
        <v>2603</v>
      </c>
      <c r="I352" s="9" t="s">
        <v>70</v>
      </c>
      <c r="J352" s="10" t="s">
        <v>174</v>
      </c>
      <c r="K352" s="15" t="str">
        <f>VLOOKUP(J352,DADOS!$A$3:$B$100,2,FALSE)</f>
        <v>EE-GI-001-007</v>
      </c>
      <c r="L352" s="15" t="s">
        <v>260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458</v>
      </c>
      <c r="X352" s="12" t="s">
        <v>14</v>
      </c>
      <c r="Y352" s="12" t="s">
        <v>14</v>
      </c>
      <c r="Z352" s="13" t="s">
        <v>2536</v>
      </c>
    </row>
    <row r="353" spans="1:26" ht="19.95" customHeight="1" x14ac:dyDescent="0.3">
      <c r="A353" s="6">
        <v>45701</v>
      </c>
      <c r="B353" s="7" t="s">
        <v>916</v>
      </c>
      <c r="C353" s="8" t="s">
        <v>2616</v>
      </c>
      <c r="D353" s="8" t="s">
        <v>269</v>
      </c>
      <c r="E353" s="8" t="s">
        <v>1013</v>
      </c>
      <c r="F353" s="9" t="s">
        <v>2617</v>
      </c>
      <c r="G353" s="9" t="s">
        <v>2618</v>
      </c>
      <c r="H353" s="9" t="s">
        <v>2619</v>
      </c>
      <c r="I353" s="9" t="s">
        <v>65</v>
      </c>
      <c r="J353" s="10" t="s">
        <v>181</v>
      </c>
      <c r="K353" s="15" t="str">
        <f>VLOOKUP(J353,DADOS!$A$3:$B$100,2,FALSE)</f>
        <v>EE-GI-001-023</v>
      </c>
      <c r="L353" s="15" t="s">
        <v>260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269</v>
      </c>
      <c r="X353" s="12" t="s">
        <v>14</v>
      </c>
      <c r="Y353" s="12" t="s">
        <v>14</v>
      </c>
      <c r="Z353" s="13" t="s">
        <v>2536</v>
      </c>
    </row>
    <row r="354" spans="1:26" ht="19.95" customHeight="1" x14ac:dyDescent="0.3">
      <c r="A354" s="6">
        <v>45701</v>
      </c>
      <c r="B354" s="7" t="s">
        <v>916</v>
      </c>
      <c r="C354" s="8" t="s">
        <v>2516</v>
      </c>
      <c r="D354" s="8" t="s">
        <v>373</v>
      </c>
      <c r="E354" s="8" t="s">
        <v>2592</v>
      </c>
      <c r="F354" s="9" t="s">
        <v>2620</v>
      </c>
      <c r="G354" s="9" t="s">
        <v>2621</v>
      </c>
      <c r="H354" s="9" t="s">
        <v>2622</v>
      </c>
      <c r="I354" s="9" t="s">
        <v>65</v>
      </c>
      <c r="J354" s="10" t="s">
        <v>173</v>
      </c>
      <c r="K354" s="15" t="str">
        <f>VLOOKUP(J354,DADOS!$A$3:$B$100,2,FALSE)</f>
        <v>EE-GI-001-006</v>
      </c>
      <c r="L354" s="15" t="s">
        <v>260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373</v>
      </c>
      <c r="X354" s="12" t="s">
        <v>14</v>
      </c>
      <c r="Y354" s="12" t="s">
        <v>14</v>
      </c>
      <c r="Z354" s="13" t="s">
        <v>2536</v>
      </c>
    </row>
    <row r="355" spans="1:26" ht="19.95" customHeight="1" x14ac:dyDescent="0.3">
      <c r="A355" s="6">
        <v>45701</v>
      </c>
      <c r="B355" s="7" t="s">
        <v>916</v>
      </c>
      <c r="C355" s="8" t="s">
        <v>2623</v>
      </c>
      <c r="D355" s="8" t="s">
        <v>269</v>
      </c>
      <c r="E355" s="8" t="s">
        <v>2592</v>
      </c>
      <c r="F355" s="9" t="s">
        <v>2624</v>
      </c>
      <c r="G355" s="9" t="s">
        <v>2625</v>
      </c>
      <c r="H355" s="9" t="s">
        <v>2626</v>
      </c>
      <c r="I355" s="9" t="s">
        <v>69</v>
      </c>
      <c r="J355" s="10" t="s">
        <v>173</v>
      </c>
      <c r="K355" s="15" t="str">
        <f>VLOOKUP(J355,DADOS!$A$3:$B$100,2,FALSE)</f>
        <v>EE-GI-001-006</v>
      </c>
      <c r="L355" s="15" t="s">
        <v>260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269</v>
      </c>
      <c r="X355" s="12" t="s">
        <v>14</v>
      </c>
      <c r="Y355" s="12" t="s">
        <v>14</v>
      </c>
      <c r="Z355" s="13" t="s">
        <v>2536</v>
      </c>
    </row>
    <row r="356" spans="1:26" ht="19.95" customHeight="1" x14ac:dyDescent="0.3">
      <c r="A356" s="6">
        <v>45702</v>
      </c>
      <c r="B356" s="7" t="s">
        <v>345</v>
      </c>
      <c r="C356" s="8" t="s">
        <v>695</v>
      </c>
      <c r="D356" s="8" t="s">
        <v>696</v>
      </c>
      <c r="E356" s="8" t="s">
        <v>697</v>
      </c>
      <c r="F356" s="9" t="s">
        <v>698</v>
      </c>
      <c r="G356" s="9" t="s">
        <v>494</v>
      </c>
      <c r="H356" s="9" t="s">
        <v>699</v>
      </c>
      <c r="I356" s="9" t="s">
        <v>66</v>
      </c>
      <c r="J356" s="10" t="s">
        <v>186</v>
      </c>
      <c r="K356" s="15" t="str">
        <f>VLOOKUP(J356,DADOS!$A$3:$B$100,2,FALSE)</f>
        <v>EE-GI-001-008</v>
      </c>
      <c r="L356" s="15" t="s">
        <v>303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696</v>
      </c>
      <c r="X356" s="12" t="s">
        <v>14</v>
      </c>
      <c r="Y356" s="12" t="s">
        <v>14</v>
      </c>
      <c r="Z356" s="13" t="s">
        <v>261</v>
      </c>
    </row>
    <row r="357" spans="1:26" ht="19.95" customHeight="1" x14ac:dyDescent="0.3">
      <c r="A357" s="6">
        <v>45702</v>
      </c>
      <c r="B357" s="7" t="s">
        <v>757</v>
      </c>
      <c r="C357" s="8" t="s">
        <v>758</v>
      </c>
      <c r="D357" s="8" t="s">
        <v>269</v>
      </c>
      <c r="E357" s="8" t="s">
        <v>759</v>
      </c>
      <c r="F357" s="9" t="s">
        <v>760</v>
      </c>
      <c r="G357" s="9" t="s">
        <v>765</v>
      </c>
      <c r="H357" s="34"/>
      <c r="I357" s="9" t="s">
        <v>69</v>
      </c>
      <c r="J357" s="10" t="s">
        <v>185</v>
      </c>
      <c r="K357" s="15" t="str">
        <f>VLOOKUP(J357,DADOS!$A$3:$B$100,2,FALSE)</f>
        <v>EE-GI-001-031</v>
      </c>
      <c r="L357" s="15" t="s">
        <v>354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1</v>
      </c>
      <c r="U357" s="17" t="b">
        <v>1</v>
      </c>
      <c r="V357" s="17" t="b">
        <v>1</v>
      </c>
      <c r="W357" s="11" t="s">
        <v>269</v>
      </c>
      <c r="X357" s="12" t="s">
        <v>14</v>
      </c>
      <c r="Y357" s="12" t="s">
        <v>14</v>
      </c>
      <c r="Z357" s="13" t="s">
        <v>355</v>
      </c>
    </row>
    <row r="358" spans="1:26" ht="19.95" customHeight="1" x14ac:dyDescent="0.3">
      <c r="A358" s="6">
        <v>45702</v>
      </c>
      <c r="B358" s="7" t="s">
        <v>757</v>
      </c>
      <c r="C358" s="8" t="s">
        <v>758</v>
      </c>
      <c r="D358" s="8" t="s">
        <v>269</v>
      </c>
      <c r="E358" s="8" t="s">
        <v>759</v>
      </c>
      <c r="F358" s="9" t="s">
        <v>761</v>
      </c>
      <c r="G358" s="9" t="s">
        <v>764</v>
      </c>
      <c r="H358" s="34"/>
      <c r="I358" s="9" t="s">
        <v>69</v>
      </c>
      <c r="J358" s="10" t="s">
        <v>185</v>
      </c>
      <c r="K358" s="15" t="str">
        <f>VLOOKUP(J358,DADOS!$A$3:$B$100,2,FALSE)</f>
        <v>EE-GI-001-031</v>
      </c>
      <c r="L358" s="15" t="s">
        <v>354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1</v>
      </c>
      <c r="U358" s="17" t="b">
        <v>1</v>
      </c>
      <c r="V358" s="17" t="b">
        <v>1</v>
      </c>
      <c r="W358" s="11" t="s">
        <v>269</v>
      </c>
      <c r="X358" s="12" t="s">
        <v>14</v>
      </c>
      <c r="Y358" s="12" t="s">
        <v>14</v>
      </c>
      <c r="Z358" s="13" t="s">
        <v>355</v>
      </c>
    </row>
    <row r="359" spans="1:26" ht="19.95" customHeight="1" x14ac:dyDescent="0.3">
      <c r="A359" s="6">
        <v>45702</v>
      </c>
      <c r="B359" s="7" t="s">
        <v>757</v>
      </c>
      <c r="C359" s="8" t="s">
        <v>766</v>
      </c>
      <c r="D359" s="8" t="s">
        <v>269</v>
      </c>
      <c r="E359" s="8" t="s">
        <v>759</v>
      </c>
      <c r="F359" s="9" t="s">
        <v>762</v>
      </c>
      <c r="G359" s="9" t="s">
        <v>767</v>
      </c>
      <c r="H359" s="34"/>
      <c r="I359" s="9" t="s">
        <v>69</v>
      </c>
      <c r="J359" s="10" t="s">
        <v>185</v>
      </c>
      <c r="K359" s="15" t="str">
        <f>VLOOKUP(J359,DADOS!$A$3:$B$100,2,FALSE)</f>
        <v>EE-GI-001-031</v>
      </c>
      <c r="L359" s="15" t="s">
        <v>354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269</v>
      </c>
      <c r="X359" s="12" t="s">
        <v>14</v>
      </c>
      <c r="Y359" s="12" t="s">
        <v>14</v>
      </c>
      <c r="Z359" s="13" t="s">
        <v>355</v>
      </c>
    </row>
    <row r="360" spans="1:26" ht="19.95" customHeight="1" x14ac:dyDescent="0.3">
      <c r="A360" s="6">
        <v>45702</v>
      </c>
      <c r="B360" s="7" t="s">
        <v>757</v>
      </c>
      <c r="C360" s="8" t="s">
        <v>766</v>
      </c>
      <c r="D360" s="8" t="s">
        <v>269</v>
      </c>
      <c r="E360" s="8" t="s">
        <v>759</v>
      </c>
      <c r="F360" s="9" t="s">
        <v>763</v>
      </c>
      <c r="G360" s="9" t="s">
        <v>768</v>
      </c>
      <c r="H360" s="34"/>
      <c r="I360" s="9" t="s">
        <v>69</v>
      </c>
      <c r="J360" s="10" t="s">
        <v>185</v>
      </c>
      <c r="K360" s="15" t="str">
        <f>VLOOKUP(J360,DADOS!$A$3:$B$100,2,FALSE)</f>
        <v>EE-GI-001-031</v>
      </c>
      <c r="L360" s="15" t="s">
        <v>354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269</v>
      </c>
      <c r="X360" s="12" t="s">
        <v>14</v>
      </c>
      <c r="Y360" s="12" t="s">
        <v>14</v>
      </c>
      <c r="Z360" s="13" t="s">
        <v>355</v>
      </c>
    </row>
    <row r="361" spans="1:26" ht="19.95" customHeight="1" x14ac:dyDescent="0.3">
      <c r="A361" s="6">
        <v>45702</v>
      </c>
      <c r="B361" s="7" t="s">
        <v>339</v>
      </c>
      <c r="C361" s="8" t="s">
        <v>1036</v>
      </c>
      <c r="D361" s="8" t="s">
        <v>281</v>
      </c>
      <c r="E361" s="8" t="s">
        <v>1037</v>
      </c>
      <c r="F361" s="9" t="s">
        <v>1038</v>
      </c>
      <c r="G361" s="9" t="s">
        <v>655</v>
      </c>
      <c r="H361" s="9" t="s">
        <v>14</v>
      </c>
      <c r="I361" s="9" t="s">
        <v>66</v>
      </c>
      <c r="J361" s="10" t="s">
        <v>15</v>
      </c>
      <c r="K361" s="15" t="str">
        <f>VLOOKUP(J361,DADOS!$A$3:$B$100,2,FALSE)</f>
        <v>EE-GI-001-002</v>
      </c>
      <c r="L361" s="15" t="s">
        <v>260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1</v>
      </c>
      <c r="W361" s="11" t="s">
        <v>281</v>
      </c>
      <c r="X361" s="12" t="s">
        <v>14</v>
      </c>
      <c r="Y361" s="12" t="s">
        <v>14</v>
      </c>
      <c r="Z361" s="13" t="s">
        <v>261</v>
      </c>
    </row>
    <row r="362" spans="1:26" ht="19.95" customHeight="1" x14ac:dyDescent="0.3">
      <c r="A362" s="6">
        <v>45702</v>
      </c>
      <c r="B362" s="7" t="s">
        <v>339</v>
      </c>
      <c r="C362" s="8" t="s">
        <v>1039</v>
      </c>
      <c r="D362" s="8" t="s">
        <v>269</v>
      </c>
      <c r="E362" s="8" t="s">
        <v>1037</v>
      </c>
      <c r="F362" s="9" t="s">
        <v>1040</v>
      </c>
      <c r="G362" s="9" t="s">
        <v>1041</v>
      </c>
      <c r="H362" s="9" t="s">
        <v>14</v>
      </c>
      <c r="I362" s="9" t="s">
        <v>66</v>
      </c>
      <c r="J362" s="10" t="s">
        <v>22</v>
      </c>
      <c r="K362" s="15" t="str">
        <f>VLOOKUP(J362,DADOS!$A$3:$B$100,2,FALSE)</f>
        <v>EE-GI-001-015</v>
      </c>
      <c r="L362" s="15" t="s">
        <v>260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1</v>
      </c>
      <c r="W362" s="11" t="s">
        <v>269</v>
      </c>
      <c r="X362" s="12" t="s">
        <v>14</v>
      </c>
      <c r="Y362" s="12" t="s">
        <v>14</v>
      </c>
      <c r="Z362" s="13" t="s">
        <v>261</v>
      </c>
    </row>
    <row r="363" spans="1:26" ht="19.95" customHeight="1" x14ac:dyDescent="0.3">
      <c r="A363" s="6">
        <v>45702</v>
      </c>
      <c r="B363" s="7" t="s">
        <v>339</v>
      </c>
      <c r="C363" s="8" t="s">
        <v>1042</v>
      </c>
      <c r="D363" s="8" t="s">
        <v>269</v>
      </c>
      <c r="E363" s="8" t="s">
        <v>1037</v>
      </c>
      <c r="F363" s="9" t="s">
        <v>1043</v>
      </c>
      <c r="G363" s="9" t="s">
        <v>14</v>
      </c>
      <c r="H363" s="9" t="s">
        <v>14</v>
      </c>
      <c r="I363" s="9" t="s">
        <v>65</v>
      </c>
      <c r="J363" s="10" t="s">
        <v>14</v>
      </c>
      <c r="K363" s="15" t="s">
        <v>14</v>
      </c>
      <c r="L363" s="15" t="s">
        <v>260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1</v>
      </c>
      <c r="W363" s="11" t="s">
        <v>269</v>
      </c>
      <c r="X363" s="12" t="s">
        <v>14</v>
      </c>
      <c r="Y363" s="12" t="s">
        <v>14</v>
      </c>
      <c r="Z363" s="13" t="s">
        <v>261</v>
      </c>
    </row>
    <row r="364" spans="1:26" ht="19.95" customHeight="1" x14ac:dyDescent="0.3">
      <c r="A364" s="6">
        <v>45702</v>
      </c>
      <c r="B364" s="7" t="s">
        <v>339</v>
      </c>
      <c r="C364" s="9" t="s">
        <v>2375</v>
      </c>
      <c r="D364" s="8" t="s">
        <v>373</v>
      </c>
      <c r="E364" s="8" t="s">
        <v>1037</v>
      </c>
      <c r="F364" s="8" t="s">
        <v>2376</v>
      </c>
      <c r="G364" s="9" t="s">
        <v>2377</v>
      </c>
      <c r="H364" s="9" t="s">
        <v>14</v>
      </c>
      <c r="I364" s="9" t="s">
        <v>66</v>
      </c>
      <c r="J364" s="10" t="s">
        <v>185</v>
      </c>
      <c r="K364" s="15" t="str">
        <f>VLOOKUP(J364,DADOS!$A$3:$B$100,2,FALSE)</f>
        <v>EE-GI-001-031</v>
      </c>
      <c r="L364" s="15" t="s">
        <v>260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373</v>
      </c>
      <c r="X364" s="12" t="s">
        <v>14</v>
      </c>
      <c r="Y364" s="12" t="s">
        <v>14</v>
      </c>
      <c r="Z364" s="13" t="s">
        <v>355</v>
      </c>
    </row>
    <row r="365" spans="1:26" ht="19.95" customHeight="1" x14ac:dyDescent="0.3">
      <c r="A365" s="6">
        <v>45702</v>
      </c>
      <c r="B365" s="7" t="s">
        <v>339</v>
      </c>
      <c r="C365" s="9" t="s">
        <v>2378</v>
      </c>
      <c r="D365" s="8" t="s">
        <v>693</v>
      </c>
      <c r="E365" s="8" t="s">
        <v>1037</v>
      </c>
      <c r="F365" s="8" t="s">
        <v>692</v>
      </c>
      <c r="G365" s="9" t="s">
        <v>689</v>
      </c>
      <c r="H365" s="9" t="s">
        <v>14</v>
      </c>
      <c r="I365" s="9" t="s">
        <v>66</v>
      </c>
      <c r="J365" s="10" t="s">
        <v>186</v>
      </c>
      <c r="K365" s="15" t="str">
        <f>VLOOKUP(J365,DADOS!$A$3:$B$100,2,FALSE)</f>
        <v>EE-GI-001-008</v>
      </c>
      <c r="L365" s="15" t="s">
        <v>260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1</v>
      </c>
      <c r="W365" s="11" t="s">
        <v>693</v>
      </c>
      <c r="X365" s="12" t="s">
        <v>14</v>
      </c>
      <c r="Y365" s="12" t="s">
        <v>14</v>
      </c>
      <c r="Z365" s="13" t="s">
        <v>355</v>
      </c>
    </row>
    <row r="366" spans="1:26" ht="19.95" customHeight="1" x14ac:dyDescent="0.3">
      <c r="A366" s="6">
        <v>45702</v>
      </c>
      <c r="B366" s="7" t="s">
        <v>377</v>
      </c>
      <c r="C366" s="8" t="s">
        <v>769</v>
      </c>
      <c r="D366" s="8" t="s">
        <v>287</v>
      </c>
      <c r="E366" s="8" t="s">
        <v>770</v>
      </c>
      <c r="F366" s="9" t="s">
        <v>771</v>
      </c>
      <c r="G366" s="9" t="s">
        <v>773</v>
      </c>
      <c r="H366" s="9" t="s">
        <v>774</v>
      </c>
      <c r="I366" s="9" t="s">
        <v>69</v>
      </c>
      <c r="J366" s="10" t="s">
        <v>15</v>
      </c>
      <c r="K366" s="15" t="str">
        <f>VLOOKUP(J366,DADOS!$A$3:$B$100,2,FALSE)</f>
        <v>EE-GI-001-002</v>
      </c>
      <c r="L366" s="15" t="s">
        <v>354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1</v>
      </c>
      <c r="U366" s="17" t="b">
        <v>1</v>
      </c>
      <c r="V366" s="17" t="b">
        <v>1</v>
      </c>
      <c r="W366" s="11" t="s">
        <v>287</v>
      </c>
      <c r="X366" s="12" t="s">
        <v>14</v>
      </c>
      <c r="Y366" s="12" t="s">
        <v>14</v>
      </c>
      <c r="Z366" s="13" t="s">
        <v>355</v>
      </c>
    </row>
    <row r="367" spans="1:26" ht="19.95" customHeight="1" x14ac:dyDescent="0.3">
      <c r="A367" s="6">
        <v>45702</v>
      </c>
      <c r="B367" s="7" t="s">
        <v>377</v>
      </c>
      <c r="C367" s="8" t="s">
        <v>769</v>
      </c>
      <c r="D367" s="8" t="s">
        <v>281</v>
      </c>
      <c r="E367" s="8" t="s">
        <v>770</v>
      </c>
      <c r="F367" s="9" t="s">
        <v>772</v>
      </c>
      <c r="G367" s="9" t="s">
        <v>773</v>
      </c>
      <c r="H367" s="9" t="s">
        <v>774</v>
      </c>
      <c r="I367" s="9" t="s">
        <v>69</v>
      </c>
      <c r="J367" s="10" t="s">
        <v>15</v>
      </c>
      <c r="K367" s="15" t="str">
        <f>VLOOKUP(J367,DADOS!$A$3:$B$100,2,FALSE)</f>
        <v>EE-GI-001-002</v>
      </c>
      <c r="L367" s="15" t="s">
        <v>354</v>
      </c>
      <c r="M367" s="18" t="b">
        <v>1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1</v>
      </c>
      <c r="U367" s="17" t="b">
        <v>1</v>
      </c>
      <c r="V367" s="17" t="b">
        <v>1</v>
      </c>
      <c r="W367" s="11" t="s">
        <v>281</v>
      </c>
      <c r="X367" s="12" t="s">
        <v>14</v>
      </c>
      <c r="Y367" s="12" t="s">
        <v>14</v>
      </c>
      <c r="Z367" s="13" t="s">
        <v>355</v>
      </c>
    </row>
    <row r="368" spans="1:26" ht="19.95" customHeight="1" x14ac:dyDescent="0.3">
      <c r="A368" s="6">
        <v>45702</v>
      </c>
      <c r="B368" s="7" t="s">
        <v>377</v>
      </c>
      <c r="C368" s="8" t="s">
        <v>769</v>
      </c>
      <c r="D368" s="8" t="s">
        <v>373</v>
      </c>
      <c r="E368" s="8" t="s">
        <v>770</v>
      </c>
      <c r="F368" s="9" t="s">
        <v>775</v>
      </c>
      <c r="G368" s="9" t="s">
        <v>773</v>
      </c>
      <c r="H368" s="9" t="s">
        <v>774</v>
      </c>
      <c r="I368" s="9" t="s">
        <v>69</v>
      </c>
      <c r="J368" s="10" t="s">
        <v>15</v>
      </c>
      <c r="K368" s="15" t="str">
        <f>VLOOKUP(J368,DADOS!$A$3:$B$100,2,FALSE)</f>
        <v>EE-GI-001-002</v>
      </c>
      <c r="L368" s="15" t="s">
        <v>354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1</v>
      </c>
      <c r="U368" s="17" t="b">
        <v>1</v>
      </c>
      <c r="V368" s="17" t="b">
        <v>1</v>
      </c>
      <c r="W368" s="11" t="s">
        <v>373</v>
      </c>
      <c r="X368" s="12" t="s">
        <v>14</v>
      </c>
      <c r="Y368" s="12" t="s">
        <v>14</v>
      </c>
      <c r="Z368" s="13" t="s">
        <v>355</v>
      </c>
    </row>
    <row r="369" spans="1:26" ht="19.95" customHeight="1" x14ac:dyDescent="0.3">
      <c r="A369" s="6">
        <v>45702</v>
      </c>
      <c r="B369" s="7" t="s">
        <v>377</v>
      </c>
      <c r="C369" s="8" t="s">
        <v>776</v>
      </c>
      <c r="D369" s="8" t="s">
        <v>269</v>
      </c>
      <c r="E369" s="8" t="s">
        <v>770</v>
      </c>
      <c r="F369" s="9" t="s">
        <v>777</v>
      </c>
      <c r="G369" s="9" t="s">
        <v>778</v>
      </c>
      <c r="H369" s="9" t="s">
        <v>779</v>
      </c>
      <c r="I369" s="9" t="s">
        <v>69</v>
      </c>
      <c r="J369" s="10" t="s">
        <v>17</v>
      </c>
      <c r="K369" s="15" t="str">
        <f>VLOOKUP(J369,DADOS!$A$3:$B$100,2,FALSE)</f>
        <v>EE-GI-001-001</v>
      </c>
      <c r="L369" s="15" t="s">
        <v>354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1</v>
      </c>
      <c r="U369" s="17" t="b">
        <v>1</v>
      </c>
      <c r="V369" s="17" t="b">
        <v>1</v>
      </c>
      <c r="W369" s="11" t="s">
        <v>269</v>
      </c>
      <c r="X369" s="12" t="s">
        <v>14</v>
      </c>
      <c r="Y369" s="12" t="s">
        <v>14</v>
      </c>
      <c r="Z369" s="13" t="s">
        <v>355</v>
      </c>
    </row>
    <row r="370" spans="1:26" ht="19.95" customHeight="1" x14ac:dyDescent="0.3">
      <c r="A370" s="6">
        <v>45702</v>
      </c>
      <c r="B370" s="7" t="s">
        <v>377</v>
      </c>
      <c r="C370" s="8" t="s">
        <v>776</v>
      </c>
      <c r="D370" s="8" t="s">
        <v>269</v>
      </c>
      <c r="E370" s="8" t="s">
        <v>770</v>
      </c>
      <c r="F370" s="9" t="s">
        <v>780</v>
      </c>
      <c r="G370" s="9" t="s">
        <v>781</v>
      </c>
      <c r="H370" s="9" t="s">
        <v>779</v>
      </c>
      <c r="I370" s="9" t="s">
        <v>69</v>
      </c>
      <c r="J370" s="10" t="s">
        <v>17</v>
      </c>
      <c r="K370" s="15" t="str">
        <f>VLOOKUP(J370,DADOS!$A$3:$B$100,2,FALSE)</f>
        <v>EE-GI-001-001</v>
      </c>
      <c r="L370" s="15" t="s">
        <v>354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1</v>
      </c>
      <c r="U370" s="17" t="b">
        <v>1</v>
      </c>
      <c r="V370" s="17" t="b">
        <v>1</v>
      </c>
      <c r="W370" s="11" t="s">
        <v>269</v>
      </c>
      <c r="X370" s="12" t="s">
        <v>14</v>
      </c>
      <c r="Y370" s="12" t="s">
        <v>14</v>
      </c>
      <c r="Z370" s="13" t="s">
        <v>355</v>
      </c>
    </row>
    <row r="371" spans="1:26" ht="19.95" customHeight="1" x14ac:dyDescent="0.3">
      <c r="A371" s="6">
        <v>45702</v>
      </c>
      <c r="B371" s="7" t="s">
        <v>377</v>
      </c>
      <c r="C371" s="8" t="s">
        <v>992</v>
      </c>
      <c r="D371" s="8" t="s">
        <v>373</v>
      </c>
      <c r="E371" s="8" t="s">
        <v>993</v>
      </c>
      <c r="F371" s="9" t="s">
        <v>994</v>
      </c>
      <c r="G371" s="9" t="s">
        <v>273</v>
      </c>
      <c r="H371" s="9" t="s">
        <v>995</v>
      </c>
      <c r="I371" s="9" t="s">
        <v>65</v>
      </c>
      <c r="J371" s="10" t="s">
        <v>16</v>
      </c>
      <c r="K371" s="15" t="str">
        <f>VLOOKUP(J371,DADOS!$A$3:$B$100,2,FALSE)</f>
        <v>EE-GI-001-003</v>
      </c>
      <c r="L371" s="15" t="s">
        <v>260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1</v>
      </c>
      <c r="W371" s="11" t="s">
        <v>373</v>
      </c>
      <c r="X371" s="12" t="s">
        <v>14</v>
      </c>
      <c r="Y371" s="12" t="s">
        <v>14</v>
      </c>
      <c r="Z371" s="13" t="s">
        <v>261</v>
      </c>
    </row>
    <row r="372" spans="1:26" ht="19.95" customHeight="1" x14ac:dyDescent="0.3">
      <c r="A372" s="6">
        <v>45702</v>
      </c>
      <c r="B372" s="7" t="s">
        <v>377</v>
      </c>
      <c r="C372" s="8" t="s">
        <v>992</v>
      </c>
      <c r="D372" s="8" t="s">
        <v>373</v>
      </c>
      <c r="E372" s="8" t="s">
        <v>993</v>
      </c>
      <c r="F372" s="9" t="s">
        <v>996</v>
      </c>
      <c r="G372" s="9" t="s">
        <v>273</v>
      </c>
      <c r="H372" s="9" t="s">
        <v>995</v>
      </c>
      <c r="I372" s="9" t="s">
        <v>65</v>
      </c>
      <c r="J372" s="10" t="s">
        <v>16</v>
      </c>
      <c r="K372" s="15" t="str">
        <f>VLOOKUP(J372,DADOS!$A$3:$B$100,2,FALSE)</f>
        <v>EE-GI-001-003</v>
      </c>
      <c r="L372" s="15" t="s">
        <v>260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1</v>
      </c>
      <c r="W372" s="11" t="s">
        <v>373</v>
      </c>
      <c r="X372" s="12" t="s">
        <v>14</v>
      </c>
      <c r="Y372" s="12" t="s">
        <v>14</v>
      </c>
      <c r="Z372" s="13" t="s">
        <v>261</v>
      </c>
    </row>
    <row r="373" spans="1:26" ht="19.95" customHeight="1" x14ac:dyDescent="0.3">
      <c r="A373" s="6">
        <v>45702</v>
      </c>
      <c r="B373" s="7" t="s">
        <v>377</v>
      </c>
      <c r="C373" s="8" t="s">
        <v>992</v>
      </c>
      <c r="D373" s="8" t="s">
        <v>364</v>
      </c>
      <c r="E373" s="8" t="s">
        <v>993</v>
      </c>
      <c r="F373" s="9" t="s">
        <v>997</v>
      </c>
      <c r="G373" s="9" t="s">
        <v>273</v>
      </c>
      <c r="H373" s="9" t="s">
        <v>995</v>
      </c>
      <c r="I373" s="9" t="s">
        <v>65</v>
      </c>
      <c r="J373" s="10" t="s">
        <v>16</v>
      </c>
      <c r="K373" s="15" t="str">
        <f>VLOOKUP(J373,DADOS!$A$3:$B$100,2,FALSE)</f>
        <v>EE-GI-001-003</v>
      </c>
      <c r="L373" s="15" t="s">
        <v>260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 t="s">
        <v>364</v>
      </c>
      <c r="X373" s="12" t="s">
        <v>14</v>
      </c>
      <c r="Y373" s="12" t="s">
        <v>14</v>
      </c>
      <c r="Z373" s="13" t="s">
        <v>261</v>
      </c>
    </row>
    <row r="374" spans="1:26" ht="19.95" customHeight="1" x14ac:dyDescent="0.3">
      <c r="A374" s="6">
        <v>45702</v>
      </c>
      <c r="B374" s="7" t="s">
        <v>377</v>
      </c>
      <c r="C374" s="8" t="s">
        <v>992</v>
      </c>
      <c r="D374" s="8" t="s">
        <v>269</v>
      </c>
      <c r="E374" s="8" t="s">
        <v>993</v>
      </c>
      <c r="F374" s="9" t="s">
        <v>998</v>
      </c>
      <c r="G374" s="9" t="s">
        <v>999</v>
      </c>
      <c r="H374" s="9" t="s">
        <v>995</v>
      </c>
      <c r="I374" s="9" t="s">
        <v>65</v>
      </c>
      <c r="J374" s="10" t="s">
        <v>16</v>
      </c>
      <c r="K374" s="15" t="str">
        <f>VLOOKUP(J374,DADOS!$A$3:$B$100,2,FALSE)</f>
        <v>EE-GI-001-003</v>
      </c>
      <c r="L374" s="15" t="s">
        <v>260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1</v>
      </c>
      <c r="W374" s="11" t="s">
        <v>269</v>
      </c>
      <c r="X374" s="12" t="s">
        <v>14</v>
      </c>
      <c r="Y374" s="12" t="s">
        <v>14</v>
      </c>
      <c r="Z374" s="13" t="s">
        <v>261</v>
      </c>
    </row>
    <row r="375" spans="1:26" ht="19.95" customHeight="1" x14ac:dyDescent="0.3">
      <c r="A375" s="6">
        <v>45702</v>
      </c>
      <c r="B375" s="7" t="s">
        <v>377</v>
      </c>
      <c r="C375" s="8" t="s">
        <v>992</v>
      </c>
      <c r="D375" s="8" t="s">
        <v>279</v>
      </c>
      <c r="E375" s="8" t="s">
        <v>810</v>
      </c>
      <c r="F375" s="9" t="s">
        <v>1000</v>
      </c>
      <c r="G375" s="9" t="s">
        <v>1001</v>
      </c>
      <c r="H375" s="9" t="s">
        <v>1002</v>
      </c>
      <c r="I375" s="9" t="s">
        <v>65</v>
      </c>
      <c r="J375" s="10" t="s">
        <v>16</v>
      </c>
      <c r="K375" s="15" t="str">
        <f>VLOOKUP(J375,DADOS!$A$3:$B$100,2,FALSE)</f>
        <v>EE-GI-001-003</v>
      </c>
      <c r="L375" s="15" t="s">
        <v>260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1</v>
      </c>
      <c r="W375" s="11" t="s">
        <v>279</v>
      </c>
      <c r="X375" s="12" t="s">
        <v>14</v>
      </c>
      <c r="Y375" s="12" t="s">
        <v>14</v>
      </c>
      <c r="Z375" s="13" t="s">
        <v>261</v>
      </c>
    </row>
    <row r="376" spans="1:26" ht="19.95" customHeight="1" x14ac:dyDescent="0.3">
      <c r="A376" s="6">
        <v>45702</v>
      </c>
      <c r="B376" s="7" t="s">
        <v>700</v>
      </c>
      <c r="C376" s="8" t="s">
        <v>701</v>
      </c>
      <c r="D376" s="8" t="s">
        <v>269</v>
      </c>
      <c r="E376" s="8" t="s">
        <v>702</v>
      </c>
      <c r="F376" s="9" t="s">
        <v>703</v>
      </c>
      <c r="G376" s="9" t="s">
        <v>704</v>
      </c>
      <c r="H376" s="9" t="s">
        <v>705</v>
      </c>
      <c r="I376" s="9" t="s">
        <v>69</v>
      </c>
      <c r="J376" s="10" t="s">
        <v>15</v>
      </c>
      <c r="K376" s="15" t="str">
        <f>VLOOKUP(J376,DADOS!$A$3:$B$100,2,FALSE)</f>
        <v>EE-GI-001-002</v>
      </c>
      <c r="L376" s="15" t="s">
        <v>260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1</v>
      </c>
      <c r="S376" s="17" t="b">
        <v>0</v>
      </c>
      <c r="T376" s="17" t="b">
        <v>0</v>
      </c>
      <c r="U376" s="17" t="b">
        <v>0</v>
      </c>
      <c r="V376" s="17" t="b">
        <v>0</v>
      </c>
      <c r="W376" s="11" t="s">
        <v>269</v>
      </c>
      <c r="X376" s="12" t="s">
        <v>14</v>
      </c>
      <c r="Y376" s="12" t="s">
        <v>14</v>
      </c>
      <c r="Z376" s="13" t="s">
        <v>261</v>
      </c>
    </row>
    <row r="377" spans="1:26" ht="19.95" customHeight="1" x14ac:dyDescent="0.3">
      <c r="A377" s="6">
        <v>45702</v>
      </c>
      <c r="B377" s="7" t="s">
        <v>700</v>
      </c>
      <c r="C377" s="8" t="s">
        <v>701</v>
      </c>
      <c r="D377" s="8" t="s">
        <v>269</v>
      </c>
      <c r="E377" s="8" t="s">
        <v>702</v>
      </c>
      <c r="F377" s="9" t="s">
        <v>706</v>
      </c>
      <c r="G377" s="9" t="s">
        <v>704</v>
      </c>
      <c r="H377" s="9" t="s">
        <v>705</v>
      </c>
      <c r="I377" s="9" t="s">
        <v>69</v>
      </c>
      <c r="J377" s="10" t="s">
        <v>15</v>
      </c>
      <c r="K377" s="15" t="str">
        <f>VLOOKUP(J377,DADOS!$A$3:$B$100,2,FALSE)</f>
        <v>EE-GI-001-002</v>
      </c>
      <c r="L377" s="15" t="s">
        <v>260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1</v>
      </c>
      <c r="S377" s="17" t="b">
        <v>0</v>
      </c>
      <c r="T377" s="17" t="b">
        <v>0</v>
      </c>
      <c r="U377" s="17" t="b">
        <v>0</v>
      </c>
      <c r="V377" s="17" t="b">
        <v>0</v>
      </c>
      <c r="W377" s="11" t="s">
        <v>269</v>
      </c>
      <c r="X377" s="12" t="s">
        <v>14</v>
      </c>
      <c r="Y377" s="12" t="s">
        <v>14</v>
      </c>
      <c r="Z377" s="13" t="s">
        <v>261</v>
      </c>
    </row>
    <row r="378" spans="1:26" ht="19.95" customHeight="1" x14ac:dyDescent="0.3">
      <c r="A378" s="6">
        <v>45702</v>
      </c>
      <c r="B378" s="7" t="s">
        <v>700</v>
      </c>
      <c r="C378" s="8" t="s">
        <v>707</v>
      </c>
      <c r="D378" s="8" t="s">
        <v>281</v>
      </c>
      <c r="E378" s="8" t="s">
        <v>709</v>
      </c>
      <c r="F378" s="9" t="s">
        <v>710</v>
      </c>
      <c r="G378" s="9" t="s">
        <v>711</v>
      </c>
      <c r="H378" s="9" t="s">
        <v>712</v>
      </c>
      <c r="I378" s="9" t="s">
        <v>66</v>
      </c>
      <c r="J378" s="10" t="s">
        <v>17</v>
      </c>
      <c r="K378" s="15" t="str">
        <f>VLOOKUP(J378,DADOS!$A$3:$B$100,2,FALSE)</f>
        <v>EE-GI-001-001</v>
      </c>
      <c r="L378" s="15" t="s">
        <v>260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0</v>
      </c>
      <c r="S378" s="17" t="b">
        <v>0</v>
      </c>
      <c r="T378" s="17" t="b">
        <v>0</v>
      </c>
      <c r="U378" s="17" t="b">
        <v>0</v>
      </c>
      <c r="V378" s="17" t="b">
        <v>0</v>
      </c>
      <c r="W378" s="11" t="s">
        <v>281</v>
      </c>
      <c r="X378" s="12" t="s">
        <v>14</v>
      </c>
      <c r="Y378" s="12" t="s">
        <v>14</v>
      </c>
      <c r="Z378" s="13" t="s">
        <v>261</v>
      </c>
    </row>
    <row r="379" spans="1:26" ht="19.95" customHeight="1" x14ac:dyDescent="0.3">
      <c r="A379" s="6">
        <v>45702</v>
      </c>
      <c r="B379" s="7" t="s">
        <v>700</v>
      </c>
      <c r="C379" s="8" t="s">
        <v>713</v>
      </c>
      <c r="D379" s="8" t="s">
        <v>269</v>
      </c>
      <c r="E379" s="8" t="s">
        <v>714</v>
      </c>
      <c r="F379" s="9" t="s">
        <v>715</v>
      </c>
      <c r="G379" s="9" t="s">
        <v>704</v>
      </c>
      <c r="H379" s="9" t="s">
        <v>717</v>
      </c>
      <c r="I379" s="9" t="s">
        <v>66</v>
      </c>
      <c r="J379" s="10" t="s">
        <v>15</v>
      </c>
      <c r="K379" s="15" t="str">
        <f>VLOOKUP(J379,DADOS!$A$3:$B$100,2,FALSE)</f>
        <v>EE-GI-001-002</v>
      </c>
      <c r="L379" s="15" t="s">
        <v>303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1</v>
      </c>
      <c r="S379" s="17" t="b">
        <v>0</v>
      </c>
      <c r="T379" s="17" t="b">
        <v>0</v>
      </c>
      <c r="U379" s="17" t="b">
        <v>0</v>
      </c>
      <c r="V379" s="17" t="b">
        <v>0</v>
      </c>
      <c r="W379" s="11" t="s">
        <v>269</v>
      </c>
      <c r="X379" s="12" t="s">
        <v>14</v>
      </c>
      <c r="Y379" s="12" t="s">
        <v>14</v>
      </c>
      <c r="Z379" s="13" t="s">
        <v>261</v>
      </c>
    </row>
    <row r="380" spans="1:26" ht="19.95" customHeight="1" x14ac:dyDescent="0.3">
      <c r="A380" s="6">
        <v>45702</v>
      </c>
      <c r="B380" s="7" t="s">
        <v>700</v>
      </c>
      <c r="C380" s="8" t="s">
        <v>713</v>
      </c>
      <c r="D380" s="8" t="s">
        <v>364</v>
      </c>
      <c r="E380" s="8" t="s">
        <v>714</v>
      </c>
      <c r="F380" s="9" t="s">
        <v>716</v>
      </c>
      <c r="G380" s="9" t="s">
        <v>704</v>
      </c>
      <c r="H380" s="9" t="s">
        <v>717</v>
      </c>
      <c r="I380" s="9" t="s">
        <v>66</v>
      </c>
      <c r="J380" s="10" t="s">
        <v>15</v>
      </c>
      <c r="K380" s="15" t="str">
        <f>VLOOKUP(J380,DADOS!$A$3:$B$100,2,FALSE)</f>
        <v>EE-GI-001-002</v>
      </c>
      <c r="L380" s="15" t="s">
        <v>303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1</v>
      </c>
      <c r="S380" s="17" t="b">
        <v>0</v>
      </c>
      <c r="T380" s="17" t="b">
        <v>0</v>
      </c>
      <c r="U380" s="17" t="b">
        <v>0</v>
      </c>
      <c r="V380" s="17" t="b">
        <v>0</v>
      </c>
      <c r="W380" s="11" t="s">
        <v>364</v>
      </c>
      <c r="X380" s="12" t="s">
        <v>14</v>
      </c>
      <c r="Y380" s="12" t="s">
        <v>14</v>
      </c>
      <c r="Z380" s="13" t="s">
        <v>261</v>
      </c>
    </row>
    <row r="381" spans="1:26" ht="19.95" customHeight="1" x14ac:dyDescent="0.3">
      <c r="A381" s="6">
        <v>45702</v>
      </c>
      <c r="B381" s="7" t="s">
        <v>700</v>
      </c>
      <c r="C381" s="8" t="s">
        <v>718</v>
      </c>
      <c r="D381" s="8" t="s">
        <v>281</v>
      </c>
      <c r="E381" s="8" t="s">
        <v>720</v>
      </c>
      <c r="F381" s="9" t="s">
        <v>721</v>
      </c>
      <c r="G381" s="9" t="s">
        <v>722</v>
      </c>
      <c r="H381" s="9" t="s">
        <v>723</v>
      </c>
      <c r="I381" s="9" t="s">
        <v>68</v>
      </c>
      <c r="J381" s="10" t="s">
        <v>15</v>
      </c>
      <c r="K381" s="15" t="str">
        <f>VLOOKUP(J381,DADOS!$A$3:$B$100,2,FALSE)</f>
        <v>EE-GI-001-002</v>
      </c>
      <c r="L381" s="15" t="s">
        <v>303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1</v>
      </c>
      <c r="S381" s="17" t="b">
        <v>0</v>
      </c>
      <c r="T381" s="17" t="b">
        <v>0</v>
      </c>
      <c r="U381" s="17" t="b">
        <v>0</v>
      </c>
      <c r="V381" s="17" t="b">
        <v>0</v>
      </c>
      <c r="W381" s="11" t="s">
        <v>281</v>
      </c>
      <c r="X381" s="12" t="s">
        <v>14</v>
      </c>
      <c r="Y381" s="12" t="s">
        <v>14</v>
      </c>
      <c r="Z381" s="13" t="s">
        <v>261</v>
      </c>
    </row>
    <row r="382" spans="1:26" ht="19.95" customHeight="1" x14ac:dyDescent="0.3">
      <c r="A382" s="6">
        <v>45702</v>
      </c>
      <c r="B382" s="7" t="s">
        <v>700</v>
      </c>
      <c r="C382" s="8" t="s">
        <v>719</v>
      </c>
      <c r="D382" s="8" t="s">
        <v>281</v>
      </c>
      <c r="E382" s="8" t="s">
        <v>720</v>
      </c>
      <c r="F382" s="9" t="s">
        <v>725</v>
      </c>
      <c r="G382" s="9" t="s">
        <v>722</v>
      </c>
      <c r="H382" s="9" t="s">
        <v>724</v>
      </c>
      <c r="I382" s="9" t="s">
        <v>68</v>
      </c>
      <c r="J382" s="10" t="s">
        <v>15</v>
      </c>
      <c r="K382" s="15" t="str">
        <f>VLOOKUP(J382,DADOS!$A$3:$B$100,2,FALSE)</f>
        <v>EE-GI-001-002</v>
      </c>
      <c r="L382" s="15" t="s">
        <v>303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1</v>
      </c>
      <c r="S382" s="17" t="b">
        <v>0</v>
      </c>
      <c r="T382" s="17" t="b">
        <v>0</v>
      </c>
      <c r="U382" s="17" t="b">
        <v>0</v>
      </c>
      <c r="V382" s="17" t="b">
        <v>0</v>
      </c>
      <c r="W382" s="11" t="s">
        <v>281</v>
      </c>
      <c r="X382" s="12" t="s">
        <v>14</v>
      </c>
      <c r="Y382" s="12" t="s">
        <v>14</v>
      </c>
      <c r="Z382" s="13" t="s">
        <v>261</v>
      </c>
    </row>
    <row r="383" spans="1:26" ht="19.95" customHeight="1" x14ac:dyDescent="0.3">
      <c r="A383" s="6">
        <v>45702</v>
      </c>
      <c r="B383" s="7" t="s">
        <v>700</v>
      </c>
      <c r="C383" s="8" t="s">
        <v>726</v>
      </c>
      <c r="D383" s="8" t="s">
        <v>281</v>
      </c>
      <c r="E383" s="8" t="s">
        <v>708</v>
      </c>
      <c r="F383" s="9" t="s">
        <v>727</v>
      </c>
      <c r="G383" s="9" t="s">
        <v>711</v>
      </c>
      <c r="H383" s="9" t="s">
        <v>728</v>
      </c>
      <c r="I383" s="9" t="s">
        <v>68</v>
      </c>
      <c r="J383" s="10" t="s">
        <v>17</v>
      </c>
      <c r="K383" s="15" t="str">
        <f>VLOOKUP(J383,DADOS!$A$3:$B$100,2,FALSE)</f>
        <v>EE-GI-001-001</v>
      </c>
      <c r="L383" s="15" t="s">
        <v>303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0</v>
      </c>
      <c r="T383" s="17" t="b">
        <v>0</v>
      </c>
      <c r="U383" s="17" t="b">
        <v>0</v>
      </c>
      <c r="V383" s="17" t="b">
        <v>0</v>
      </c>
      <c r="W383" s="11" t="s">
        <v>281</v>
      </c>
      <c r="X383" s="12" t="s">
        <v>14</v>
      </c>
      <c r="Y383" s="12" t="s">
        <v>14</v>
      </c>
      <c r="Z383" s="13" t="s">
        <v>261</v>
      </c>
    </row>
    <row r="384" spans="1:26" ht="19.95" customHeight="1" x14ac:dyDescent="0.3">
      <c r="A384" s="6">
        <v>45702</v>
      </c>
      <c r="B384" s="7" t="s">
        <v>377</v>
      </c>
      <c r="C384" s="9" t="s">
        <v>1049</v>
      </c>
      <c r="D384" s="8" t="s">
        <v>281</v>
      </c>
      <c r="E384" s="8" t="s">
        <v>1050</v>
      </c>
      <c r="F384" s="9" t="s">
        <v>1051</v>
      </c>
      <c r="G384" s="9" t="s">
        <v>1052</v>
      </c>
      <c r="H384" s="34"/>
      <c r="I384" s="9" t="s">
        <v>69</v>
      </c>
      <c r="J384" s="10" t="s">
        <v>15</v>
      </c>
      <c r="K384" s="15" t="str">
        <f>VLOOKUP(J384,[1]DADOS!$A$3:$B$100,2,FALSE)</f>
        <v>EE-GI-001-002</v>
      </c>
      <c r="L384" s="15" t="s">
        <v>354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0</v>
      </c>
      <c r="S384" s="17" t="b">
        <v>0</v>
      </c>
      <c r="T384" s="17" t="b">
        <v>1</v>
      </c>
      <c r="U384" s="17" t="b">
        <v>1</v>
      </c>
      <c r="V384" s="17" t="b">
        <v>1</v>
      </c>
      <c r="W384" s="11" t="s">
        <v>281</v>
      </c>
      <c r="X384" s="12" t="s">
        <v>14</v>
      </c>
      <c r="Y384" s="12" t="s">
        <v>14</v>
      </c>
      <c r="Z384" s="13" t="s">
        <v>355</v>
      </c>
    </row>
    <row r="385" spans="1:26" ht="19.95" customHeight="1" x14ac:dyDescent="0.3">
      <c r="A385" s="6">
        <v>45702</v>
      </c>
      <c r="B385" s="7" t="s">
        <v>948</v>
      </c>
      <c r="C385" s="9" t="s">
        <v>1302</v>
      </c>
      <c r="D385" s="8" t="s">
        <v>364</v>
      </c>
      <c r="E385" s="8" t="s">
        <v>1303</v>
      </c>
      <c r="F385" s="9" t="s">
        <v>1304</v>
      </c>
      <c r="G385" s="9" t="s">
        <v>1305</v>
      </c>
      <c r="H385" s="9" t="s">
        <v>1306</v>
      </c>
      <c r="I385" s="9" t="s">
        <v>65</v>
      </c>
      <c r="J385" s="10" t="s">
        <v>181</v>
      </c>
      <c r="K385" s="15" t="str">
        <f>VLOOKUP(J385,[1]DADOS!$A$3:$B$100,2,FALSE)</f>
        <v>EE-GI-001-023</v>
      </c>
      <c r="L385" s="15" t="s">
        <v>260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0</v>
      </c>
      <c r="S385" s="17" t="b">
        <v>0</v>
      </c>
      <c r="T385" s="17" t="b">
        <v>1</v>
      </c>
      <c r="U385" s="17" t="b">
        <v>1</v>
      </c>
      <c r="V385" s="17" t="b">
        <v>1</v>
      </c>
      <c r="W385" s="11" t="s">
        <v>364</v>
      </c>
      <c r="X385" s="12" t="s">
        <v>14</v>
      </c>
      <c r="Y385" s="12" t="s">
        <v>14</v>
      </c>
      <c r="Z385" s="13" t="s">
        <v>261</v>
      </c>
    </row>
    <row r="386" spans="1:26" ht="19.95" customHeight="1" x14ac:dyDescent="0.3">
      <c r="A386" s="6">
        <v>45702</v>
      </c>
      <c r="B386" s="7" t="s">
        <v>948</v>
      </c>
      <c r="C386" s="9" t="s">
        <v>1307</v>
      </c>
      <c r="D386" s="8" t="s">
        <v>269</v>
      </c>
      <c r="E386" s="8" t="s">
        <v>1303</v>
      </c>
      <c r="F386" s="9" t="s">
        <v>1308</v>
      </c>
      <c r="G386" s="9" t="s">
        <v>14</v>
      </c>
      <c r="H386" s="9" t="s">
        <v>1312</v>
      </c>
      <c r="I386" s="9" t="s">
        <v>65</v>
      </c>
      <c r="J386" s="10" t="s">
        <v>181</v>
      </c>
      <c r="K386" s="15" t="str">
        <f>VLOOKUP(J386,[1]DADOS!$A$3:$B$100,2,FALSE)</f>
        <v>EE-GI-001-023</v>
      </c>
      <c r="L386" s="15" t="s">
        <v>260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0</v>
      </c>
      <c r="S386" s="17" t="b">
        <v>0</v>
      </c>
      <c r="T386" s="17" t="b">
        <v>1</v>
      </c>
      <c r="U386" s="17" t="b">
        <v>1</v>
      </c>
      <c r="V386" s="17" t="b">
        <v>1</v>
      </c>
      <c r="W386" s="11" t="s">
        <v>269</v>
      </c>
      <c r="X386" s="12" t="s">
        <v>14</v>
      </c>
      <c r="Y386" s="12" t="s">
        <v>14</v>
      </c>
      <c r="Z386" s="13" t="s">
        <v>261</v>
      </c>
    </row>
    <row r="387" spans="1:26" ht="19.95" customHeight="1" x14ac:dyDescent="0.3">
      <c r="A387" s="6">
        <v>45702</v>
      </c>
      <c r="B387" s="7" t="s">
        <v>948</v>
      </c>
      <c r="C387" s="9" t="s">
        <v>1307</v>
      </c>
      <c r="D387" s="8" t="s">
        <v>269</v>
      </c>
      <c r="E387" s="8" t="s">
        <v>1303</v>
      </c>
      <c r="F387" s="9" t="s">
        <v>1309</v>
      </c>
      <c r="G387" s="9" t="s">
        <v>14</v>
      </c>
      <c r="H387" s="9" t="s">
        <v>1312</v>
      </c>
      <c r="I387" s="9" t="s">
        <v>65</v>
      </c>
      <c r="J387" s="10" t="s">
        <v>181</v>
      </c>
      <c r="K387" s="15" t="str">
        <f>VLOOKUP(J387,[1]DADOS!$A$3:$B$100,2,FALSE)</f>
        <v>EE-GI-001-023</v>
      </c>
      <c r="L387" s="15" t="s">
        <v>260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0</v>
      </c>
      <c r="S387" s="17" t="b">
        <v>0</v>
      </c>
      <c r="T387" s="17" t="b">
        <v>1</v>
      </c>
      <c r="U387" s="17" t="b">
        <v>1</v>
      </c>
      <c r="V387" s="17" t="b">
        <v>1</v>
      </c>
      <c r="W387" s="11" t="s">
        <v>269</v>
      </c>
      <c r="X387" s="12" t="s">
        <v>14</v>
      </c>
      <c r="Y387" s="12" t="s">
        <v>14</v>
      </c>
      <c r="Z387" s="13" t="s">
        <v>261</v>
      </c>
    </row>
    <row r="388" spans="1:26" ht="19.95" customHeight="1" x14ac:dyDescent="0.3">
      <c r="A388" s="6">
        <v>45702</v>
      </c>
      <c r="B388" s="7" t="s">
        <v>948</v>
      </c>
      <c r="C388" s="9" t="s">
        <v>1307</v>
      </c>
      <c r="D388" s="8" t="s">
        <v>269</v>
      </c>
      <c r="E388" s="8" t="s">
        <v>1303</v>
      </c>
      <c r="F388" s="9" t="s">
        <v>1310</v>
      </c>
      <c r="G388" s="9" t="s">
        <v>14</v>
      </c>
      <c r="H388" s="9" t="s">
        <v>1312</v>
      </c>
      <c r="I388" s="9" t="s">
        <v>65</v>
      </c>
      <c r="J388" s="10" t="s">
        <v>181</v>
      </c>
      <c r="K388" s="15" t="str">
        <f>VLOOKUP(J388,[1]DADOS!$A$3:$B$100,2,FALSE)</f>
        <v>EE-GI-001-023</v>
      </c>
      <c r="L388" s="15" t="s">
        <v>260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0</v>
      </c>
      <c r="S388" s="17" t="b">
        <v>0</v>
      </c>
      <c r="T388" s="17" t="b">
        <v>1</v>
      </c>
      <c r="U388" s="17" t="b">
        <v>1</v>
      </c>
      <c r="V388" s="17" t="b">
        <v>1</v>
      </c>
      <c r="W388" s="11" t="s">
        <v>269</v>
      </c>
      <c r="X388" s="12" t="s">
        <v>14</v>
      </c>
      <c r="Y388" s="12" t="s">
        <v>14</v>
      </c>
      <c r="Z388" s="13" t="s">
        <v>261</v>
      </c>
    </row>
    <row r="389" spans="1:26" ht="19.95" customHeight="1" x14ac:dyDescent="0.3">
      <c r="A389" s="6">
        <v>45702</v>
      </c>
      <c r="B389" s="7" t="s">
        <v>948</v>
      </c>
      <c r="C389" s="9" t="s">
        <v>1307</v>
      </c>
      <c r="D389" s="8" t="s">
        <v>269</v>
      </c>
      <c r="E389" s="8" t="s">
        <v>1303</v>
      </c>
      <c r="F389" s="9" t="s">
        <v>1311</v>
      </c>
      <c r="G389" s="9" t="s">
        <v>14</v>
      </c>
      <c r="H389" s="9" t="s">
        <v>1312</v>
      </c>
      <c r="I389" s="9" t="s">
        <v>65</v>
      </c>
      <c r="J389" s="10" t="s">
        <v>181</v>
      </c>
      <c r="K389" s="15" t="str">
        <f>VLOOKUP(J389,[1]DADOS!$A$3:$B$100,2,FALSE)</f>
        <v>EE-GI-001-023</v>
      </c>
      <c r="L389" s="15" t="s">
        <v>260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0</v>
      </c>
      <c r="S389" s="17" t="b">
        <v>0</v>
      </c>
      <c r="T389" s="17" t="b">
        <v>1</v>
      </c>
      <c r="U389" s="17" t="b">
        <v>1</v>
      </c>
      <c r="V389" s="17" t="b">
        <v>1</v>
      </c>
      <c r="W389" s="11" t="s">
        <v>269</v>
      </c>
      <c r="X389" s="12" t="s">
        <v>14</v>
      </c>
      <c r="Y389" s="12" t="s">
        <v>14</v>
      </c>
      <c r="Z389" s="13" t="s">
        <v>261</v>
      </c>
    </row>
    <row r="390" spans="1:26" ht="19.95" customHeight="1" x14ac:dyDescent="0.3">
      <c r="A390" s="6">
        <v>45702</v>
      </c>
      <c r="B390" s="7" t="s">
        <v>748</v>
      </c>
      <c r="C390" s="9" t="s">
        <v>1833</v>
      </c>
      <c r="D390" s="8" t="s">
        <v>281</v>
      </c>
      <c r="E390" s="8" t="s">
        <v>1834</v>
      </c>
      <c r="F390" s="9" t="s">
        <v>1838</v>
      </c>
      <c r="G390" s="9" t="s">
        <v>1831</v>
      </c>
      <c r="H390" s="9" t="s">
        <v>1835</v>
      </c>
      <c r="I390" s="9" t="s">
        <v>66</v>
      </c>
      <c r="J390" s="10" t="s">
        <v>28</v>
      </c>
      <c r="K390" s="15" t="str">
        <f>VLOOKUP(J390,[1]DADOS!$A$3:$B$100,2,FALSE)</f>
        <v>EE-GI-221-042</v>
      </c>
      <c r="L390" s="15" t="s">
        <v>754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1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0</v>
      </c>
      <c r="W390" s="11" t="s">
        <v>281</v>
      </c>
      <c r="X390" s="12" t="s">
        <v>14</v>
      </c>
      <c r="Y390" s="12" t="s">
        <v>14</v>
      </c>
      <c r="Z390" s="13" t="s">
        <v>355</v>
      </c>
    </row>
    <row r="391" spans="1:26" ht="19.95" customHeight="1" x14ac:dyDescent="0.3">
      <c r="A391" s="6">
        <v>45702</v>
      </c>
      <c r="B391" s="7" t="s">
        <v>748</v>
      </c>
      <c r="C391" s="9" t="s">
        <v>1836</v>
      </c>
      <c r="D391" s="8" t="s">
        <v>281</v>
      </c>
      <c r="E391" s="8" t="s">
        <v>1834</v>
      </c>
      <c r="F391" s="9" t="s">
        <v>1837</v>
      </c>
      <c r="G391" s="9" t="s">
        <v>1839</v>
      </c>
      <c r="H391" s="9" t="s">
        <v>1840</v>
      </c>
      <c r="I391" s="9" t="s">
        <v>66</v>
      </c>
      <c r="J391" s="10" t="s">
        <v>20</v>
      </c>
      <c r="K391" s="15" t="str">
        <f>VLOOKUP(J391,[1]DADOS!$A$3:$B$100,2,FALSE)</f>
        <v>EE-GI-221-034</v>
      </c>
      <c r="L391" s="15" t="s">
        <v>754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1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0</v>
      </c>
      <c r="W391" s="11" t="s">
        <v>281</v>
      </c>
      <c r="X391" s="12" t="s">
        <v>14</v>
      </c>
      <c r="Y391" s="12" t="s">
        <v>14</v>
      </c>
      <c r="Z391" s="13" t="s">
        <v>355</v>
      </c>
    </row>
    <row r="392" spans="1:26" ht="19.95" customHeight="1" x14ac:dyDescent="0.3">
      <c r="A392" s="6">
        <v>45702</v>
      </c>
      <c r="B392" s="7" t="s">
        <v>748</v>
      </c>
      <c r="C392" s="9" t="s">
        <v>1878</v>
      </c>
      <c r="D392" s="8" t="s">
        <v>1279</v>
      </c>
      <c r="E392" s="8" t="s">
        <v>1834</v>
      </c>
      <c r="F392" s="9" t="s">
        <v>1879</v>
      </c>
      <c r="G392" s="9" t="s">
        <v>1882</v>
      </c>
      <c r="H392" s="9" t="s">
        <v>1883</v>
      </c>
      <c r="I392" s="9" t="s">
        <v>66</v>
      </c>
      <c r="J392" s="10" t="s">
        <v>19</v>
      </c>
      <c r="K392" s="15" t="str">
        <f>VLOOKUP(J392,DADOS!$A$3:$B$100,2,FALSE)</f>
        <v>EE-GI-221-033</v>
      </c>
      <c r="L392" s="15" t="s">
        <v>754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1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0</v>
      </c>
      <c r="W392" s="11" t="s">
        <v>1279</v>
      </c>
      <c r="X392" s="12" t="s">
        <v>14</v>
      </c>
      <c r="Y392" s="12" t="s">
        <v>14</v>
      </c>
      <c r="Z392" s="13" t="s">
        <v>355</v>
      </c>
    </row>
    <row r="393" spans="1:26" ht="19.95" customHeight="1" x14ac:dyDescent="0.3">
      <c r="A393" s="6">
        <v>45702</v>
      </c>
      <c r="B393" s="7" t="s">
        <v>1568</v>
      </c>
      <c r="C393" s="9" t="s">
        <v>2027</v>
      </c>
      <c r="D393" s="8" t="s">
        <v>281</v>
      </c>
      <c r="E393" s="8" t="s">
        <v>2028</v>
      </c>
      <c r="F393" s="9" t="s">
        <v>2029</v>
      </c>
      <c r="G393" s="9" t="s">
        <v>2030</v>
      </c>
      <c r="H393" s="9" t="s">
        <v>2031</v>
      </c>
      <c r="I393" s="9" t="s">
        <v>69</v>
      </c>
      <c r="J393" s="10" t="s">
        <v>185</v>
      </c>
      <c r="K393" s="15" t="str">
        <f>VLOOKUP(J393,DADOS!$A$3:$B$100,2,FALSE)</f>
        <v>EE-GI-001-031</v>
      </c>
      <c r="L393" s="15" t="s">
        <v>260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1</v>
      </c>
      <c r="S393" s="17" t="b">
        <v>0</v>
      </c>
      <c r="T393" s="17" t="b">
        <v>0</v>
      </c>
      <c r="U393" s="17" t="b">
        <v>0</v>
      </c>
      <c r="V393" s="17" t="b">
        <v>0</v>
      </c>
      <c r="W393" s="11" t="s">
        <v>281</v>
      </c>
      <c r="X393" s="12" t="s">
        <v>14</v>
      </c>
      <c r="Y393" s="12" t="s">
        <v>14</v>
      </c>
      <c r="Z393" s="13" t="s">
        <v>355</v>
      </c>
    </row>
    <row r="394" spans="1:26" ht="19.95" customHeight="1" x14ac:dyDescent="0.3">
      <c r="A394" s="6">
        <v>45702</v>
      </c>
      <c r="B394" s="7" t="s">
        <v>1568</v>
      </c>
      <c r="C394" s="9" t="s">
        <v>2027</v>
      </c>
      <c r="D394" s="8" t="s">
        <v>281</v>
      </c>
      <c r="E394" s="8" t="s">
        <v>2028</v>
      </c>
      <c r="F394" s="9" t="s">
        <v>2032</v>
      </c>
      <c r="G394" s="9" t="s">
        <v>2033</v>
      </c>
      <c r="H394" s="9" t="s">
        <v>2031</v>
      </c>
      <c r="I394" s="9" t="s">
        <v>69</v>
      </c>
      <c r="J394" s="10" t="s">
        <v>185</v>
      </c>
      <c r="K394" s="15" t="str">
        <f>VLOOKUP(J394,DADOS!$A$3:$B$100,2,FALSE)</f>
        <v>EE-GI-001-031</v>
      </c>
      <c r="L394" s="15" t="s">
        <v>260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1</v>
      </c>
      <c r="S394" s="17" t="b">
        <v>0</v>
      </c>
      <c r="T394" s="17" t="b">
        <v>0</v>
      </c>
      <c r="U394" s="17" t="b">
        <v>0</v>
      </c>
      <c r="V394" s="17" t="b">
        <v>0</v>
      </c>
      <c r="W394" s="11" t="s">
        <v>281</v>
      </c>
      <c r="X394" s="12" t="s">
        <v>14</v>
      </c>
      <c r="Y394" s="12" t="s">
        <v>14</v>
      </c>
      <c r="Z394" s="13" t="s">
        <v>355</v>
      </c>
    </row>
    <row r="395" spans="1:26" ht="19.95" customHeight="1" x14ac:dyDescent="0.3">
      <c r="A395" s="6">
        <v>45702</v>
      </c>
      <c r="B395" s="7" t="s">
        <v>1568</v>
      </c>
      <c r="C395" s="9" t="s">
        <v>2027</v>
      </c>
      <c r="D395" s="8" t="s">
        <v>269</v>
      </c>
      <c r="E395" s="8" t="s">
        <v>2028</v>
      </c>
      <c r="F395" s="9" t="s">
        <v>2034</v>
      </c>
      <c r="G395" s="9" t="s">
        <v>2035</v>
      </c>
      <c r="H395" s="9" t="s">
        <v>2031</v>
      </c>
      <c r="I395" s="9" t="s">
        <v>69</v>
      </c>
      <c r="J395" s="10" t="s">
        <v>185</v>
      </c>
      <c r="K395" s="15" t="str">
        <f>VLOOKUP(J395,DADOS!$A$3:$B$100,2,FALSE)</f>
        <v>EE-GI-001-031</v>
      </c>
      <c r="L395" s="15" t="s">
        <v>260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1</v>
      </c>
      <c r="S395" s="17" t="b">
        <v>0</v>
      </c>
      <c r="T395" s="17" t="b">
        <v>0</v>
      </c>
      <c r="U395" s="17" t="b">
        <v>0</v>
      </c>
      <c r="V395" s="17" t="b">
        <v>0</v>
      </c>
      <c r="W395" s="11" t="s">
        <v>269</v>
      </c>
      <c r="X395" s="12" t="s">
        <v>14</v>
      </c>
      <c r="Y395" s="12" t="s">
        <v>14</v>
      </c>
      <c r="Z395" s="13" t="s">
        <v>355</v>
      </c>
    </row>
    <row r="396" spans="1:26" ht="19.95" customHeight="1" x14ac:dyDescent="0.3">
      <c r="A396" s="6">
        <v>45702</v>
      </c>
      <c r="B396" s="7" t="s">
        <v>1568</v>
      </c>
      <c r="C396" s="9" t="s">
        <v>2036</v>
      </c>
      <c r="D396" s="8" t="s">
        <v>458</v>
      </c>
      <c r="E396" s="8" t="s">
        <v>2037</v>
      </c>
      <c r="F396" s="9" t="s">
        <v>2038</v>
      </c>
      <c r="G396" s="9" t="s">
        <v>2039</v>
      </c>
      <c r="H396" s="9" t="s">
        <v>2040</v>
      </c>
      <c r="I396" s="9" t="s">
        <v>69</v>
      </c>
      <c r="J396" s="10" t="s">
        <v>185</v>
      </c>
      <c r="K396" s="15" t="str">
        <f>VLOOKUP(J396,DADOS!$A$3:$B$100,2,FALSE)</f>
        <v>EE-GI-001-031</v>
      </c>
      <c r="L396" s="15" t="s">
        <v>260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1</v>
      </c>
      <c r="S396" s="17" t="b">
        <v>0</v>
      </c>
      <c r="T396" s="17" t="b">
        <v>0</v>
      </c>
      <c r="U396" s="17" t="b">
        <v>0</v>
      </c>
      <c r="V396" s="17" t="b">
        <v>0</v>
      </c>
      <c r="W396" s="11" t="s">
        <v>458</v>
      </c>
      <c r="X396" s="12" t="s">
        <v>14</v>
      </c>
      <c r="Y396" s="12" t="s">
        <v>14</v>
      </c>
      <c r="Z396" s="13" t="s">
        <v>355</v>
      </c>
    </row>
    <row r="397" spans="1:26" ht="19.95" customHeight="1" x14ac:dyDescent="0.3">
      <c r="A397" s="6">
        <v>45702</v>
      </c>
      <c r="B397" s="7" t="s">
        <v>1568</v>
      </c>
      <c r="C397" s="9" t="s">
        <v>1990</v>
      </c>
      <c r="D397" s="8" t="s">
        <v>269</v>
      </c>
      <c r="E397" s="8" t="s">
        <v>2028</v>
      </c>
      <c r="F397" s="9" t="s">
        <v>1991</v>
      </c>
      <c r="G397" s="9" t="s">
        <v>2041</v>
      </c>
      <c r="H397" s="9" t="s">
        <v>2042</v>
      </c>
      <c r="I397" s="9" t="s">
        <v>69</v>
      </c>
      <c r="J397" s="10" t="s">
        <v>185</v>
      </c>
      <c r="K397" s="15" t="str">
        <f>VLOOKUP(J397,DADOS!$A$3:$B$100,2,FALSE)</f>
        <v>EE-GI-001-031</v>
      </c>
      <c r="L397" s="15" t="s">
        <v>1955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1</v>
      </c>
      <c r="S397" s="17" t="b">
        <v>0</v>
      </c>
      <c r="T397" s="17" t="b">
        <v>0</v>
      </c>
      <c r="U397" s="17" t="b">
        <v>0</v>
      </c>
      <c r="V397" s="17" t="b">
        <v>0</v>
      </c>
      <c r="W397" s="11" t="s">
        <v>269</v>
      </c>
      <c r="X397" s="12" t="s">
        <v>14</v>
      </c>
      <c r="Y397" s="12" t="s">
        <v>14</v>
      </c>
      <c r="Z397" s="13" t="s">
        <v>355</v>
      </c>
    </row>
    <row r="398" spans="1:26" ht="19.95" customHeight="1" x14ac:dyDescent="0.3">
      <c r="A398" s="6">
        <v>45702</v>
      </c>
      <c r="B398" s="7" t="s">
        <v>1568</v>
      </c>
      <c r="C398" s="9" t="s">
        <v>2006</v>
      </c>
      <c r="D398" s="8" t="s">
        <v>364</v>
      </c>
      <c r="E398" s="8" t="s">
        <v>2043</v>
      </c>
      <c r="F398" s="9" t="s">
        <v>2007</v>
      </c>
      <c r="G398" s="9" t="s">
        <v>2044</v>
      </c>
      <c r="H398" s="9" t="s">
        <v>2045</v>
      </c>
      <c r="I398" s="9" t="s">
        <v>69</v>
      </c>
      <c r="J398" s="10" t="s">
        <v>185</v>
      </c>
      <c r="K398" s="15" t="str">
        <f>VLOOKUP(J398,DADOS!$A$3:$B$100,2,FALSE)</f>
        <v>EE-GI-001-031</v>
      </c>
      <c r="L398" s="15" t="s">
        <v>1955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1</v>
      </c>
      <c r="S398" s="17" t="b">
        <v>0</v>
      </c>
      <c r="T398" s="17" t="b">
        <v>0</v>
      </c>
      <c r="U398" s="17" t="b">
        <v>0</v>
      </c>
      <c r="V398" s="17" t="b">
        <v>0</v>
      </c>
      <c r="W398" s="11" t="s">
        <v>364</v>
      </c>
      <c r="X398" s="12" t="s">
        <v>14</v>
      </c>
      <c r="Y398" s="12" t="s">
        <v>14</v>
      </c>
      <c r="Z398" s="13" t="s">
        <v>355</v>
      </c>
    </row>
    <row r="399" spans="1:26" ht="19.95" customHeight="1" x14ac:dyDescent="0.3">
      <c r="A399" s="6">
        <v>45702</v>
      </c>
      <c r="B399" s="7" t="s">
        <v>1568</v>
      </c>
      <c r="C399" s="9" t="s">
        <v>2046</v>
      </c>
      <c r="D399" s="8" t="s">
        <v>269</v>
      </c>
      <c r="E399" s="8" t="s">
        <v>2037</v>
      </c>
      <c r="F399" s="9" t="s">
        <v>2050</v>
      </c>
      <c r="G399" s="9" t="s">
        <v>2047</v>
      </c>
      <c r="H399" s="9" t="s">
        <v>2048</v>
      </c>
      <c r="I399" s="9" t="s">
        <v>68</v>
      </c>
      <c r="J399" s="10" t="s">
        <v>185</v>
      </c>
      <c r="K399" s="15" t="str">
        <f>VLOOKUP(J399,DADOS!$A$3:$B$100,2,FALSE)</f>
        <v>EE-GI-001-031</v>
      </c>
      <c r="L399" s="15" t="s">
        <v>1955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1</v>
      </c>
      <c r="S399" s="17" t="b">
        <v>0</v>
      </c>
      <c r="T399" s="17" t="b">
        <v>0</v>
      </c>
      <c r="U399" s="17" t="b">
        <v>0</v>
      </c>
      <c r="V399" s="17" t="b">
        <v>0</v>
      </c>
      <c r="W399" s="11" t="s">
        <v>269</v>
      </c>
      <c r="X399" s="12" t="s">
        <v>14</v>
      </c>
      <c r="Y399" s="12" t="s">
        <v>14</v>
      </c>
      <c r="Z399" s="13" t="s">
        <v>355</v>
      </c>
    </row>
    <row r="400" spans="1:26" ht="19.95" customHeight="1" x14ac:dyDescent="0.3">
      <c r="A400" s="6">
        <v>45702</v>
      </c>
      <c r="B400" s="7" t="s">
        <v>1568</v>
      </c>
      <c r="C400" s="9" t="s">
        <v>2049</v>
      </c>
      <c r="D400" s="8" t="s">
        <v>281</v>
      </c>
      <c r="E400" s="8" t="s">
        <v>2037</v>
      </c>
      <c r="F400" s="9" t="s">
        <v>2051</v>
      </c>
      <c r="G400" s="9" t="s">
        <v>2052</v>
      </c>
      <c r="H400" s="9" t="s">
        <v>2053</v>
      </c>
      <c r="I400" s="9" t="s">
        <v>66</v>
      </c>
      <c r="J400" s="10" t="s">
        <v>22</v>
      </c>
      <c r="K400" s="15" t="str">
        <f>VLOOKUP(J400,DADOS!$A$3:$B$100,2,FALSE)</f>
        <v>EE-GI-001-015</v>
      </c>
      <c r="L400" s="15" t="s">
        <v>1955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1</v>
      </c>
      <c r="S400" s="17" t="b">
        <v>0</v>
      </c>
      <c r="T400" s="17" t="b">
        <v>0</v>
      </c>
      <c r="U400" s="17" t="b">
        <v>0</v>
      </c>
      <c r="V400" s="17" t="b">
        <v>0</v>
      </c>
      <c r="W400" s="11" t="s">
        <v>281</v>
      </c>
      <c r="X400" s="12" t="s">
        <v>14</v>
      </c>
      <c r="Y400" s="12" t="s">
        <v>14</v>
      </c>
      <c r="Z400" s="13" t="s">
        <v>355</v>
      </c>
    </row>
    <row r="401" spans="1:26" ht="19.95" customHeight="1" x14ac:dyDescent="0.3">
      <c r="A401" s="6">
        <v>45702</v>
      </c>
      <c r="B401" s="7" t="s">
        <v>1568</v>
      </c>
      <c r="C401" s="9" t="s">
        <v>2054</v>
      </c>
      <c r="D401" s="8" t="s">
        <v>269</v>
      </c>
      <c r="E401" s="8" t="s">
        <v>2037</v>
      </c>
      <c r="F401" s="9" t="s">
        <v>2055</v>
      </c>
      <c r="G401" s="9" t="s">
        <v>2056</v>
      </c>
      <c r="H401" s="9" t="s">
        <v>2057</v>
      </c>
      <c r="I401" s="9" t="s">
        <v>66</v>
      </c>
      <c r="J401" s="10" t="s">
        <v>185</v>
      </c>
      <c r="K401" s="15" t="str">
        <f>VLOOKUP(J401,DADOS!$A$3:$B$100,2,FALSE)</f>
        <v>EE-GI-001-031</v>
      </c>
      <c r="L401" s="15" t="s">
        <v>260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1</v>
      </c>
      <c r="S401" s="17" t="b">
        <v>0</v>
      </c>
      <c r="T401" s="17" t="b">
        <v>0</v>
      </c>
      <c r="U401" s="17" t="b">
        <v>0</v>
      </c>
      <c r="V401" s="17" t="b">
        <v>0</v>
      </c>
      <c r="W401" s="11" t="s">
        <v>269</v>
      </c>
      <c r="X401" s="12" t="s">
        <v>14</v>
      </c>
      <c r="Y401" s="12" t="s">
        <v>14</v>
      </c>
      <c r="Z401" s="13" t="s">
        <v>355</v>
      </c>
    </row>
    <row r="402" spans="1:26" ht="19.95" customHeight="1" x14ac:dyDescent="0.3">
      <c r="A402" s="6">
        <v>45702</v>
      </c>
      <c r="B402" s="7" t="s">
        <v>1568</v>
      </c>
      <c r="C402" s="9" t="s">
        <v>2054</v>
      </c>
      <c r="D402" s="8" t="s">
        <v>373</v>
      </c>
      <c r="E402" s="8" t="s">
        <v>2037</v>
      </c>
      <c r="F402" s="9" t="s">
        <v>2058</v>
      </c>
      <c r="G402" s="9" t="s">
        <v>2059</v>
      </c>
      <c r="H402" s="9" t="s">
        <v>2057</v>
      </c>
      <c r="I402" s="9" t="s">
        <v>66</v>
      </c>
      <c r="J402" s="10" t="s">
        <v>185</v>
      </c>
      <c r="K402" s="15" t="str">
        <f>VLOOKUP(J402,DADOS!$A$3:$B$100,2,FALSE)</f>
        <v>EE-GI-001-031</v>
      </c>
      <c r="L402" s="15" t="s">
        <v>260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1</v>
      </c>
      <c r="S402" s="17" t="b">
        <v>0</v>
      </c>
      <c r="T402" s="17" t="b">
        <v>0</v>
      </c>
      <c r="U402" s="17" t="b">
        <v>0</v>
      </c>
      <c r="V402" s="17" t="b">
        <v>0</v>
      </c>
      <c r="W402" s="11" t="s">
        <v>373</v>
      </c>
      <c r="X402" s="12" t="s">
        <v>14</v>
      </c>
      <c r="Y402" s="12" t="s">
        <v>14</v>
      </c>
      <c r="Z402" s="13" t="s">
        <v>355</v>
      </c>
    </row>
    <row r="403" spans="1:26" ht="19.95" customHeight="1" x14ac:dyDescent="0.3">
      <c r="A403" s="6">
        <v>45702</v>
      </c>
      <c r="B403" s="7" t="s">
        <v>1568</v>
      </c>
      <c r="C403" s="9" t="s">
        <v>2060</v>
      </c>
      <c r="D403" s="8" t="s">
        <v>373</v>
      </c>
      <c r="E403" s="8" t="s">
        <v>2061</v>
      </c>
      <c r="F403" s="9" t="s">
        <v>2062</v>
      </c>
      <c r="G403" s="9" t="s">
        <v>2063</v>
      </c>
      <c r="H403" s="9" t="s">
        <v>2064</v>
      </c>
      <c r="I403" s="9" t="s">
        <v>69</v>
      </c>
      <c r="J403" s="10" t="s">
        <v>185</v>
      </c>
      <c r="K403" s="15" t="str">
        <f>VLOOKUP(J403,DADOS!$A$3:$B$100,2,FALSE)</f>
        <v>EE-GI-001-031</v>
      </c>
      <c r="L403" s="15" t="s">
        <v>1955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0</v>
      </c>
      <c r="R403" s="17" t="b">
        <v>1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 t="s">
        <v>373</v>
      </c>
      <c r="X403" s="12" t="s">
        <v>14</v>
      </c>
      <c r="Y403" s="12" t="s">
        <v>14</v>
      </c>
      <c r="Z403" s="13" t="s">
        <v>355</v>
      </c>
    </row>
    <row r="404" spans="1:26" ht="19.95" customHeight="1" x14ac:dyDescent="0.3">
      <c r="A404" s="6">
        <v>45702</v>
      </c>
      <c r="B404" s="7" t="s">
        <v>1568</v>
      </c>
      <c r="C404" s="9" t="s">
        <v>2060</v>
      </c>
      <c r="D404" s="8" t="s">
        <v>269</v>
      </c>
      <c r="E404" s="8" t="s">
        <v>2061</v>
      </c>
      <c r="F404" s="9" t="s">
        <v>2065</v>
      </c>
      <c r="G404" s="9" t="s">
        <v>2066</v>
      </c>
      <c r="H404" s="9" t="s">
        <v>2064</v>
      </c>
      <c r="I404" s="9" t="s">
        <v>69</v>
      </c>
      <c r="J404" s="10" t="s">
        <v>185</v>
      </c>
      <c r="K404" s="15" t="str">
        <f>VLOOKUP(J404,DADOS!$A$3:$B$100,2,FALSE)</f>
        <v>EE-GI-001-031</v>
      </c>
      <c r="L404" s="15" t="s">
        <v>1955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1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 t="s">
        <v>269</v>
      </c>
      <c r="X404" s="12" t="s">
        <v>14</v>
      </c>
      <c r="Y404" s="12" t="s">
        <v>14</v>
      </c>
      <c r="Z404" s="13" t="s">
        <v>355</v>
      </c>
    </row>
    <row r="405" spans="1:26" ht="19.95" customHeight="1" x14ac:dyDescent="0.3">
      <c r="A405" s="6">
        <v>45702</v>
      </c>
      <c r="B405" s="7" t="s">
        <v>1568</v>
      </c>
      <c r="C405" s="9" t="s">
        <v>2060</v>
      </c>
      <c r="D405" s="8" t="s">
        <v>269</v>
      </c>
      <c r="E405" s="8" t="s">
        <v>2061</v>
      </c>
      <c r="F405" s="9" t="s">
        <v>2067</v>
      </c>
      <c r="G405" s="9" t="s">
        <v>2068</v>
      </c>
      <c r="H405" s="9" t="s">
        <v>2064</v>
      </c>
      <c r="I405" s="9" t="s">
        <v>69</v>
      </c>
      <c r="J405" s="10" t="s">
        <v>185</v>
      </c>
      <c r="K405" s="15" t="str">
        <f>VLOOKUP(J405,DADOS!$A$3:$B$100,2,FALSE)</f>
        <v>EE-GI-001-031</v>
      </c>
      <c r="L405" s="15" t="s">
        <v>1955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0</v>
      </c>
      <c r="R405" s="17" t="b">
        <v>1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 t="s">
        <v>269</v>
      </c>
      <c r="X405" s="12" t="s">
        <v>14</v>
      </c>
      <c r="Y405" s="12" t="s">
        <v>14</v>
      </c>
      <c r="Z405" s="13" t="s">
        <v>355</v>
      </c>
    </row>
    <row r="406" spans="1:26" ht="19.95" customHeight="1" x14ac:dyDescent="0.3">
      <c r="A406" s="6">
        <v>45702</v>
      </c>
      <c r="B406" s="7" t="s">
        <v>1568</v>
      </c>
      <c r="C406" s="9" t="s">
        <v>2060</v>
      </c>
      <c r="D406" s="8" t="s">
        <v>269</v>
      </c>
      <c r="E406" s="8" t="s">
        <v>2061</v>
      </c>
      <c r="F406" s="9" t="s">
        <v>2069</v>
      </c>
      <c r="G406" s="9" t="s">
        <v>2070</v>
      </c>
      <c r="H406" s="9" t="s">
        <v>2064</v>
      </c>
      <c r="I406" s="9" t="s">
        <v>69</v>
      </c>
      <c r="J406" s="10" t="s">
        <v>185</v>
      </c>
      <c r="K406" s="15" t="str">
        <f>VLOOKUP(J406,DADOS!$A$3:$B$100,2,FALSE)</f>
        <v>EE-GI-001-031</v>
      </c>
      <c r="L406" s="15" t="s">
        <v>1955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0</v>
      </c>
      <c r="R406" s="17" t="b">
        <v>1</v>
      </c>
      <c r="S406" s="17" t="b">
        <v>0</v>
      </c>
      <c r="T406" s="17" t="b">
        <v>0</v>
      </c>
      <c r="U406" s="17" t="b">
        <v>0</v>
      </c>
      <c r="V406" s="17" t="b">
        <v>0</v>
      </c>
      <c r="W406" s="11" t="s">
        <v>269</v>
      </c>
      <c r="X406" s="12" t="s">
        <v>14</v>
      </c>
      <c r="Y406" s="12" t="s">
        <v>14</v>
      </c>
      <c r="Z406" s="13" t="s">
        <v>355</v>
      </c>
    </row>
    <row r="407" spans="1:26" ht="19.5" customHeight="1" x14ac:dyDescent="0.3">
      <c r="A407" s="6">
        <v>45702</v>
      </c>
      <c r="B407" s="7" t="s">
        <v>1568</v>
      </c>
      <c r="C407" s="9" t="s">
        <v>2060</v>
      </c>
      <c r="D407" s="8" t="s">
        <v>281</v>
      </c>
      <c r="E407" s="8" t="s">
        <v>2061</v>
      </c>
      <c r="F407" s="9" t="s">
        <v>2071</v>
      </c>
      <c r="G407" s="9" t="s">
        <v>2072</v>
      </c>
      <c r="H407" s="9" t="s">
        <v>2064</v>
      </c>
      <c r="I407" s="9" t="s">
        <v>69</v>
      </c>
      <c r="J407" s="10" t="s">
        <v>185</v>
      </c>
      <c r="K407" s="15" t="str">
        <f>VLOOKUP(J407,DADOS!$A$3:$B$100,2,FALSE)</f>
        <v>EE-GI-001-031</v>
      </c>
      <c r="L407" s="15" t="s">
        <v>1955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0</v>
      </c>
      <c r="R407" s="17" t="b">
        <v>1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 t="s">
        <v>281</v>
      </c>
      <c r="X407" s="12" t="s">
        <v>14</v>
      </c>
      <c r="Y407" s="12" t="s">
        <v>14</v>
      </c>
      <c r="Z407" s="13" t="s">
        <v>355</v>
      </c>
    </row>
    <row r="408" spans="1:26" ht="19.95" customHeight="1" x14ac:dyDescent="0.3">
      <c r="A408" s="6">
        <v>45672</v>
      </c>
      <c r="B408" s="7" t="s">
        <v>1087</v>
      </c>
      <c r="C408" s="8" t="s">
        <v>2695</v>
      </c>
      <c r="D408" s="8" t="s">
        <v>269</v>
      </c>
      <c r="E408" s="8" t="s">
        <v>1249</v>
      </c>
      <c r="F408" s="9" t="s">
        <v>2696</v>
      </c>
      <c r="G408" s="9" t="s">
        <v>2697</v>
      </c>
      <c r="H408" s="9" t="s">
        <v>2698</v>
      </c>
      <c r="I408" s="9" t="s">
        <v>66</v>
      </c>
      <c r="J408" s="10" t="s">
        <v>60</v>
      </c>
      <c r="K408" s="15" t="str">
        <f>VLOOKUP(J408,[2]DADOS!$A$3:$B$101,2,FALSE)</f>
        <v>EE-GI-221-038</v>
      </c>
      <c r="L408" s="15" t="s">
        <v>260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 t="s">
        <v>269</v>
      </c>
      <c r="X408" s="12" t="s">
        <v>14</v>
      </c>
      <c r="Y408" s="12" t="s">
        <v>14</v>
      </c>
      <c r="Z408" s="13" t="s">
        <v>355</v>
      </c>
    </row>
    <row r="409" spans="1:26" ht="19.95" customHeight="1" x14ac:dyDescent="0.3">
      <c r="A409" s="6">
        <v>45672</v>
      </c>
      <c r="B409" s="7" t="s">
        <v>1087</v>
      </c>
      <c r="C409" s="8" t="s">
        <v>2695</v>
      </c>
      <c r="D409" s="8" t="s">
        <v>269</v>
      </c>
      <c r="E409" s="8" t="s">
        <v>1249</v>
      </c>
      <c r="F409" s="9" t="s">
        <v>2699</v>
      </c>
      <c r="G409" s="9" t="s">
        <v>2697</v>
      </c>
      <c r="H409" s="9" t="s">
        <v>2698</v>
      </c>
      <c r="I409" s="9" t="s">
        <v>66</v>
      </c>
      <c r="J409" s="10" t="s">
        <v>60</v>
      </c>
      <c r="K409" s="15" t="str">
        <f>VLOOKUP(J409,[2]DADOS!$A$3:$B$101,2,FALSE)</f>
        <v>EE-GI-221-038</v>
      </c>
      <c r="L409" s="15" t="s">
        <v>260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0</v>
      </c>
      <c r="W409" s="11" t="s">
        <v>269</v>
      </c>
      <c r="X409" s="12" t="s">
        <v>14</v>
      </c>
      <c r="Y409" s="12" t="s">
        <v>14</v>
      </c>
      <c r="Z409" s="13" t="s">
        <v>355</v>
      </c>
    </row>
    <row r="410" spans="1:26" ht="19.5" customHeight="1" x14ac:dyDescent="0.3">
      <c r="A410" s="6">
        <v>45705</v>
      </c>
      <c r="B410" s="7" t="s">
        <v>1568</v>
      </c>
      <c r="C410" s="9" t="s">
        <v>2073</v>
      </c>
      <c r="D410" s="8" t="s">
        <v>269</v>
      </c>
      <c r="E410" s="8" t="s">
        <v>2074</v>
      </c>
      <c r="F410" s="9" t="s">
        <v>2075</v>
      </c>
      <c r="G410" s="9" t="s">
        <v>2076</v>
      </c>
      <c r="H410" s="9" t="s">
        <v>2077</v>
      </c>
      <c r="I410" s="9" t="s">
        <v>69</v>
      </c>
      <c r="J410" s="10" t="s">
        <v>185</v>
      </c>
      <c r="K410" s="15" t="str">
        <f>VLOOKUP(J410,DADOS!$A$3:$B$100,2,FALSE)</f>
        <v>EE-GI-001-031</v>
      </c>
      <c r="L410" s="15" t="s">
        <v>1955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0</v>
      </c>
      <c r="R410" s="17" t="b">
        <v>1</v>
      </c>
      <c r="S410" s="17" t="b">
        <v>0</v>
      </c>
      <c r="T410" s="17" t="b">
        <v>0</v>
      </c>
      <c r="U410" s="17" t="b">
        <v>0</v>
      </c>
      <c r="V410" s="17" t="b">
        <v>0</v>
      </c>
      <c r="W410" s="11" t="s">
        <v>269</v>
      </c>
      <c r="X410" s="12" t="s">
        <v>14</v>
      </c>
      <c r="Y410" s="12" t="s">
        <v>14</v>
      </c>
      <c r="Z410" s="13" t="s">
        <v>355</v>
      </c>
    </row>
    <row r="411" spans="1:26" ht="19.5" customHeight="1" x14ac:dyDescent="0.3">
      <c r="A411" s="6">
        <v>45705</v>
      </c>
      <c r="B411" s="7" t="s">
        <v>1568</v>
      </c>
      <c r="C411" s="9" t="s">
        <v>2073</v>
      </c>
      <c r="D411" s="8" t="s">
        <v>269</v>
      </c>
      <c r="E411" s="8" t="s">
        <v>2074</v>
      </c>
      <c r="F411" s="9" t="s">
        <v>2078</v>
      </c>
      <c r="G411" s="9" t="s">
        <v>2079</v>
      </c>
      <c r="H411" s="9" t="s">
        <v>2077</v>
      </c>
      <c r="I411" s="9" t="s">
        <v>69</v>
      </c>
      <c r="J411" s="10" t="s">
        <v>185</v>
      </c>
      <c r="K411" s="15" t="str">
        <f>VLOOKUP(J411,DADOS!$A$3:$B$100,2,FALSE)</f>
        <v>EE-GI-001-031</v>
      </c>
      <c r="L411" s="15" t="s">
        <v>1955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0</v>
      </c>
      <c r="R411" s="17" t="b">
        <v>1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 t="s">
        <v>269</v>
      </c>
      <c r="X411" s="12" t="s">
        <v>14</v>
      </c>
      <c r="Y411" s="12" t="s">
        <v>14</v>
      </c>
      <c r="Z411" s="13" t="s">
        <v>355</v>
      </c>
    </row>
    <row r="412" spans="1:26" ht="19.5" customHeight="1" x14ac:dyDescent="0.3">
      <c r="A412" s="6">
        <v>45705</v>
      </c>
      <c r="B412" s="7" t="s">
        <v>1568</v>
      </c>
      <c r="C412" s="9" t="s">
        <v>2073</v>
      </c>
      <c r="D412" s="8" t="s">
        <v>269</v>
      </c>
      <c r="E412" s="8" t="s">
        <v>2074</v>
      </c>
      <c r="F412" s="9" t="s">
        <v>2080</v>
      </c>
      <c r="G412" s="9" t="s">
        <v>2081</v>
      </c>
      <c r="H412" s="9" t="s">
        <v>2077</v>
      </c>
      <c r="I412" s="9" t="s">
        <v>69</v>
      </c>
      <c r="J412" s="10" t="s">
        <v>185</v>
      </c>
      <c r="K412" s="15" t="str">
        <f>VLOOKUP(J412,DADOS!$A$3:$B$100,2,FALSE)</f>
        <v>EE-GI-001-031</v>
      </c>
      <c r="L412" s="15" t="s">
        <v>1955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0</v>
      </c>
      <c r="R412" s="17" t="b">
        <v>1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 t="s">
        <v>269</v>
      </c>
      <c r="X412" s="12" t="s">
        <v>14</v>
      </c>
      <c r="Y412" s="12" t="s">
        <v>14</v>
      </c>
      <c r="Z412" s="13" t="s">
        <v>355</v>
      </c>
    </row>
    <row r="413" spans="1:26" ht="19.5" customHeight="1" x14ac:dyDescent="0.3">
      <c r="A413" s="6">
        <v>45705</v>
      </c>
      <c r="B413" s="7" t="s">
        <v>1568</v>
      </c>
      <c r="C413" s="9" t="s">
        <v>2082</v>
      </c>
      <c r="D413" s="8" t="s">
        <v>364</v>
      </c>
      <c r="E413" s="8" t="s">
        <v>2074</v>
      </c>
      <c r="F413" s="9" t="s">
        <v>2083</v>
      </c>
      <c r="G413" s="9" t="s">
        <v>2084</v>
      </c>
      <c r="H413" s="9" t="s">
        <v>2085</v>
      </c>
      <c r="I413" s="9" t="s">
        <v>69</v>
      </c>
      <c r="J413" s="10" t="s">
        <v>185</v>
      </c>
      <c r="K413" s="15" t="str">
        <f>VLOOKUP(J413,DADOS!$A$3:$B$100,2,FALSE)</f>
        <v>EE-GI-001-031</v>
      </c>
      <c r="L413" s="15" t="s">
        <v>1955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0</v>
      </c>
      <c r="R413" s="17" t="b">
        <v>1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 t="s">
        <v>364</v>
      </c>
      <c r="X413" s="12" t="s">
        <v>14</v>
      </c>
      <c r="Y413" s="12" t="s">
        <v>14</v>
      </c>
      <c r="Z413" s="13" t="s">
        <v>355</v>
      </c>
    </row>
    <row r="414" spans="1:26" ht="19.5" customHeight="1" x14ac:dyDescent="0.3">
      <c r="A414" s="6">
        <v>45705</v>
      </c>
      <c r="B414" s="7" t="s">
        <v>1568</v>
      </c>
      <c r="C414" s="9" t="s">
        <v>2082</v>
      </c>
      <c r="D414" s="8" t="s">
        <v>269</v>
      </c>
      <c r="E414" s="8" t="s">
        <v>2074</v>
      </c>
      <c r="F414" s="9" t="s">
        <v>2086</v>
      </c>
      <c r="G414" s="9" t="s">
        <v>2087</v>
      </c>
      <c r="H414" s="9" t="s">
        <v>2085</v>
      </c>
      <c r="I414" s="9" t="s">
        <v>69</v>
      </c>
      <c r="J414" s="10" t="s">
        <v>185</v>
      </c>
      <c r="K414" s="15" t="str">
        <f>VLOOKUP(J414,DADOS!$A$3:$B$100,2,FALSE)</f>
        <v>EE-GI-001-031</v>
      </c>
      <c r="L414" s="15" t="s">
        <v>1955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0</v>
      </c>
      <c r="R414" s="17" t="b">
        <v>1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 t="s">
        <v>269</v>
      </c>
      <c r="X414" s="12" t="s">
        <v>14</v>
      </c>
      <c r="Y414" s="12" t="s">
        <v>14</v>
      </c>
      <c r="Z414" s="13" t="s">
        <v>355</v>
      </c>
    </row>
    <row r="415" spans="1:26" ht="19.5" customHeight="1" x14ac:dyDescent="0.3">
      <c r="A415" s="6">
        <v>45705</v>
      </c>
      <c r="B415" s="7" t="s">
        <v>1568</v>
      </c>
      <c r="C415" s="9" t="s">
        <v>2006</v>
      </c>
      <c r="D415" s="8" t="s">
        <v>287</v>
      </c>
      <c r="E415" s="8" t="s">
        <v>2088</v>
      </c>
      <c r="F415" s="9" t="s">
        <v>2007</v>
      </c>
      <c r="G415" s="9" t="s">
        <v>2089</v>
      </c>
      <c r="H415" s="9" t="s">
        <v>2090</v>
      </c>
      <c r="I415" s="9" t="s">
        <v>69</v>
      </c>
      <c r="J415" s="10" t="s">
        <v>185</v>
      </c>
      <c r="K415" s="15" t="str">
        <f>VLOOKUP(J415,DADOS!$A$3:$B$100,2,FALSE)</f>
        <v>EE-GI-001-031</v>
      </c>
      <c r="L415" s="15" t="s">
        <v>1955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0</v>
      </c>
      <c r="R415" s="17" t="b">
        <v>1</v>
      </c>
      <c r="S415" s="17" t="b">
        <v>0</v>
      </c>
      <c r="T415" s="17" t="b">
        <v>0</v>
      </c>
      <c r="U415" s="17" t="b">
        <v>0</v>
      </c>
      <c r="V415" s="17" t="b">
        <v>0</v>
      </c>
      <c r="W415" s="11" t="s">
        <v>287</v>
      </c>
      <c r="X415" s="12" t="s">
        <v>14</v>
      </c>
      <c r="Y415" s="12" t="s">
        <v>14</v>
      </c>
      <c r="Z415" s="13" t="s">
        <v>355</v>
      </c>
    </row>
    <row r="416" spans="1:26" ht="19.95" customHeight="1" x14ac:dyDescent="0.3">
      <c r="A416" s="6">
        <v>45705</v>
      </c>
      <c r="B416" s="7" t="s">
        <v>748</v>
      </c>
      <c r="C416" s="8" t="s">
        <v>749</v>
      </c>
      <c r="D416" s="8" t="s">
        <v>287</v>
      </c>
      <c r="E416" s="8" t="s">
        <v>750</v>
      </c>
      <c r="F416" s="9" t="s">
        <v>751</v>
      </c>
      <c r="G416" s="9" t="s">
        <v>752</v>
      </c>
      <c r="H416" s="9" t="s">
        <v>753</v>
      </c>
      <c r="I416" s="9" t="s">
        <v>66</v>
      </c>
      <c r="J416" s="10" t="s">
        <v>29</v>
      </c>
      <c r="K416" s="15" t="str">
        <f>VLOOKUP(J416,DADOS!$A$3:$B$100,2,FALSE)</f>
        <v>EE-GI-221-058</v>
      </c>
      <c r="L416" s="15" t="s">
        <v>754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1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0</v>
      </c>
      <c r="W416" s="11" t="s">
        <v>287</v>
      </c>
      <c r="X416" s="12" t="s">
        <v>14</v>
      </c>
      <c r="Y416" s="12" t="s">
        <v>14</v>
      </c>
      <c r="Z416" s="13" t="s">
        <v>261</v>
      </c>
    </row>
    <row r="417" spans="1:26" ht="19.95" customHeight="1" x14ac:dyDescent="0.3">
      <c r="A417" s="6">
        <v>45705</v>
      </c>
      <c r="B417" s="7" t="s">
        <v>748</v>
      </c>
      <c r="C417" s="8" t="s">
        <v>749</v>
      </c>
      <c r="D417" s="8" t="s">
        <v>364</v>
      </c>
      <c r="E417" s="8" t="s">
        <v>750</v>
      </c>
      <c r="F417" s="9" t="s">
        <v>755</v>
      </c>
      <c r="G417" s="9" t="s">
        <v>752</v>
      </c>
      <c r="H417" s="9" t="s">
        <v>756</v>
      </c>
      <c r="I417" s="9" t="s">
        <v>66</v>
      </c>
      <c r="J417" s="10" t="s">
        <v>29</v>
      </c>
      <c r="K417" s="15" t="str">
        <f>VLOOKUP(J417,DADOS!$A$3:$B$100,2,FALSE)</f>
        <v>EE-GI-221-058</v>
      </c>
      <c r="L417" s="15" t="s">
        <v>754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1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 t="s">
        <v>364</v>
      </c>
      <c r="X417" s="12" t="s">
        <v>14</v>
      </c>
      <c r="Y417" s="12" t="s">
        <v>14</v>
      </c>
      <c r="Z417" s="13" t="s">
        <v>261</v>
      </c>
    </row>
    <row r="418" spans="1:26" ht="19.95" customHeight="1" x14ac:dyDescent="0.3">
      <c r="A418" s="6">
        <v>45705</v>
      </c>
      <c r="B418" s="7" t="s">
        <v>1087</v>
      </c>
      <c r="C418" s="8" t="s">
        <v>1247</v>
      </c>
      <c r="D418" s="8" t="s">
        <v>444</v>
      </c>
      <c r="E418" s="8" t="s">
        <v>1630</v>
      </c>
      <c r="F418" s="9" t="s">
        <v>1631</v>
      </c>
      <c r="G418" s="9" t="s">
        <v>1632</v>
      </c>
      <c r="H418" s="9" t="s">
        <v>1712</v>
      </c>
      <c r="I418" s="9" t="s">
        <v>66</v>
      </c>
      <c r="J418" s="10" t="s">
        <v>19</v>
      </c>
      <c r="K418" s="15" t="str">
        <f>VLOOKUP(J418,DADOS!$A$3:$B$100,2,FALSE)</f>
        <v>EE-GI-221-033</v>
      </c>
      <c r="L418" s="15" t="s">
        <v>754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1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 t="s">
        <v>444</v>
      </c>
      <c r="X418" s="12" t="s">
        <v>14</v>
      </c>
      <c r="Y418" s="12" t="s">
        <v>14</v>
      </c>
      <c r="Z418" s="13" t="s">
        <v>355</v>
      </c>
    </row>
    <row r="419" spans="1:26" ht="19.95" customHeight="1" x14ac:dyDescent="0.3">
      <c r="A419" s="6">
        <v>45705</v>
      </c>
      <c r="B419" s="7" t="s">
        <v>1087</v>
      </c>
      <c r="C419" s="8" t="s">
        <v>1633</v>
      </c>
      <c r="D419" s="8" t="s">
        <v>434</v>
      </c>
      <c r="E419" s="8" t="s">
        <v>1630</v>
      </c>
      <c r="F419" s="9" t="s">
        <v>1634</v>
      </c>
      <c r="G419" s="9" t="s">
        <v>1635</v>
      </c>
      <c r="H419" s="9" t="s">
        <v>1710</v>
      </c>
      <c r="I419" s="9" t="s">
        <v>66</v>
      </c>
      <c r="J419" s="10" t="s">
        <v>233</v>
      </c>
      <c r="K419" s="15" t="str">
        <f>VLOOKUP(J419,DADOS!$A$3:$B$100,2,FALSE)</f>
        <v>EE-GI-221-031</v>
      </c>
      <c r="L419" s="15" t="s">
        <v>754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1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 t="s">
        <v>434</v>
      </c>
      <c r="X419" s="12" t="s">
        <v>14</v>
      </c>
      <c r="Y419" s="12" t="s">
        <v>14</v>
      </c>
      <c r="Z419" s="13" t="s">
        <v>355</v>
      </c>
    </row>
    <row r="420" spans="1:26" ht="19.95" customHeight="1" x14ac:dyDescent="0.3">
      <c r="A420" s="6">
        <v>45705</v>
      </c>
      <c r="B420" s="7" t="s">
        <v>1087</v>
      </c>
      <c r="C420" s="8" t="s">
        <v>1636</v>
      </c>
      <c r="D420" s="8" t="s">
        <v>279</v>
      </c>
      <c r="E420" s="8" t="s">
        <v>1630</v>
      </c>
      <c r="F420" s="9" t="s">
        <v>1637</v>
      </c>
      <c r="G420" s="9" t="s">
        <v>1638</v>
      </c>
      <c r="H420" s="9" t="s">
        <v>1709</v>
      </c>
      <c r="I420" s="9" t="s">
        <v>66</v>
      </c>
      <c r="J420" s="38" t="s">
        <v>236</v>
      </c>
      <c r="K420" s="15" t="str">
        <f>VLOOKUP(J420,DADOS!$A$3:$B$100,2,FALSE)</f>
        <v>EE-GI-221-036</v>
      </c>
      <c r="L420" s="15" t="s">
        <v>754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1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 t="s">
        <v>279</v>
      </c>
      <c r="X420" s="12" t="s">
        <v>14</v>
      </c>
      <c r="Y420" s="12" t="s">
        <v>14</v>
      </c>
      <c r="Z420" s="13" t="s">
        <v>355</v>
      </c>
    </row>
    <row r="421" spans="1:26" ht="19.95" customHeight="1" x14ac:dyDescent="0.3">
      <c r="A421" s="6">
        <v>45705</v>
      </c>
      <c r="B421" s="7" t="s">
        <v>1087</v>
      </c>
      <c r="C421" s="8" t="s">
        <v>1639</v>
      </c>
      <c r="D421" s="8" t="s">
        <v>414</v>
      </c>
      <c r="E421" s="8" t="s">
        <v>1630</v>
      </c>
      <c r="F421" s="9" t="s">
        <v>1640</v>
      </c>
      <c r="G421" s="9" t="s">
        <v>1641</v>
      </c>
      <c r="H421" s="9" t="s">
        <v>1711</v>
      </c>
      <c r="I421" s="9" t="s">
        <v>66</v>
      </c>
      <c r="J421" s="10" t="s">
        <v>241</v>
      </c>
      <c r="K421" s="15" t="str">
        <f>VLOOKUP(J421,DADOS!$A$3:$B$100,2,FALSE)</f>
        <v>EE-GI-221-048</v>
      </c>
      <c r="L421" s="15" t="s">
        <v>754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1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 t="s">
        <v>414</v>
      </c>
      <c r="X421" s="12" t="s">
        <v>14</v>
      </c>
      <c r="Y421" s="12" t="s">
        <v>14</v>
      </c>
      <c r="Z421" s="13" t="s">
        <v>355</v>
      </c>
    </row>
    <row r="422" spans="1:26" ht="19.95" customHeight="1" x14ac:dyDescent="0.3">
      <c r="A422" s="6">
        <v>45705</v>
      </c>
      <c r="B422" s="7" t="s">
        <v>1087</v>
      </c>
      <c r="C422" s="8" t="s">
        <v>1639</v>
      </c>
      <c r="D422" s="8" t="s">
        <v>466</v>
      </c>
      <c r="E422" s="8" t="s">
        <v>1630</v>
      </c>
      <c r="F422" s="9" t="s">
        <v>1102</v>
      </c>
      <c r="G422" s="9" t="s">
        <v>1641</v>
      </c>
      <c r="H422" s="9" t="s">
        <v>1711</v>
      </c>
      <c r="I422" s="9" t="s">
        <v>66</v>
      </c>
      <c r="J422" s="10" t="s">
        <v>241</v>
      </c>
      <c r="K422" s="15" t="str">
        <f>VLOOKUP(J422,DADOS!$A$3:$B$100,2,FALSE)</f>
        <v>EE-GI-221-048</v>
      </c>
      <c r="L422" s="15" t="s">
        <v>754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1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0</v>
      </c>
      <c r="W422" s="11" t="s">
        <v>466</v>
      </c>
      <c r="X422" s="12" t="s">
        <v>14</v>
      </c>
      <c r="Y422" s="12" t="s">
        <v>14</v>
      </c>
      <c r="Z422" s="13" t="s">
        <v>355</v>
      </c>
    </row>
    <row r="423" spans="1:26" ht="19.95" customHeight="1" x14ac:dyDescent="0.3">
      <c r="A423" s="6">
        <v>45705</v>
      </c>
      <c r="B423" s="7" t="s">
        <v>1087</v>
      </c>
      <c r="C423" s="8" t="s">
        <v>1808</v>
      </c>
      <c r="D423" s="8" t="s">
        <v>281</v>
      </c>
      <c r="E423" s="8" t="s">
        <v>1630</v>
      </c>
      <c r="F423" s="9" t="s">
        <v>1809</v>
      </c>
      <c r="G423" s="9" t="s">
        <v>1810</v>
      </c>
      <c r="H423" s="9" t="s">
        <v>1811</v>
      </c>
      <c r="I423" s="9" t="s">
        <v>68</v>
      </c>
      <c r="J423" s="10" t="s">
        <v>241</v>
      </c>
      <c r="K423" s="15" t="str">
        <f>VLOOKUP(J423,DADOS!$A$3:$B$100,2,FALSE)</f>
        <v>EE-GI-221-048</v>
      </c>
      <c r="L423" s="15" t="s">
        <v>754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1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1</v>
      </c>
      <c r="W423" s="11" t="s">
        <v>281</v>
      </c>
      <c r="X423" s="12" t="s">
        <v>14</v>
      </c>
      <c r="Y423" s="12" t="s">
        <v>14</v>
      </c>
      <c r="Z423" s="13" t="s">
        <v>355</v>
      </c>
    </row>
    <row r="424" spans="1:26" ht="19.95" customHeight="1" x14ac:dyDescent="0.3">
      <c r="A424" s="6">
        <v>45705</v>
      </c>
      <c r="B424" s="7" t="s">
        <v>406</v>
      </c>
      <c r="C424" s="8" t="s">
        <v>407</v>
      </c>
      <c r="D424" s="8" t="s">
        <v>782</v>
      </c>
      <c r="E424" s="8" t="s">
        <v>784</v>
      </c>
      <c r="F424" s="9" t="s">
        <v>410</v>
      </c>
      <c r="G424" s="9" t="s">
        <v>785</v>
      </c>
      <c r="H424" s="9" t="s">
        <v>787</v>
      </c>
      <c r="I424" s="9" t="s">
        <v>66</v>
      </c>
      <c r="J424" s="10" t="s">
        <v>15</v>
      </c>
      <c r="K424" s="15" t="str">
        <f>VLOOKUP(J424,DADOS!$A$3:$B$100,2,FALSE)</f>
        <v>EE-GI-001-002</v>
      </c>
      <c r="L424" s="15" t="s">
        <v>260</v>
      </c>
      <c r="M424" s="18" t="b">
        <v>1</v>
      </c>
      <c r="N424" s="17" t="b">
        <v>1</v>
      </c>
      <c r="O424" s="17" t="b">
        <v>1</v>
      </c>
      <c r="P424" s="17" t="b">
        <v>1</v>
      </c>
      <c r="Q424" s="17" t="b">
        <v>0</v>
      </c>
      <c r="R424" s="17" t="b">
        <v>1</v>
      </c>
      <c r="S424" s="17" t="b">
        <v>0</v>
      </c>
      <c r="T424" s="17" t="b">
        <v>0</v>
      </c>
      <c r="U424" s="17" t="b">
        <v>0</v>
      </c>
      <c r="V424" s="17" t="b">
        <v>1</v>
      </c>
      <c r="W424" s="11" t="s">
        <v>14</v>
      </c>
      <c r="X424" s="12" t="s">
        <v>782</v>
      </c>
      <c r="Y424" s="12" t="s">
        <v>789</v>
      </c>
      <c r="Z424" s="12" t="s">
        <v>261</v>
      </c>
    </row>
    <row r="425" spans="1:26" ht="19.95" customHeight="1" x14ac:dyDescent="0.3">
      <c r="A425" s="6">
        <v>45705</v>
      </c>
      <c r="B425" s="7" t="s">
        <v>406</v>
      </c>
      <c r="C425" s="8" t="s">
        <v>407</v>
      </c>
      <c r="D425" s="8" t="s">
        <v>783</v>
      </c>
      <c r="E425" s="8" t="s">
        <v>784</v>
      </c>
      <c r="F425" s="9" t="s">
        <v>451</v>
      </c>
      <c r="G425" s="9" t="s">
        <v>786</v>
      </c>
      <c r="H425" s="9" t="s">
        <v>788</v>
      </c>
      <c r="I425" s="9" t="s">
        <v>66</v>
      </c>
      <c r="J425" s="10" t="s">
        <v>15</v>
      </c>
      <c r="K425" s="15" t="str">
        <f>VLOOKUP(J425,DADOS!$A$3:$B$100,2,FALSE)</f>
        <v>EE-GI-001-002</v>
      </c>
      <c r="L425" s="15" t="s">
        <v>260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0</v>
      </c>
      <c r="R425" s="17" t="b">
        <v>1</v>
      </c>
      <c r="S425" s="17" t="b">
        <v>0</v>
      </c>
      <c r="T425" s="17" t="b">
        <v>0</v>
      </c>
      <c r="U425" s="17" t="b">
        <v>0</v>
      </c>
      <c r="V425" s="17" t="b">
        <v>1</v>
      </c>
      <c r="W425" s="11" t="s">
        <v>14</v>
      </c>
      <c r="X425" s="12" t="s">
        <v>783</v>
      </c>
      <c r="Y425" s="12" t="s">
        <v>789</v>
      </c>
      <c r="Z425" s="12" t="s">
        <v>261</v>
      </c>
    </row>
    <row r="426" spans="1:26" ht="19.95" customHeight="1" x14ac:dyDescent="0.3">
      <c r="A426" s="6">
        <v>45705</v>
      </c>
      <c r="B426" s="7" t="s">
        <v>629</v>
      </c>
      <c r="C426" s="8" t="s">
        <v>790</v>
      </c>
      <c r="D426" s="8" t="s">
        <v>269</v>
      </c>
      <c r="E426" s="8" t="s">
        <v>791</v>
      </c>
      <c r="F426" s="9" t="s">
        <v>792</v>
      </c>
      <c r="G426" s="9" t="s">
        <v>14</v>
      </c>
      <c r="H426" s="9" t="s">
        <v>793</v>
      </c>
      <c r="I426" s="9" t="s">
        <v>14</v>
      </c>
      <c r="J426" s="10" t="s">
        <v>14</v>
      </c>
      <c r="K426" s="15" t="e">
        <f>VLOOKUP(J426,DADOS!$A$3:$B$100,2,FALSE)</f>
        <v>#N/A</v>
      </c>
      <c r="L426" s="15" t="s">
        <v>303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1</v>
      </c>
      <c r="W426" s="11" t="s">
        <v>269</v>
      </c>
      <c r="X426" s="12" t="s">
        <v>14</v>
      </c>
      <c r="Y426" s="12" t="s">
        <v>14</v>
      </c>
      <c r="Z426" s="13" t="s">
        <v>261</v>
      </c>
    </row>
    <row r="427" spans="1:26" ht="19.95" customHeight="1" x14ac:dyDescent="0.3">
      <c r="A427" s="6">
        <v>45705</v>
      </c>
      <c r="B427" s="7" t="s">
        <v>629</v>
      </c>
      <c r="C427" s="8" t="s">
        <v>794</v>
      </c>
      <c r="D427" s="8" t="s">
        <v>269</v>
      </c>
      <c r="E427" s="8" t="s">
        <v>791</v>
      </c>
      <c r="F427" s="9" t="s">
        <v>795</v>
      </c>
      <c r="G427" s="9" t="s">
        <v>14</v>
      </c>
      <c r="H427" s="9" t="s">
        <v>798</v>
      </c>
      <c r="I427" s="9" t="s">
        <v>14</v>
      </c>
      <c r="J427" s="10" t="s">
        <v>14</v>
      </c>
      <c r="K427" s="15" t="e">
        <f>VLOOKUP(J427,DADOS!$A$3:$B$100,2,FALSE)</f>
        <v>#N/A</v>
      </c>
      <c r="L427" s="15" t="s">
        <v>303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1</v>
      </c>
      <c r="W427" s="11" t="s">
        <v>269</v>
      </c>
      <c r="X427" s="12" t="s">
        <v>14</v>
      </c>
      <c r="Y427" s="12" t="s">
        <v>14</v>
      </c>
      <c r="Z427" s="13" t="s">
        <v>261</v>
      </c>
    </row>
    <row r="428" spans="1:26" ht="19.95" customHeight="1" x14ac:dyDescent="0.3">
      <c r="A428" s="6">
        <v>45705</v>
      </c>
      <c r="B428" s="7" t="s">
        <v>629</v>
      </c>
      <c r="C428" s="8" t="s">
        <v>794</v>
      </c>
      <c r="D428" s="8" t="s">
        <v>269</v>
      </c>
      <c r="E428" s="8" t="s">
        <v>791</v>
      </c>
      <c r="F428" s="9" t="s">
        <v>796</v>
      </c>
      <c r="G428" s="9" t="s">
        <v>14</v>
      </c>
      <c r="H428" s="9" t="s">
        <v>799</v>
      </c>
      <c r="I428" s="9" t="s">
        <v>14</v>
      </c>
      <c r="J428" s="10" t="s">
        <v>14</v>
      </c>
      <c r="K428" s="15" t="e">
        <f>VLOOKUP(J428,DADOS!$A$3:$B$100,2,FALSE)</f>
        <v>#N/A</v>
      </c>
      <c r="L428" s="15" t="s">
        <v>303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1</v>
      </c>
      <c r="W428" s="11" t="s">
        <v>269</v>
      </c>
      <c r="X428" s="12" t="s">
        <v>14</v>
      </c>
      <c r="Y428" s="12" t="s">
        <v>14</v>
      </c>
      <c r="Z428" s="13" t="s">
        <v>261</v>
      </c>
    </row>
    <row r="429" spans="1:26" ht="19.95" customHeight="1" x14ac:dyDescent="0.3">
      <c r="A429" s="6">
        <v>45705</v>
      </c>
      <c r="B429" s="7" t="s">
        <v>629</v>
      </c>
      <c r="C429" s="8" t="s">
        <v>794</v>
      </c>
      <c r="D429" s="8" t="s">
        <v>287</v>
      </c>
      <c r="E429" s="8" t="s">
        <v>791</v>
      </c>
      <c r="F429" s="9" t="s">
        <v>797</v>
      </c>
      <c r="G429" s="9" t="s">
        <v>14</v>
      </c>
      <c r="H429" s="9" t="s">
        <v>800</v>
      </c>
      <c r="I429" s="9" t="s">
        <v>14</v>
      </c>
      <c r="J429" s="10" t="s">
        <v>14</v>
      </c>
      <c r="K429" s="15" t="e">
        <f>VLOOKUP(J429,DADOS!$A$3:$B$100,2,FALSE)</f>
        <v>#N/A</v>
      </c>
      <c r="L429" s="15" t="s">
        <v>303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1</v>
      </c>
      <c r="W429" s="11" t="s">
        <v>287</v>
      </c>
      <c r="X429" s="12" t="s">
        <v>14</v>
      </c>
      <c r="Y429" s="12" t="s">
        <v>14</v>
      </c>
      <c r="Z429" s="13" t="s">
        <v>261</v>
      </c>
    </row>
    <row r="430" spans="1:26" ht="19.95" customHeight="1" x14ac:dyDescent="0.3">
      <c r="A430" s="6">
        <v>45705</v>
      </c>
      <c r="B430" s="7" t="s">
        <v>1156</v>
      </c>
      <c r="C430" s="8" t="s">
        <v>1157</v>
      </c>
      <c r="D430" s="8" t="s">
        <v>281</v>
      </c>
      <c r="E430" s="8" t="s">
        <v>1158</v>
      </c>
      <c r="F430" s="9" t="s">
        <v>1159</v>
      </c>
      <c r="G430" s="9" t="s">
        <v>1160</v>
      </c>
      <c r="H430" s="9" t="s">
        <v>1161</v>
      </c>
      <c r="I430" s="9" t="s">
        <v>97</v>
      </c>
      <c r="J430" s="10" t="s">
        <v>195</v>
      </c>
      <c r="K430" s="15" t="str">
        <f>VLOOKUP(J430,DADOS!$A$3:$B$100,2,FALSE)</f>
        <v>EE-GI-001-047</v>
      </c>
      <c r="L430" s="15" t="s">
        <v>1164</v>
      </c>
      <c r="M430" s="18" t="b">
        <v>1</v>
      </c>
      <c r="N430" s="17" t="b">
        <v>1</v>
      </c>
      <c r="O430" s="17" t="b">
        <v>1</v>
      </c>
      <c r="P430" s="17" t="b">
        <v>1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0</v>
      </c>
      <c r="W430" s="11" t="s">
        <v>281</v>
      </c>
      <c r="X430" s="12" t="s">
        <v>14</v>
      </c>
      <c r="Y430" s="12" t="s">
        <v>14</v>
      </c>
      <c r="Z430" s="13" t="s">
        <v>355</v>
      </c>
    </row>
    <row r="431" spans="1:26" ht="19.95" customHeight="1" x14ac:dyDescent="0.3">
      <c r="A431" s="6">
        <v>45705</v>
      </c>
      <c r="B431" s="7" t="s">
        <v>1156</v>
      </c>
      <c r="C431" s="8" t="s">
        <v>1165</v>
      </c>
      <c r="D431" s="8" t="s">
        <v>364</v>
      </c>
      <c r="E431" s="8" t="s">
        <v>1158</v>
      </c>
      <c r="F431" s="9" t="s">
        <v>1163</v>
      </c>
      <c r="G431" s="9" t="s">
        <v>1160</v>
      </c>
      <c r="H431" s="9" t="s">
        <v>1162</v>
      </c>
      <c r="I431" s="9" t="s">
        <v>97</v>
      </c>
      <c r="J431" s="10" t="s">
        <v>195</v>
      </c>
      <c r="K431" s="15" t="str">
        <f>VLOOKUP(J431,DADOS!$A$3:$B$100,2,FALSE)</f>
        <v>EE-GI-001-047</v>
      </c>
      <c r="L431" s="15" t="s">
        <v>1164</v>
      </c>
      <c r="M431" s="18" t="b">
        <v>1</v>
      </c>
      <c r="N431" s="17" t="b">
        <v>1</v>
      </c>
      <c r="O431" s="17" t="b">
        <v>1</v>
      </c>
      <c r="P431" s="17" t="b">
        <v>1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0</v>
      </c>
      <c r="W431" s="11" t="s">
        <v>364</v>
      </c>
      <c r="X431" s="12" t="s">
        <v>14</v>
      </c>
      <c r="Y431" s="12" t="s">
        <v>14</v>
      </c>
      <c r="Z431" s="13" t="s">
        <v>355</v>
      </c>
    </row>
    <row r="432" spans="1:26" ht="19.95" customHeight="1" x14ac:dyDescent="0.3">
      <c r="A432" s="6">
        <v>45705</v>
      </c>
      <c r="B432" s="7" t="s">
        <v>578</v>
      </c>
      <c r="C432" s="8" t="s">
        <v>1261</v>
      </c>
      <c r="D432" s="8" t="s">
        <v>1262</v>
      </c>
      <c r="E432" s="8" t="s">
        <v>1263</v>
      </c>
      <c r="F432" s="9" t="s">
        <v>1264</v>
      </c>
      <c r="G432" s="9" t="s">
        <v>1265</v>
      </c>
      <c r="H432" s="9" t="s">
        <v>1266</v>
      </c>
      <c r="I432" s="9" t="s">
        <v>66</v>
      </c>
      <c r="J432" s="10" t="s">
        <v>186</v>
      </c>
      <c r="K432" s="15" t="str">
        <f>VLOOKUP(J432,DADOS!$A$3:$B$100,2,FALSE)</f>
        <v>EE-GI-001-008</v>
      </c>
      <c r="L432" s="15" t="s">
        <v>303</v>
      </c>
      <c r="M432" s="18" t="b">
        <v>1</v>
      </c>
      <c r="N432" s="17" t="b">
        <v>1</v>
      </c>
      <c r="O432" s="17" t="b">
        <v>1</v>
      </c>
      <c r="P432" s="17" t="b">
        <v>1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1</v>
      </c>
      <c r="W432" s="11" t="s">
        <v>1262</v>
      </c>
      <c r="X432" s="12" t="s">
        <v>14</v>
      </c>
      <c r="Y432" s="12" t="s">
        <v>14</v>
      </c>
      <c r="Z432" s="13" t="s">
        <v>261</v>
      </c>
    </row>
    <row r="433" spans="1:26" ht="19.95" customHeight="1" x14ac:dyDescent="0.3">
      <c r="A433" s="6">
        <v>45705</v>
      </c>
      <c r="B433" s="7" t="s">
        <v>578</v>
      </c>
      <c r="C433" s="8" t="s">
        <v>1267</v>
      </c>
      <c r="D433" s="8" t="s">
        <v>268</v>
      </c>
      <c r="E433" s="8" t="s">
        <v>1263</v>
      </c>
      <c r="F433" s="9" t="s">
        <v>1268</v>
      </c>
      <c r="G433" s="9" t="s">
        <v>1182</v>
      </c>
      <c r="H433" s="9" t="s">
        <v>1269</v>
      </c>
      <c r="I433" s="9" t="s">
        <v>66</v>
      </c>
      <c r="J433" s="10" t="s">
        <v>186</v>
      </c>
      <c r="K433" s="15" t="str">
        <f>VLOOKUP(J433,DADOS!$A$3:$B$100,2,FALSE)</f>
        <v>EE-GI-001-008</v>
      </c>
      <c r="L433" s="15" t="s">
        <v>303</v>
      </c>
      <c r="M433" s="18" t="b">
        <v>1</v>
      </c>
      <c r="N433" s="17" t="b">
        <v>1</v>
      </c>
      <c r="O433" s="17" t="b">
        <v>1</v>
      </c>
      <c r="P433" s="17" t="b">
        <v>1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1</v>
      </c>
      <c r="W433" s="11" t="s">
        <v>268</v>
      </c>
      <c r="X433" s="12" t="s">
        <v>14</v>
      </c>
      <c r="Y433" s="12" t="s">
        <v>14</v>
      </c>
      <c r="Z433" s="13" t="s">
        <v>261</v>
      </c>
    </row>
    <row r="434" spans="1:26" ht="19.95" customHeight="1" x14ac:dyDescent="0.3">
      <c r="A434" s="6">
        <v>45705</v>
      </c>
      <c r="B434" s="7" t="s">
        <v>578</v>
      </c>
      <c r="C434" s="8" t="s">
        <v>1267</v>
      </c>
      <c r="D434" s="8" t="s">
        <v>1101</v>
      </c>
      <c r="E434" s="8" t="s">
        <v>1263</v>
      </c>
      <c r="F434" s="9" t="s">
        <v>1181</v>
      </c>
      <c r="G434" s="9" t="s">
        <v>1182</v>
      </c>
      <c r="H434" s="9" t="s">
        <v>1269</v>
      </c>
      <c r="I434" s="9" t="s">
        <v>66</v>
      </c>
      <c r="J434" s="10" t="s">
        <v>186</v>
      </c>
      <c r="K434" s="15" t="str">
        <f>VLOOKUP(J434,DADOS!$A$3:$B$100,2,FALSE)</f>
        <v>EE-GI-001-008</v>
      </c>
      <c r="L434" s="15" t="s">
        <v>303</v>
      </c>
      <c r="M434" s="18" t="b">
        <v>1</v>
      </c>
      <c r="N434" s="17" t="b">
        <v>1</v>
      </c>
      <c r="O434" s="17" t="b">
        <v>1</v>
      </c>
      <c r="P434" s="17" t="b">
        <v>1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1</v>
      </c>
      <c r="W434" s="11" t="s">
        <v>1101</v>
      </c>
      <c r="X434" s="12" t="s">
        <v>14</v>
      </c>
      <c r="Y434" s="12" t="s">
        <v>14</v>
      </c>
      <c r="Z434" s="13" t="s">
        <v>261</v>
      </c>
    </row>
    <row r="435" spans="1:26" ht="19.95" customHeight="1" x14ac:dyDescent="0.3">
      <c r="A435" s="6">
        <v>45705</v>
      </c>
      <c r="B435" s="7" t="s">
        <v>578</v>
      </c>
      <c r="C435" s="8" t="s">
        <v>585</v>
      </c>
      <c r="D435" s="8" t="s">
        <v>1126</v>
      </c>
      <c r="E435" s="8" t="s">
        <v>1263</v>
      </c>
      <c r="F435" s="9" t="s">
        <v>587</v>
      </c>
      <c r="G435" s="9" t="s">
        <v>588</v>
      </c>
      <c r="H435" s="9" t="s">
        <v>1270</v>
      </c>
      <c r="I435" s="9" t="s">
        <v>66</v>
      </c>
      <c r="J435" s="10" t="s">
        <v>174</v>
      </c>
      <c r="K435" s="15" t="str">
        <f>VLOOKUP(J435,DADOS!$A$3:$B$100,2,FALSE)</f>
        <v>EE-GI-001-007</v>
      </c>
      <c r="L435" s="15" t="s">
        <v>303</v>
      </c>
      <c r="M435" s="18" t="b">
        <v>1</v>
      </c>
      <c r="N435" s="17" t="b">
        <v>1</v>
      </c>
      <c r="O435" s="17" t="b">
        <v>1</v>
      </c>
      <c r="P435" s="17" t="b">
        <v>1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1</v>
      </c>
      <c r="W435" s="11" t="s">
        <v>1126</v>
      </c>
      <c r="X435" s="12" t="s">
        <v>14</v>
      </c>
      <c r="Y435" s="12" t="s">
        <v>14</v>
      </c>
      <c r="Z435" s="13" t="s">
        <v>261</v>
      </c>
    </row>
    <row r="436" spans="1:26" ht="19.95" customHeight="1" x14ac:dyDescent="0.3">
      <c r="A436" s="6">
        <v>45705</v>
      </c>
      <c r="B436" s="7" t="s">
        <v>377</v>
      </c>
      <c r="C436" s="9" t="s">
        <v>1053</v>
      </c>
      <c r="D436" s="8" t="s">
        <v>364</v>
      </c>
      <c r="E436" s="8" t="s">
        <v>802</v>
      </c>
      <c r="F436" s="9" t="s">
        <v>1054</v>
      </c>
      <c r="G436" s="9" t="s">
        <v>1055</v>
      </c>
      <c r="H436" s="9" t="s">
        <v>1056</v>
      </c>
      <c r="I436" s="9" t="s">
        <v>69</v>
      </c>
      <c r="J436" s="10" t="s">
        <v>185</v>
      </c>
      <c r="K436" s="15" t="str">
        <f>VLOOKUP(J436,[1]DADOS!$A$3:$B$100,2,FALSE)</f>
        <v>EE-GI-001-031</v>
      </c>
      <c r="L436" s="15" t="s">
        <v>354</v>
      </c>
      <c r="M436" s="18" t="b">
        <v>1</v>
      </c>
      <c r="N436" s="17" t="b">
        <v>1</v>
      </c>
      <c r="O436" s="17" t="b">
        <v>1</v>
      </c>
      <c r="P436" s="17" t="b">
        <v>1</v>
      </c>
      <c r="Q436" s="17" t="b">
        <v>0</v>
      </c>
      <c r="R436" s="17" t="b">
        <v>0</v>
      </c>
      <c r="S436" s="17" t="b">
        <v>0</v>
      </c>
      <c r="T436" s="17" t="b">
        <v>1</v>
      </c>
      <c r="U436" s="17" t="b">
        <v>1</v>
      </c>
      <c r="V436" s="17" t="b">
        <v>1</v>
      </c>
      <c r="W436" s="11" t="s">
        <v>364</v>
      </c>
      <c r="X436" s="12" t="s">
        <v>14</v>
      </c>
      <c r="Y436" s="12" t="s">
        <v>14</v>
      </c>
      <c r="Z436" s="13" t="s">
        <v>261</v>
      </c>
    </row>
    <row r="437" spans="1:26" ht="19.95" customHeight="1" x14ac:dyDescent="0.3">
      <c r="A437" s="6">
        <v>45705</v>
      </c>
      <c r="B437" s="7" t="s">
        <v>377</v>
      </c>
      <c r="C437" s="9" t="s">
        <v>1682</v>
      </c>
      <c r="D437" s="8" t="s">
        <v>281</v>
      </c>
      <c r="E437" s="8" t="s">
        <v>1683</v>
      </c>
      <c r="F437" s="9" t="s">
        <v>1684</v>
      </c>
      <c r="G437" s="9" t="s">
        <v>1685</v>
      </c>
      <c r="H437" s="9" t="s">
        <v>1686</v>
      </c>
      <c r="I437" s="9" t="s">
        <v>68</v>
      </c>
      <c r="J437" s="10" t="s">
        <v>186</v>
      </c>
      <c r="K437" s="15" t="str">
        <f>VLOOKUP(J437,DADOS!$A$3:$B$100,2,FALSE)</f>
        <v>EE-GI-001-008</v>
      </c>
      <c r="L437" s="15" t="s">
        <v>303</v>
      </c>
      <c r="M437" s="18" t="b">
        <v>1</v>
      </c>
      <c r="N437" s="17" t="b">
        <v>1</v>
      </c>
      <c r="O437" s="17" t="b">
        <v>1</v>
      </c>
      <c r="P437" s="17" t="b">
        <v>1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1</v>
      </c>
      <c r="W437" s="11" t="s">
        <v>281</v>
      </c>
      <c r="X437" s="12" t="s">
        <v>14</v>
      </c>
      <c r="Y437" s="12" t="s">
        <v>14</v>
      </c>
      <c r="Z437" s="13" t="s">
        <v>261</v>
      </c>
    </row>
    <row r="438" spans="1:26" ht="19.95" customHeight="1" x14ac:dyDescent="0.3">
      <c r="A438" s="6">
        <v>45705</v>
      </c>
      <c r="B438" s="7" t="s">
        <v>377</v>
      </c>
      <c r="C438" s="9" t="s">
        <v>1687</v>
      </c>
      <c r="D438" s="8" t="s">
        <v>269</v>
      </c>
      <c r="E438" s="8" t="s">
        <v>1683</v>
      </c>
      <c r="F438" s="9" t="s">
        <v>1688</v>
      </c>
      <c r="G438" s="9" t="s">
        <v>1689</v>
      </c>
      <c r="H438" s="9" t="s">
        <v>1690</v>
      </c>
      <c r="I438" s="9" t="s">
        <v>68</v>
      </c>
      <c r="J438" s="10" t="s">
        <v>186</v>
      </c>
      <c r="K438" s="15" t="str">
        <f>VLOOKUP(J438,DADOS!$A$3:$B$100,2,FALSE)</f>
        <v>EE-GI-001-008</v>
      </c>
      <c r="L438" s="15" t="s">
        <v>303</v>
      </c>
      <c r="M438" s="18" t="b">
        <v>1</v>
      </c>
      <c r="N438" s="17" t="b">
        <v>1</v>
      </c>
      <c r="O438" s="17" t="b">
        <v>1</v>
      </c>
      <c r="P438" s="17" t="b">
        <v>1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1</v>
      </c>
      <c r="W438" s="11" t="s">
        <v>269</v>
      </c>
      <c r="X438" s="12" t="s">
        <v>14</v>
      </c>
      <c r="Y438" s="12" t="s">
        <v>14</v>
      </c>
      <c r="Z438" s="13" t="s">
        <v>261</v>
      </c>
    </row>
    <row r="439" spans="1:26" ht="19.95" customHeight="1" x14ac:dyDescent="0.3">
      <c r="A439" s="6">
        <v>45705</v>
      </c>
      <c r="B439" s="7" t="s">
        <v>377</v>
      </c>
      <c r="C439" s="9" t="s">
        <v>1691</v>
      </c>
      <c r="D439" s="8" t="s">
        <v>281</v>
      </c>
      <c r="E439" s="8" t="s">
        <v>1683</v>
      </c>
      <c r="F439" s="9" t="s">
        <v>1692</v>
      </c>
      <c r="G439" s="9" t="s">
        <v>1693</v>
      </c>
      <c r="H439" s="9" t="s">
        <v>1694</v>
      </c>
      <c r="I439" s="9" t="s">
        <v>73</v>
      </c>
      <c r="J439" s="10" t="s">
        <v>15</v>
      </c>
      <c r="K439" s="15" t="str">
        <f>VLOOKUP(J439,DADOS!$A$3:$B$100,2,FALSE)</f>
        <v>EE-GI-001-002</v>
      </c>
      <c r="L439" s="15" t="s">
        <v>303</v>
      </c>
      <c r="M439" s="18" t="b">
        <v>1</v>
      </c>
      <c r="N439" s="17" t="b">
        <v>1</v>
      </c>
      <c r="O439" s="17" t="b">
        <v>1</v>
      </c>
      <c r="P439" s="17" t="b">
        <v>1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1</v>
      </c>
      <c r="W439" s="11" t="s">
        <v>281</v>
      </c>
      <c r="X439" s="12" t="s">
        <v>14</v>
      </c>
      <c r="Y439" s="12" t="s">
        <v>14</v>
      </c>
      <c r="Z439" s="13" t="s">
        <v>355</v>
      </c>
    </row>
    <row r="440" spans="1:26" ht="19.95" customHeight="1" x14ac:dyDescent="0.3">
      <c r="A440" s="6">
        <v>45705</v>
      </c>
      <c r="B440" s="7" t="s">
        <v>377</v>
      </c>
      <c r="C440" s="9" t="s">
        <v>1691</v>
      </c>
      <c r="D440" s="8" t="s">
        <v>281</v>
      </c>
      <c r="E440" s="8" t="s">
        <v>1683</v>
      </c>
      <c r="F440" s="9" t="s">
        <v>1695</v>
      </c>
      <c r="G440" s="9" t="s">
        <v>1693</v>
      </c>
      <c r="H440" s="9" t="s">
        <v>1696</v>
      </c>
      <c r="I440" s="9" t="s">
        <v>73</v>
      </c>
      <c r="J440" s="10" t="s">
        <v>15</v>
      </c>
      <c r="K440" s="15" t="str">
        <f>VLOOKUP(J440,DADOS!$A$3:$B$100,2,FALSE)</f>
        <v>EE-GI-001-002</v>
      </c>
      <c r="L440" s="15" t="s">
        <v>303</v>
      </c>
      <c r="M440" s="18" t="b">
        <v>1</v>
      </c>
      <c r="N440" s="17" t="b">
        <v>1</v>
      </c>
      <c r="O440" s="17" t="b">
        <v>1</v>
      </c>
      <c r="P440" s="17" t="b">
        <v>1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1</v>
      </c>
      <c r="W440" s="11" t="s">
        <v>281</v>
      </c>
      <c r="X440" s="12" t="s">
        <v>14</v>
      </c>
      <c r="Y440" s="12" t="s">
        <v>14</v>
      </c>
      <c r="Z440" s="13" t="s">
        <v>355</v>
      </c>
    </row>
    <row r="441" spans="1:26" ht="19.95" customHeight="1" x14ac:dyDescent="0.3">
      <c r="A441" s="6">
        <v>45705</v>
      </c>
      <c r="B441" s="7" t="s">
        <v>377</v>
      </c>
      <c r="C441" s="9" t="s">
        <v>454</v>
      </c>
      <c r="D441" s="8" t="s">
        <v>364</v>
      </c>
      <c r="E441" s="8" t="s">
        <v>1683</v>
      </c>
      <c r="F441" s="9" t="s">
        <v>455</v>
      </c>
      <c r="G441" s="9" t="s">
        <v>1693</v>
      </c>
      <c r="H441" s="9" t="s">
        <v>1697</v>
      </c>
      <c r="I441" s="9" t="s">
        <v>68</v>
      </c>
      <c r="J441" s="10" t="s">
        <v>15</v>
      </c>
      <c r="K441" s="15" t="str">
        <f>VLOOKUP(J441,DADOS!$A$3:$B$100,2,FALSE)</f>
        <v>EE-GI-001-002</v>
      </c>
      <c r="L441" s="15" t="s">
        <v>303</v>
      </c>
      <c r="M441" s="18" t="b">
        <v>1</v>
      </c>
      <c r="N441" s="17" t="b">
        <v>1</v>
      </c>
      <c r="O441" s="17" t="b">
        <v>1</v>
      </c>
      <c r="P441" s="17" t="b">
        <v>1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1</v>
      </c>
      <c r="W441" s="11" t="s">
        <v>364</v>
      </c>
      <c r="X441" s="12" t="s">
        <v>14</v>
      </c>
      <c r="Y441" s="12" t="s">
        <v>14</v>
      </c>
      <c r="Z441" s="13" t="s">
        <v>355</v>
      </c>
    </row>
    <row r="442" spans="1:26" ht="19.95" customHeight="1" x14ac:dyDescent="0.3">
      <c r="A442" s="6">
        <v>45705</v>
      </c>
      <c r="B442" s="7" t="s">
        <v>377</v>
      </c>
      <c r="C442" s="9" t="s">
        <v>454</v>
      </c>
      <c r="D442" s="8" t="s">
        <v>287</v>
      </c>
      <c r="E442" s="8" t="s">
        <v>1683</v>
      </c>
      <c r="F442" s="9" t="s">
        <v>1698</v>
      </c>
      <c r="G442" s="9" t="s">
        <v>1693</v>
      </c>
      <c r="H442" s="9" t="s">
        <v>1697</v>
      </c>
      <c r="I442" s="9" t="s">
        <v>68</v>
      </c>
      <c r="J442" s="10" t="s">
        <v>15</v>
      </c>
      <c r="K442" s="15" t="str">
        <f>VLOOKUP(J442,DADOS!$A$3:$B$100,2,FALSE)</f>
        <v>EE-GI-001-002</v>
      </c>
      <c r="L442" s="15" t="s">
        <v>303</v>
      </c>
      <c r="M442" s="18" t="b">
        <v>1</v>
      </c>
      <c r="N442" s="17" t="b">
        <v>1</v>
      </c>
      <c r="O442" s="17" t="b">
        <v>1</v>
      </c>
      <c r="P442" s="17" t="b">
        <v>1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1</v>
      </c>
      <c r="W442" s="11" t="s">
        <v>287</v>
      </c>
      <c r="X442" s="12" t="s">
        <v>14</v>
      </c>
      <c r="Y442" s="12" t="s">
        <v>14</v>
      </c>
      <c r="Z442" s="13" t="s">
        <v>355</v>
      </c>
    </row>
    <row r="443" spans="1:26" ht="19.95" customHeight="1" x14ac:dyDescent="0.3">
      <c r="A443" s="6">
        <v>45705</v>
      </c>
      <c r="B443" s="7" t="s">
        <v>339</v>
      </c>
      <c r="C443" s="9" t="s">
        <v>2379</v>
      </c>
      <c r="D443" s="8" t="s">
        <v>466</v>
      </c>
      <c r="E443" s="8" t="s">
        <v>2380</v>
      </c>
      <c r="F443" s="9" t="s">
        <v>2381</v>
      </c>
      <c r="G443" s="9" t="s">
        <v>1182</v>
      </c>
      <c r="H443" s="9" t="s">
        <v>14</v>
      </c>
      <c r="I443" s="9" t="s">
        <v>66</v>
      </c>
      <c r="J443" s="10" t="s">
        <v>186</v>
      </c>
      <c r="K443" s="15" t="str">
        <f>VLOOKUP(J443,DADOS!$A$3:$B$100,2,FALSE)</f>
        <v>EE-GI-001-008</v>
      </c>
      <c r="L443" s="15" t="s">
        <v>260</v>
      </c>
      <c r="M443" s="18" t="b">
        <v>1</v>
      </c>
      <c r="N443" s="17" t="b">
        <v>1</v>
      </c>
      <c r="O443" s="17" t="b">
        <v>1</v>
      </c>
      <c r="P443" s="17" t="b">
        <v>1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1</v>
      </c>
      <c r="W443" s="11" t="s">
        <v>466</v>
      </c>
      <c r="X443" s="12" t="s">
        <v>14</v>
      </c>
      <c r="Y443" s="12" t="s">
        <v>14</v>
      </c>
      <c r="Z443" s="13" t="s">
        <v>355</v>
      </c>
    </row>
    <row r="444" spans="1:26" ht="19.95" customHeight="1" x14ac:dyDescent="0.3">
      <c r="A444" s="6">
        <v>45705</v>
      </c>
      <c r="B444" s="7" t="s">
        <v>339</v>
      </c>
      <c r="C444" s="9" t="s">
        <v>2379</v>
      </c>
      <c r="D444" s="8" t="s">
        <v>414</v>
      </c>
      <c r="E444" s="8" t="s">
        <v>2380</v>
      </c>
      <c r="F444" s="9" t="s">
        <v>2382</v>
      </c>
      <c r="G444" s="9" t="s">
        <v>1182</v>
      </c>
      <c r="H444" s="9" t="s">
        <v>14</v>
      </c>
      <c r="I444" s="9" t="s">
        <v>66</v>
      </c>
      <c r="J444" s="10" t="s">
        <v>186</v>
      </c>
      <c r="K444" s="15" t="str">
        <f>VLOOKUP(J444,DADOS!$A$3:$B$100,2,FALSE)</f>
        <v>EE-GI-001-008</v>
      </c>
      <c r="L444" s="15" t="s">
        <v>260</v>
      </c>
      <c r="M444" s="18" t="b">
        <v>1</v>
      </c>
      <c r="N444" s="17" t="b">
        <v>1</v>
      </c>
      <c r="O444" s="17" t="b">
        <v>1</v>
      </c>
      <c r="P444" s="17" t="b">
        <v>1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1</v>
      </c>
      <c r="W444" s="11" t="s">
        <v>414</v>
      </c>
      <c r="X444" s="12" t="s">
        <v>14</v>
      </c>
      <c r="Y444" s="12" t="s">
        <v>14</v>
      </c>
      <c r="Z444" s="13" t="s">
        <v>355</v>
      </c>
    </row>
    <row r="445" spans="1:26" ht="19.95" customHeight="1" x14ac:dyDescent="0.3">
      <c r="A445" s="6">
        <v>45705</v>
      </c>
      <c r="B445" s="7" t="s">
        <v>930</v>
      </c>
      <c r="C445" s="9" t="s">
        <v>2545</v>
      </c>
      <c r="D445" s="8" t="s">
        <v>364</v>
      </c>
      <c r="E445" s="8" t="s">
        <v>2542</v>
      </c>
      <c r="F445" s="9" t="s">
        <v>2546</v>
      </c>
      <c r="G445" s="9" t="s">
        <v>2311</v>
      </c>
      <c r="H445" s="9" t="s">
        <v>2547</v>
      </c>
      <c r="I445" s="9" t="s">
        <v>69</v>
      </c>
      <c r="J445" s="10" t="s">
        <v>176</v>
      </c>
      <c r="K445" s="15" t="str">
        <f>VLOOKUP(J445,DADOS!$A$3:$B$100,2,FALSE)</f>
        <v>EE-GI-001-011</v>
      </c>
      <c r="L445" s="15" t="s">
        <v>260</v>
      </c>
      <c r="M445" s="18" t="b">
        <v>1</v>
      </c>
      <c r="N445" s="17" t="b">
        <v>1</v>
      </c>
      <c r="O445" s="17" t="b">
        <v>1</v>
      </c>
      <c r="P445" s="17" t="b">
        <v>1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1</v>
      </c>
      <c r="W445" s="11" t="s">
        <v>364</v>
      </c>
      <c r="X445" s="12" t="s">
        <v>14</v>
      </c>
      <c r="Y445" s="12" t="s">
        <v>14</v>
      </c>
      <c r="Z445" s="13" t="s">
        <v>2536</v>
      </c>
    </row>
    <row r="446" spans="1:26" ht="19.95" customHeight="1" x14ac:dyDescent="0.3">
      <c r="A446" s="6">
        <v>45705</v>
      </c>
      <c r="B446" s="7" t="s">
        <v>930</v>
      </c>
      <c r="C446" s="9" t="s">
        <v>2548</v>
      </c>
      <c r="D446" s="8" t="s">
        <v>269</v>
      </c>
      <c r="E446" s="8" t="s">
        <v>2542</v>
      </c>
      <c r="F446" s="9" t="s">
        <v>2552</v>
      </c>
      <c r="G446" s="9" t="s">
        <v>2311</v>
      </c>
      <c r="H446" s="9" t="s">
        <v>2547</v>
      </c>
      <c r="I446" s="9" t="s">
        <v>69</v>
      </c>
      <c r="J446" s="10" t="s">
        <v>176</v>
      </c>
      <c r="K446" s="15" t="str">
        <f>VLOOKUP(J446,DADOS!$A$3:$B$100,2,FALSE)</f>
        <v>EE-GI-001-011</v>
      </c>
      <c r="L446" s="15" t="s">
        <v>260</v>
      </c>
      <c r="M446" s="18" t="b">
        <v>1</v>
      </c>
      <c r="N446" s="17" t="b">
        <v>1</v>
      </c>
      <c r="O446" s="17" t="b">
        <v>1</v>
      </c>
      <c r="P446" s="17" t="b">
        <v>1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1</v>
      </c>
      <c r="W446" s="11" t="s">
        <v>364</v>
      </c>
      <c r="X446" s="12" t="s">
        <v>14</v>
      </c>
      <c r="Y446" s="12" t="s">
        <v>14</v>
      </c>
      <c r="Z446" s="13" t="s">
        <v>2536</v>
      </c>
    </row>
    <row r="447" spans="1:26" ht="19.95" customHeight="1" x14ac:dyDescent="0.3">
      <c r="A447" s="6">
        <v>45705</v>
      </c>
      <c r="B447" s="7" t="s">
        <v>930</v>
      </c>
      <c r="C447" s="9" t="s">
        <v>2549</v>
      </c>
      <c r="D447" s="8" t="s">
        <v>2550</v>
      </c>
      <c r="E447" s="8" t="s">
        <v>2542</v>
      </c>
      <c r="F447" s="9" t="s">
        <v>2551</v>
      </c>
      <c r="G447" s="9" t="s">
        <v>2553</v>
      </c>
      <c r="H447" s="9" t="s">
        <v>2547</v>
      </c>
      <c r="I447" s="9" t="s">
        <v>65</v>
      </c>
      <c r="J447" s="10" t="s">
        <v>174</v>
      </c>
      <c r="K447" s="15" t="str">
        <f>VLOOKUP(J447,DADOS!$A$3:$B$100,2,FALSE)</f>
        <v>EE-GI-001-007</v>
      </c>
      <c r="L447" s="15" t="s">
        <v>260</v>
      </c>
      <c r="M447" s="18" t="b">
        <v>1</v>
      </c>
      <c r="N447" s="17" t="b">
        <v>1</v>
      </c>
      <c r="O447" s="17" t="b">
        <v>1</v>
      </c>
      <c r="P447" s="17" t="b">
        <v>1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1</v>
      </c>
      <c r="W447" s="11" t="s">
        <v>287</v>
      </c>
      <c r="X447" s="12" t="s">
        <v>14</v>
      </c>
      <c r="Y447" s="12" t="s">
        <v>14</v>
      </c>
      <c r="Z447" s="13" t="s">
        <v>2536</v>
      </c>
    </row>
    <row r="448" spans="1:26" ht="19.95" customHeight="1" x14ac:dyDescent="0.3">
      <c r="A448" s="6">
        <v>45705</v>
      </c>
      <c r="B448" s="7" t="s">
        <v>930</v>
      </c>
      <c r="C448" s="9" t="s">
        <v>2554</v>
      </c>
      <c r="D448" s="8" t="s">
        <v>281</v>
      </c>
      <c r="E448" s="8" t="s">
        <v>2542</v>
      </c>
      <c r="F448" s="9" t="s">
        <v>2555</v>
      </c>
      <c r="G448" s="9" t="s">
        <v>2556</v>
      </c>
      <c r="H448" s="9" t="s">
        <v>2547</v>
      </c>
      <c r="I448" s="9" t="s">
        <v>70</v>
      </c>
      <c r="J448" s="10" t="s">
        <v>174</v>
      </c>
      <c r="K448" s="15" t="str">
        <f>VLOOKUP(J448,DADOS!$A$3:$B$100,2,FALSE)</f>
        <v>EE-GI-001-007</v>
      </c>
      <c r="L448" s="15" t="s">
        <v>260</v>
      </c>
      <c r="M448" s="18" t="b">
        <v>1</v>
      </c>
      <c r="N448" s="17" t="b">
        <v>1</v>
      </c>
      <c r="O448" s="17" t="b">
        <v>1</v>
      </c>
      <c r="P448" s="17" t="b">
        <v>1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1</v>
      </c>
      <c r="W448" s="11" t="s">
        <v>269</v>
      </c>
      <c r="X448" s="12" t="s">
        <v>14</v>
      </c>
      <c r="Y448" s="12" t="s">
        <v>14</v>
      </c>
      <c r="Z448" s="13" t="s">
        <v>2536</v>
      </c>
    </row>
    <row r="449" spans="1:26" ht="19.95" customHeight="1" x14ac:dyDescent="0.3">
      <c r="A449" s="6">
        <v>45705</v>
      </c>
      <c r="B449" s="7" t="s">
        <v>930</v>
      </c>
      <c r="C449" s="9" t="s">
        <v>2554</v>
      </c>
      <c r="D449" s="8" t="s">
        <v>281</v>
      </c>
      <c r="E449" s="8" t="s">
        <v>2542</v>
      </c>
      <c r="F449" s="9" t="s">
        <v>2557</v>
      </c>
      <c r="G449" s="9" t="s">
        <v>2556</v>
      </c>
      <c r="H449" s="9" t="s">
        <v>2547</v>
      </c>
      <c r="I449" s="9" t="s">
        <v>70</v>
      </c>
      <c r="J449" s="10" t="s">
        <v>174</v>
      </c>
      <c r="K449" s="15" t="str">
        <f>VLOOKUP(J449,DADOS!$A$3:$B$100,2,FALSE)</f>
        <v>EE-GI-001-007</v>
      </c>
      <c r="L449" s="15" t="s">
        <v>260</v>
      </c>
      <c r="M449" s="18" t="b">
        <v>1</v>
      </c>
      <c r="N449" s="17" t="b">
        <v>1</v>
      </c>
      <c r="O449" s="17" t="b">
        <v>1</v>
      </c>
      <c r="P449" s="17" t="b">
        <v>1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1</v>
      </c>
      <c r="W449" s="11" t="s">
        <v>281</v>
      </c>
      <c r="X449" s="12" t="s">
        <v>14</v>
      </c>
      <c r="Y449" s="12" t="s">
        <v>14</v>
      </c>
      <c r="Z449" s="13" t="s">
        <v>2536</v>
      </c>
    </row>
    <row r="450" spans="1:26" ht="19.95" customHeight="1" x14ac:dyDescent="0.3">
      <c r="A450" s="6">
        <v>45705</v>
      </c>
      <c r="B450" s="7" t="s">
        <v>930</v>
      </c>
      <c r="C450" s="9" t="s">
        <v>2558</v>
      </c>
      <c r="D450" s="8" t="s">
        <v>287</v>
      </c>
      <c r="E450" s="8" t="s">
        <v>2542</v>
      </c>
      <c r="F450" s="9" t="s">
        <v>2559</v>
      </c>
      <c r="G450" s="9" t="s">
        <v>2544</v>
      </c>
      <c r="H450" s="9" t="s">
        <v>2547</v>
      </c>
      <c r="I450" s="9" t="s">
        <v>65</v>
      </c>
      <c r="J450" s="10" t="s">
        <v>193</v>
      </c>
      <c r="K450" s="15" t="str">
        <f>VLOOKUP(J450,DADOS!$A$3:$B$100,2,FALSE)</f>
        <v>EE-GI-001-043</v>
      </c>
      <c r="L450" s="15" t="s">
        <v>260</v>
      </c>
      <c r="M450" s="18" t="b">
        <v>1</v>
      </c>
      <c r="N450" s="17" t="b">
        <v>1</v>
      </c>
      <c r="O450" s="17" t="b">
        <v>1</v>
      </c>
      <c r="P450" s="17" t="b">
        <v>1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1</v>
      </c>
      <c r="W450" s="11" t="s">
        <v>287</v>
      </c>
      <c r="X450" s="12" t="s">
        <v>14</v>
      </c>
      <c r="Y450" s="12" t="s">
        <v>14</v>
      </c>
      <c r="Z450" s="13" t="s">
        <v>2536</v>
      </c>
    </row>
    <row r="451" spans="1:26" ht="19.95" customHeight="1" x14ac:dyDescent="0.3">
      <c r="A451" s="6">
        <v>45705</v>
      </c>
      <c r="B451" s="7" t="s">
        <v>930</v>
      </c>
      <c r="C451" s="9" t="s">
        <v>2560</v>
      </c>
      <c r="D451" s="8" t="s">
        <v>279</v>
      </c>
      <c r="E451" s="8" t="s">
        <v>2542</v>
      </c>
      <c r="F451" s="9" t="s">
        <v>2561</v>
      </c>
      <c r="G451" s="9" t="s">
        <v>2562</v>
      </c>
      <c r="H451" s="9" t="s">
        <v>2547</v>
      </c>
      <c r="I451" s="9" t="s">
        <v>65</v>
      </c>
      <c r="J451" s="10" t="s">
        <v>174</v>
      </c>
      <c r="K451" s="15" t="str">
        <f>VLOOKUP(J451,DADOS!$A$3:$B$100,2,FALSE)</f>
        <v>EE-GI-001-007</v>
      </c>
      <c r="L451" s="15" t="s">
        <v>260</v>
      </c>
      <c r="M451" s="18" t="b">
        <v>1</v>
      </c>
      <c r="N451" s="17" t="b">
        <v>1</v>
      </c>
      <c r="O451" s="17" t="b">
        <v>1</v>
      </c>
      <c r="P451" s="17" t="b">
        <v>1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1</v>
      </c>
      <c r="W451" s="11" t="s">
        <v>279</v>
      </c>
      <c r="X451" s="12" t="s">
        <v>14</v>
      </c>
      <c r="Y451" s="12" t="s">
        <v>14</v>
      </c>
      <c r="Z451" s="13" t="s">
        <v>2536</v>
      </c>
    </row>
    <row r="452" spans="1:26" ht="19.95" customHeight="1" x14ac:dyDescent="0.3">
      <c r="A452" s="6">
        <v>45705</v>
      </c>
      <c r="B452" s="7" t="s">
        <v>930</v>
      </c>
      <c r="C452" s="9" t="s">
        <v>2564</v>
      </c>
      <c r="D452" s="8" t="s">
        <v>373</v>
      </c>
      <c r="E452" s="8" t="s">
        <v>2542</v>
      </c>
      <c r="F452" s="9" t="s">
        <v>2565</v>
      </c>
      <c r="G452" s="9" t="s">
        <v>606</v>
      </c>
      <c r="H452" s="9" t="s">
        <v>2547</v>
      </c>
      <c r="I452" s="9" t="s">
        <v>68</v>
      </c>
      <c r="J452" s="10" t="s">
        <v>174</v>
      </c>
      <c r="K452" s="15" t="str">
        <f>VLOOKUP(J452,DADOS!$A$3:$B$100,2,FALSE)</f>
        <v>EE-GI-001-007</v>
      </c>
      <c r="L452" s="15" t="s">
        <v>260</v>
      </c>
      <c r="M452" s="18" t="b">
        <v>1</v>
      </c>
      <c r="N452" s="17" t="b">
        <v>1</v>
      </c>
      <c r="O452" s="17" t="b">
        <v>1</v>
      </c>
      <c r="P452" s="17" t="b">
        <v>1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1</v>
      </c>
      <c r="W452" s="11" t="s">
        <v>373</v>
      </c>
      <c r="X452" s="12" t="s">
        <v>14</v>
      </c>
      <c r="Y452" s="12" t="s">
        <v>14</v>
      </c>
      <c r="Z452" s="13" t="s">
        <v>2536</v>
      </c>
    </row>
    <row r="453" spans="1:26" ht="19.95" customHeight="1" x14ac:dyDescent="0.3">
      <c r="A453" s="6">
        <v>45705</v>
      </c>
      <c r="B453" s="7" t="s">
        <v>930</v>
      </c>
      <c r="C453" s="9" t="s">
        <v>2680</v>
      </c>
      <c r="D453" s="8" t="s">
        <v>269</v>
      </c>
      <c r="E453" s="8" t="s">
        <v>2542</v>
      </c>
      <c r="F453" s="9" t="s">
        <v>2681</v>
      </c>
      <c r="G453" s="9" t="s">
        <v>2393</v>
      </c>
      <c r="H453" s="9" t="s">
        <v>2547</v>
      </c>
      <c r="I453" s="9" t="s">
        <v>69</v>
      </c>
      <c r="J453" s="10" t="s">
        <v>176</v>
      </c>
      <c r="K453" s="15" t="str">
        <f>VLOOKUP(J453,DADOS!$A$3:$B$100,2,FALSE)</f>
        <v>EE-GI-001-011</v>
      </c>
      <c r="L453" s="15" t="s">
        <v>260</v>
      </c>
      <c r="M453" s="18" t="b">
        <v>1</v>
      </c>
      <c r="N453" s="17" t="b">
        <v>1</v>
      </c>
      <c r="O453" s="17" t="b">
        <v>1</v>
      </c>
      <c r="P453" s="17" t="b">
        <v>1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1</v>
      </c>
      <c r="W453" s="11" t="s">
        <v>269</v>
      </c>
      <c r="X453" s="12" t="s">
        <v>14</v>
      </c>
      <c r="Y453" s="12" t="s">
        <v>14</v>
      </c>
      <c r="Z453" s="13" t="s">
        <v>2536</v>
      </c>
    </row>
    <row r="454" spans="1:26" ht="19.95" customHeight="1" x14ac:dyDescent="0.3">
      <c r="A454" s="6">
        <v>45705</v>
      </c>
      <c r="B454" s="7" t="s">
        <v>339</v>
      </c>
      <c r="C454" s="9" t="s">
        <v>2379</v>
      </c>
      <c r="D454" s="8" t="s">
        <v>287</v>
      </c>
      <c r="E454" s="8" t="s">
        <v>2380</v>
      </c>
      <c r="F454" s="9" t="s">
        <v>2383</v>
      </c>
      <c r="G454" s="9" t="s">
        <v>1182</v>
      </c>
      <c r="H454" s="9" t="s">
        <v>14</v>
      </c>
      <c r="I454" s="9" t="s">
        <v>66</v>
      </c>
      <c r="J454" s="10" t="s">
        <v>186</v>
      </c>
      <c r="K454" s="15" t="str">
        <f>VLOOKUP(J454,DADOS!$A$3:$B$100,2,FALSE)</f>
        <v>EE-GI-001-008</v>
      </c>
      <c r="L454" s="15" t="s">
        <v>260</v>
      </c>
      <c r="M454" s="18" t="b">
        <v>1</v>
      </c>
      <c r="N454" s="17" t="b">
        <v>1</v>
      </c>
      <c r="O454" s="17" t="b">
        <v>1</v>
      </c>
      <c r="P454" s="17" t="b">
        <v>1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1</v>
      </c>
      <c r="W454" s="11" t="s">
        <v>287</v>
      </c>
      <c r="X454" s="12" t="s">
        <v>14</v>
      </c>
      <c r="Y454" s="12" t="s">
        <v>14</v>
      </c>
      <c r="Z454" s="13" t="s">
        <v>355</v>
      </c>
    </row>
    <row r="455" spans="1:26" ht="19.95" customHeight="1" x14ac:dyDescent="0.3">
      <c r="A455" s="6">
        <v>45706</v>
      </c>
      <c r="B455" s="7" t="s">
        <v>377</v>
      </c>
      <c r="C455" s="8" t="s">
        <v>801</v>
      </c>
      <c r="D455" s="8" t="s">
        <v>287</v>
      </c>
      <c r="E455" s="8" t="s">
        <v>802</v>
      </c>
      <c r="F455" s="9" t="s">
        <v>803</v>
      </c>
      <c r="G455" s="9" t="s">
        <v>405</v>
      </c>
      <c r="H455" s="9" t="s">
        <v>806</v>
      </c>
      <c r="I455" s="9" t="s">
        <v>68</v>
      </c>
      <c r="J455" s="10" t="s">
        <v>186</v>
      </c>
      <c r="K455" s="15" t="str">
        <f>VLOOKUP(J455,DADOS!$A$3:$B$100,2,FALSE)</f>
        <v>EE-GI-001-008</v>
      </c>
      <c r="L455" s="15" t="s">
        <v>303</v>
      </c>
      <c r="M455" s="18" t="b">
        <v>1</v>
      </c>
      <c r="N455" s="17" t="b">
        <v>1</v>
      </c>
      <c r="O455" s="17" t="b">
        <v>1</v>
      </c>
      <c r="P455" s="17" t="b">
        <v>1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1</v>
      </c>
      <c r="W455" s="11" t="s">
        <v>287</v>
      </c>
      <c r="X455" s="12" t="s">
        <v>14</v>
      </c>
      <c r="Y455" s="12" t="s">
        <v>14</v>
      </c>
      <c r="Z455" s="13" t="s">
        <v>261</v>
      </c>
    </row>
    <row r="456" spans="1:26" ht="19.95" customHeight="1" x14ac:dyDescent="0.3">
      <c r="A456" s="6">
        <v>45706</v>
      </c>
      <c r="B456" s="7" t="s">
        <v>377</v>
      </c>
      <c r="C456" s="8" t="s">
        <v>801</v>
      </c>
      <c r="D456" s="8" t="s">
        <v>414</v>
      </c>
      <c r="E456" s="8" t="s">
        <v>802</v>
      </c>
      <c r="F456" s="9" t="s">
        <v>804</v>
      </c>
      <c r="G456" s="9" t="s">
        <v>807</v>
      </c>
      <c r="H456" s="9" t="s">
        <v>806</v>
      </c>
      <c r="I456" s="9" t="s">
        <v>68</v>
      </c>
      <c r="J456" s="10" t="s">
        <v>186</v>
      </c>
      <c r="K456" s="15" t="str">
        <f>VLOOKUP(J456,DADOS!$A$3:$B$100,2,FALSE)</f>
        <v>EE-GI-001-008</v>
      </c>
      <c r="L456" s="15" t="s">
        <v>303</v>
      </c>
      <c r="M456" s="18" t="b">
        <v>1</v>
      </c>
      <c r="N456" s="17" t="b">
        <v>1</v>
      </c>
      <c r="O456" s="17" t="b">
        <v>1</v>
      </c>
      <c r="P456" s="17" t="b">
        <v>1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1</v>
      </c>
      <c r="W456" s="11" t="s">
        <v>414</v>
      </c>
      <c r="X456" s="12" t="s">
        <v>14</v>
      </c>
      <c r="Y456" s="12" t="s">
        <v>14</v>
      </c>
      <c r="Z456" s="13" t="s">
        <v>261</v>
      </c>
    </row>
    <row r="457" spans="1:26" ht="19.95" customHeight="1" x14ac:dyDescent="0.3">
      <c r="A457" s="6">
        <v>45706</v>
      </c>
      <c r="B457" s="7" t="s">
        <v>377</v>
      </c>
      <c r="C457" s="8" t="s">
        <v>801</v>
      </c>
      <c r="D457" s="8" t="s">
        <v>281</v>
      </c>
      <c r="E457" s="8" t="s">
        <v>802</v>
      </c>
      <c r="F457" s="9" t="s">
        <v>805</v>
      </c>
      <c r="G457" s="9" t="s">
        <v>808</v>
      </c>
      <c r="H457" s="9" t="s">
        <v>806</v>
      </c>
      <c r="I457" s="9" t="s">
        <v>68</v>
      </c>
      <c r="J457" s="10" t="s">
        <v>186</v>
      </c>
      <c r="K457" s="15" t="str">
        <f>VLOOKUP(J457,DADOS!$A$3:$B$100,2,FALSE)</f>
        <v>EE-GI-001-008</v>
      </c>
      <c r="L457" s="15" t="s">
        <v>303</v>
      </c>
      <c r="M457" s="18" t="b">
        <v>1</v>
      </c>
      <c r="N457" s="17" t="b">
        <v>1</v>
      </c>
      <c r="O457" s="17" t="b">
        <v>1</v>
      </c>
      <c r="P457" s="17" t="b">
        <v>1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1</v>
      </c>
      <c r="W457" s="11" t="s">
        <v>281</v>
      </c>
      <c r="X457" s="12" t="s">
        <v>14</v>
      </c>
      <c r="Y457" s="12" t="s">
        <v>14</v>
      </c>
      <c r="Z457" s="13" t="s">
        <v>261</v>
      </c>
    </row>
    <row r="458" spans="1:26" ht="19.95" customHeight="1" x14ac:dyDescent="0.3">
      <c r="A458" s="6">
        <v>45706</v>
      </c>
      <c r="B458" s="7" t="s">
        <v>377</v>
      </c>
      <c r="C458" s="8" t="s">
        <v>809</v>
      </c>
      <c r="D458" s="8" t="s">
        <v>287</v>
      </c>
      <c r="E458" s="8" t="s">
        <v>810</v>
      </c>
      <c r="F458" s="9" t="s">
        <v>811</v>
      </c>
      <c r="G458" s="9" t="s">
        <v>812</v>
      </c>
      <c r="H458" s="9" t="s">
        <v>813</v>
      </c>
      <c r="I458" s="9" t="s">
        <v>74</v>
      </c>
      <c r="J458" s="10" t="s">
        <v>17</v>
      </c>
      <c r="K458" s="15" t="str">
        <f>VLOOKUP(J458,DADOS!$A$3:$B$100,2,FALSE)</f>
        <v>EE-GI-001-001</v>
      </c>
      <c r="L458" s="15" t="s">
        <v>814</v>
      </c>
      <c r="M458" s="18" t="b">
        <v>1</v>
      </c>
      <c r="N458" s="17" t="b">
        <v>1</v>
      </c>
      <c r="O458" s="17" t="b">
        <v>1</v>
      </c>
      <c r="P458" s="17" t="b">
        <v>1</v>
      </c>
      <c r="Q458" s="17" t="b">
        <v>0</v>
      </c>
      <c r="R458" s="17" t="b">
        <v>0</v>
      </c>
      <c r="S458" s="17" t="b">
        <v>0</v>
      </c>
      <c r="T458" s="17" t="b">
        <v>1</v>
      </c>
      <c r="U458" s="17" t="b">
        <v>1</v>
      </c>
      <c r="V458" s="17" t="b">
        <v>1</v>
      </c>
      <c r="W458" s="11" t="s">
        <v>287</v>
      </c>
      <c r="X458" s="12" t="s">
        <v>14</v>
      </c>
      <c r="Y458" s="12" t="s">
        <v>14</v>
      </c>
      <c r="Z458" s="13" t="s">
        <v>261</v>
      </c>
    </row>
    <row r="459" spans="1:26" ht="19.95" customHeight="1" x14ac:dyDescent="0.3">
      <c r="A459" s="6">
        <v>45706</v>
      </c>
      <c r="B459" s="7" t="s">
        <v>2710</v>
      </c>
      <c r="C459" s="8" t="s">
        <v>815</v>
      </c>
      <c r="D459" s="8" t="s">
        <v>434</v>
      </c>
      <c r="E459" s="8" t="s">
        <v>816</v>
      </c>
      <c r="F459" s="9" t="s">
        <v>817</v>
      </c>
      <c r="G459" s="9" t="s">
        <v>818</v>
      </c>
      <c r="H459" s="9" t="s">
        <v>819</v>
      </c>
      <c r="I459" s="9" t="s">
        <v>65</v>
      </c>
      <c r="J459" s="10" t="s">
        <v>173</v>
      </c>
      <c r="K459" s="15" t="str">
        <f>VLOOKUP(J459,DADOS!$A$3:$B$100,2,FALSE)</f>
        <v>EE-GI-001-006</v>
      </c>
      <c r="L459" s="15" t="s">
        <v>260</v>
      </c>
      <c r="M459" s="18" t="b">
        <v>1</v>
      </c>
      <c r="N459" s="17" t="b">
        <v>1</v>
      </c>
      <c r="O459" s="17" t="b">
        <v>1</v>
      </c>
      <c r="P459" s="17" t="b">
        <v>1</v>
      </c>
      <c r="Q459" s="17" t="b">
        <v>0</v>
      </c>
      <c r="R459" s="17" t="b">
        <v>1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 t="s">
        <v>434</v>
      </c>
      <c r="X459" s="12" t="s">
        <v>14</v>
      </c>
      <c r="Y459" s="12" t="s">
        <v>14</v>
      </c>
      <c r="Z459" s="13" t="s">
        <v>261</v>
      </c>
    </row>
    <row r="460" spans="1:26" ht="19.95" customHeight="1" x14ac:dyDescent="0.3">
      <c r="A460" s="6">
        <v>45706</v>
      </c>
      <c r="B460" s="7" t="s">
        <v>2710</v>
      </c>
      <c r="C460" s="8" t="s">
        <v>825</v>
      </c>
      <c r="D460" s="8" t="s">
        <v>279</v>
      </c>
      <c r="E460" s="8" t="s">
        <v>824</v>
      </c>
      <c r="F460" s="8" t="s">
        <v>822</v>
      </c>
      <c r="G460" s="9" t="s">
        <v>821</v>
      </c>
      <c r="H460" s="9" t="s">
        <v>820</v>
      </c>
      <c r="I460" s="9" t="s">
        <v>69</v>
      </c>
      <c r="J460" s="10" t="s">
        <v>173</v>
      </c>
      <c r="K460" s="15" t="str">
        <f>VLOOKUP(J460,DADOS!$A$3:$B$100,2,FALSE)</f>
        <v>EE-GI-001-006</v>
      </c>
      <c r="L460" s="15" t="s">
        <v>260</v>
      </c>
      <c r="M460" s="18" t="b">
        <v>1</v>
      </c>
      <c r="N460" s="17" t="b">
        <v>1</v>
      </c>
      <c r="O460" s="17" t="b">
        <v>1</v>
      </c>
      <c r="P460" s="17" t="b">
        <v>1</v>
      </c>
      <c r="Q460" s="17" t="b">
        <v>0</v>
      </c>
      <c r="R460" s="17" t="b">
        <v>1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 t="s">
        <v>279</v>
      </c>
      <c r="X460" s="12" t="s">
        <v>14</v>
      </c>
      <c r="Y460" s="12" t="s">
        <v>14</v>
      </c>
      <c r="Z460" s="13" t="s">
        <v>261</v>
      </c>
    </row>
    <row r="461" spans="1:26" ht="19.95" customHeight="1" x14ac:dyDescent="0.3">
      <c r="A461" s="6">
        <v>45706</v>
      </c>
      <c r="B461" s="7" t="s">
        <v>2710</v>
      </c>
      <c r="C461" s="8" t="s">
        <v>825</v>
      </c>
      <c r="D461" s="8" t="s">
        <v>279</v>
      </c>
      <c r="E461" s="8" t="s">
        <v>824</v>
      </c>
      <c r="F461" s="8" t="s">
        <v>823</v>
      </c>
      <c r="G461" s="9" t="s">
        <v>821</v>
      </c>
      <c r="H461" s="9" t="s">
        <v>820</v>
      </c>
      <c r="I461" s="9" t="s">
        <v>69</v>
      </c>
      <c r="J461" s="10" t="s">
        <v>173</v>
      </c>
      <c r="K461" s="15" t="str">
        <f>VLOOKUP(J461,DADOS!$A$3:$B$100,2,FALSE)</f>
        <v>EE-GI-001-006</v>
      </c>
      <c r="L461" s="15" t="s">
        <v>260</v>
      </c>
      <c r="M461" s="18" t="b">
        <v>1</v>
      </c>
      <c r="N461" s="17" t="b">
        <v>1</v>
      </c>
      <c r="O461" s="17" t="b">
        <v>1</v>
      </c>
      <c r="P461" s="17" t="b">
        <v>1</v>
      </c>
      <c r="Q461" s="17" t="b">
        <v>0</v>
      </c>
      <c r="R461" s="17" t="b">
        <v>1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 t="s">
        <v>279</v>
      </c>
      <c r="X461" s="12" t="s">
        <v>14</v>
      </c>
      <c r="Y461" s="12" t="s">
        <v>14</v>
      </c>
      <c r="Z461" s="13" t="s">
        <v>261</v>
      </c>
    </row>
    <row r="462" spans="1:26" ht="19.95" customHeight="1" x14ac:dyDescent="0.3">
      <c r="A462" s="6">
        <v>45706</v>
      </c>
      <c r="B462" s="7" t="s">
        <v>826</v>
      </c>
      <c r="C462" s="8" t="s">
        <v>827</v>
      </c>
      <c r="D462" s="8" t="s">
        <v>269</v>
      </c>
      <c r="E462" s="8" t="s">
        <v>828</v>
      </c>
      <c r="F462" s="9" t="s">
        <v>829</v>
      </c>
      <c r="G462" s="9" t="s">
        <v>830</v>
      </c>
      <c r="H462" s="9" t="s">
        <v>831</v>
      </c>
      <c r="I462" s="9" t="s">
        <v>65</v>
      </c>
      <c r="J462" s="10" t="s">
        <v>17</v>
      </c>
      <c r="K462" s="15" t="str">
        <f>VLOOKUP(J462,DADOS!$A$3:$B$100,2,FALSE)</f>
        <v>EE-GI-001-001</v>
      </c>
      <c r="L462" s="15" t="s">
        <v>303</v>
      </c>
      <c r="M462" s="18" t="b">
        <v>1</v>
      </c>
      <c r="N462" s="17" t="b">
        <v>1</v>
      </c>
      <c r="O462" s="17" t="b">
        <v>1</v>
      </c>
      <c r="P462" s="17" t="b">
        <v>1</v>
      </c>
      <c r="Q462" s="17" t="b">
        <v>0</v>
      </c>
      <c r="R462" s="17" t="b">
        <v>0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 t="s">
        <v>269</v>
      </c>
      <c r="X462" s="12" t="s">
        <v>14</v>
      </c>
      <c r="Y462" s="12" t="s">
        <v>14</v>
      </c>
      <c r="Z462" s="13" t="s">
        <v>261</v>
      </c>
    </row>
    <row r="463" spans="1:26" ht="19.95" customHeight="1" x14ac:dyDescent="0.3">
      <c r="A463" s="6">
        <v>45706</v>
      </c>
      <c r="B463" s="7" t="s">
        <v>832</v>
      </c>
      <c r="C463" s="8" t="s">
        <v>833</v>
      </c>
      <c r="D463" s="8" t="s">
        <v>269</v>
      </c>
      <c r="E463" s="8" t="s">
        <v>834</v>
      </c>
      <c r="F463" s="9" t="s">
        <v>835</v>
      </c>
      <c r="G463" s="9" t="s">
        <v>836</v>
      </c>
      <c r="H463" s="9" t="s">
        <v>854</v>
      </c>
      <c r="I463" s="9" t="s">
        <v>69</v>
      </c>
      <c r="J463" s="10" t="s">
        <v>17</v>
      </c>
      <c r="K463" s="15" t="str">
        <f>VLOOKUP(J463,DADOS!$A$3:$B$100,2,FALSE)</f>
        <v>EE-GI-001-001</v>
      </c>
      <c r="L463" s="15" t="s">
        <v>303</v>
      </c>
      <c r="M463" s="18" t="b">
        <v>1</v>
      </c>
      <c r="N463" s="17" t="b">
        <v>1</v>
      </c>
      <c r="O463" s="17" t="b">
        <v>1</v>
      </c>
      <c r="P463" s="17" t="b">
        <v>1</v>
      </c>
      <c r="Q463" s="17" t="b">
        <v>0</v>
      </c>
      <c r="R463" s="17" t="b">
        <v>0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 t="s">
        <v>269</v>
      </c>
      <c r="X463" s="12" t="s">
        <v>14</v>
      </c>
      <c r="Y463" s="12" t="s">
        <v>14</v>
      </c>
      <c r="Z463" s="13" t="s">
        <v>261</v>
      </c>
    </row>
    <row r="464" spans="1:26" ht="19.95" customHeight="1" x14ac:dyDescent="0.3">
      <c r="A464" s="6">
        <v>45706</v>
      </c>
      <c r="B464" s="7" t="s">
        <v>345</v>
      </c>
      <c r="C464" s="8" t="s">
        <v>841</v>
      </c>
      <c r="D464" s="8" t="s">
        <v>364</v>
      </c>
      <c r="E464" s="8" t="s">
        <v>842</v>
      </c>
      <c r="F464" s="9" t="s">
        <v>843</v>
      </c>
      <c r="G464" s="9" t="s">
        <v>394</v>
      </c>
      <c r="H464" s="9" t="s">
        <v>855</v>
      </c>
      <c r="I464" s="9" t="s">
        <v>64</v>
      </c>
      <c r="J464" s="10" t="s">
        <v>186</v>
      </c>
      <c r="K464" s="15" t="str">
        <f>VLOOKUP(J464,DADOS!$A$3:$B$100,2,FALSE)</f>
        <v>EE-GI-001-008</v>
      </c>
      <c r="L464" s="15" t="s">
        <v>303</v>
      </c>
      <c r="M464" s="18" t="b">
        <v>1</v>
      </c>
      <c r="N464" s="17" t="b">
        <v>1</v>
      </c>
      <c r="O464" s="17" t="b">
        <v>1</v>
      </c>
      <c r="P464" s="17" t="b">
        <v>1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1</v>
      </c>
      <c r="W464" s="11" t="s">
        <v>281</v>
      </c>
      <c r="X464" s="12" t="s">
        <v>269</v>
      </c>
      <c r="Y464" s="12" t="s">
        <v>844</v>
      </c>
      <c r="Z464" s="12" t="s">
        <v>261</v>
      </c>
    </row>
    <row r="465" spans="1:26" ht="19.95" customHeight="1" x14ac:dyDescent="0.3">
      <c r="A465" s="6">
        <v>45706</v>
      </c>
      <c r="B465" s="7" t="s">
        <v>845</v>
      </c>
      <c r="C465" s="8" t="s">
        <v>846</v>
      </c>
      <c r="D465" s="8" t="s">
        <v>373</v>
      </c>
      <c r="E465" s="8" t="s">
        <v>847</v>
      </c>
      <c r="F465" s="9" t="s">
        <v>848</v>
      </c>
      <c r="G465" s="9" t="s">
        <v>849</v>
      </c>
      <c r="H465" s="9" t="s">
        <v>850</v>
      </c>
      <c r="I465" s="9" t="s">
        <v>65</v>
      </c>
      <c r="J465" s="10" t="s">
        <v>17</v>
      </c>
      <c r="K465" s="15" t="str">
        <f>VLOOKUP(J465,DADOS!$A$3:$B$100,2,FALSE)</f>
        <v>EE-GI-001-001</v>
      </c>
      <c r="L465" s="15" t="s">
        <v>814</v>
      </c>
      <c r="M465" s="18" t="b">
        <v>1</v>
      </c>
      <c r="N465" s="17" t="b">
        <v>1</v>
      </c>
      <c r="O465" s="17" t="b">
        <v>1</v>
      </c>
      <c r="P465" s="17" t="b">
        <v>1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 t="s">
        <v>373</v>
      </c>
      <c r="X465" s="12" t="s">
        <v>14</v>
      </c>
      <c r="Y465" s="12" t="s">
        <v>14</v>
      </c>
      <c r="Z465" s="13" t="s">
        <v>261</v>
      </c>
    </row>
    <row r="466" spans="1:26" ht="19.95" customHeight="1" x14ac:dyDescent="0.3">
      <c r="A466" s="6">
        <v>45706</v>
      </c>
      <c r="B466" s="7" t="s">
        <v>845</v>
      </c>
      <c r="C466" s="8" t="s">
        <v>853</v>
      </c>
      <c r="D466" s="8" t="s">
        <v>269</v>
      </c>
      <c r="E466" s="8" t="s">
        <v>847</v>
      </c>
      <c r="F466" s="9" t="s">
        <v>852</v>
      </c>
      <c r="G466" s="9" t="s">
        <v>851</v>
      </c>
      <c r="H466" s="9" t="s">
        <v>850</v>
      </c>
      <c r="I466" s="9" t="s">
        <v>70</v>
      </c>
      <c r="J466" s="10" t="s">
        <v>17</v>
      </c>
      <c r="K466" s="15" t="str">
        <f>VLOOKUP(J466,DADOS!$A$3:$B$100,2,FALSE)</f>
        <v>EE-GI-001-001</v>
      </c>
      <c r="L466" s="15" t="s">
        <v>260</v>
      </c>
      <c r="M466" s="18" t="b">
        <v>1</v>
      </c>
      <c r="N466" s="17" t="b">
        <v>1</v>
      </c>
      <c r="O466" s="17" t="b">
        <v>1</v>
      </c>
      <c r="P466" s="17" t="b">
        <v>1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 t="s">
        <v>269</v>
      </c>
      <c r="X466" s="12" t="s">
        <v>14</v>
      </c>
      <c r="Y466" s="12" t="s">
        <v>14</v>
      </c>
      <c r="Z466" s="13" t="s">
        <v>261</v>
      </c>
    </row>
    <row r="467" spans="1:26" ht="19.95" customHeight="1" x14ac:dyDescent="0.3">
      <c r="A467" s="6">
        <v>45706</v>
      </c>
      <c r="B467" s="7" t="s">
        <v>916</v>
      </c>
      <c r="C467" s="8" t="s">
        <v>917</v>
      </c>
      <c r="D467" s="8" t="s">
        <v>281</v>
      </c>
      <c r="E467" s="8" t="s">
        <v>918</v>
      </c>
      <c r="F467" s="9" t="s">
        <v>919</v>
      </c>
      <c r="G467" s="9" t="s">
        <v>920</v>
      </c>
      <c r="H467" s="9" t="s">
        <v>921</v>
      </c>
      <c r="I467" s="9" t="s">
        <v>70</v>
      </c>
      <c r="J467" s="10" t="s">
        <v>17</v>
      </c>
      <c r="K467" s="15" t="str">
        <f>VLOOKUP(J467,DADOS!$A$3:$B$100,2,FALSE)</f>
        <v>EE-GI-001-001</v>
      </c>
      <c r="L467" s="15" t="s">
        <v>260</v>
      </c>
      <c r="M467" s="18" t="b">
        <v>1</v>
      </c>
      <c r="N467" s="17" t="b">
        <v>1</v>
      </c>
      <c r="O467" s="17" t="b">
        <v>1</v>
      </c>
      <c r="P467" s="17" t="b">
        <v>1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1</v>
      </c>
      <c r="W467" s="11" t="s">
        <v>281</v>
      </c>
      <c r="X467" s="12" t="s">
        <v>14</v>
      </c>
      <c r="Y467" s="12" t="s">
        <v>14</v>
      </c>
      <c r="Z467" s="13" t="s">
        <v>261</v>
      </c>
    </row>
    <row r="468" spans="1:26" ht="19.95" customHeight="1" x14ac:dyDescent="0.3">
      <c r="A468" s="6">
        <v>45706</v>
      </c>
      <c r="B468" s="7" t="s">
        <v>916</v>
      </c>
      <c r="C468" s="8" t="s">
        <v>917</v>
      </c>
      <c r="D468" s="8" t="s">
        <v>281</v>
      </c>
      <c r="E468" s="8" t="s">
        <v>918</v>
      </c>
      <c r="F468" s="9" t="s">
        <v>922</v>
      </c>
      <c r="G468" s="9" t="s">
        <v>923</v>
      </c>
      <c r="H468" s="9" t="s">
        <v>924</v>
      </c>
      <c r="I468" s="9" t="s">
        <v>70</v>
      </c>
      <c r="J468" s="10" t="s">
        <v>17</v>
      </c>
      <c r="K468" s="15" t="str">
        <f>VLOOKUP(J468,DADOS!$A$3:$B$100,2,FALSE)</f>
        <v>EE-GI-001-001</v>
      </c>
      <c r="L468" s="15" t="s">
        <v>260</v>
      </c>
      <c r="M468" s="18" t="b">
        <v>1</v>
      </c>
      <c r="N468" s="17" t="b">
        <v>1</v>
      </c>
      <c r="O468" s="17" t="b">
        <v>1</v>
      </c>
      <c r="P468" s="17" t="b">
        <v>1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1</v>
      </c>
      <c r="W468" s="11" t="s">
        <v>281</v>
      </c>
      <c r="X468" s="12" t="s">
        <v>14</v>
      </c>
      <c r="Y468" s="12" t="s">
        <v>14</v>
      </c>
      <c r="Z468" s="13" t="s">
        <v>261</v>
      </c>
    </row>
    <row r="469" spans="1:26" ht="19.95" customHeight="1" x14ac:dyDescent="0.3">
      <c r="A469" s="6">
        <v>45706</v>
      </c>
      <c r="B469" s="7" t="s">
        <v>916</v>
      </c>
      <c r="C469" s="8" t="s">
        <v>925</v>
      </c>
      <c r="D469" s="8" t="s">
        <v>269</v>
      </c>
      <c r="E469" s="8" t="s">
        <v>918</v>
      </c>
      <c r="F469" s="9" t="s">
        <v>926</v>
      </c>
      <c r="G469" s="9" t="s">
        <v>928</v>
      </c>
      <c r="H469" s="9" t="s">
        <v>929</v>
      </c>
      <c r="I469" s="9" t="s">
        <v>70</v>
      </c>
      <c r="J469" s="10" t="s">
        <v>17</v>
      </c>
      <c r="K469" s="15" t="str">
        <f>VLOOKUP(J469,DADOS!$A$3:$B$100,2,FALSE)</f>
        <v>EE-GI-001-001</v>
      </c>
      <c r="L469" s="15" t="s">
        <v>303</v>
      </c>
      <c r="M469" s="18" t="b">
        <v>1</v>
      </c>
      <c r="N469" s="17" t="b">
        <v>1</v>
      </c>
      <c r="O469" s="17" t="b">
        <v>1</v>
      </c>
      <c r="P469" s="17" t="b">
        <v>1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1</v>
      </c>
      <c r="W469" s="11" t="s">
        <v>269</v>
      </c>
      <c r="X469" s="12" t="s">
        <v>14</v>
      </c>
      <c r="Y469" s="12" t="s">
        <v>14</v>
      </c>
      <c r="Z469" s="13" t="s">
        <v>261</v>
      </c>
    </row>
    <row r="470" spans="1:26" ht="19.95" customHeight="1" x14ac:dyDescent="0.3">
      <c r="A470" s="6">
        <v>45706</v>
      </c>
      <c r="B470" s="7" t="s">
        <v>916</v>
      </c>
      <c r="C470" s="8" t="s">
        <v>925</v>
      </c>
      <c r="D470" s="8" t="s">
        <v>281</v>
      </c>
      <c r="E470" s="8" t="s">
        <v>918</v>
      </c>
      <c r="F470" s="9" t="s">
        <v>927</v>
      </c>
      <c r="G470" s="9" t="s">
        <v>928</v>
      </c>
      <c r="H470" s="9" t="s">
        <v>929</v>
      </c>
      <c r="I470" s="9" t="s">
        <v>70</v>
      </c>
      <c r="J470" s="10" t="s">
        <v>17</v>
      </c>
      <c r="K470" s="15" t="str">
        <f>VLOOKUP(J470,DADOS!$A$3:$B$100,2,FALSE)</f>
        <v>EE-GI-001-001</v>
      </c>
      <c r="L470" s="15" t="s">
        <v>303</v>
      </c>
      <c r="M470" s="18" t="b">
        <v>1</v>
      </c>
      <c r="N470" s="17" t="b">
        <v>1</v>
      </c>
      <c r="O470" s="17" t="b">
        <v>1</v>
      </c>
      <c r="P470" s="17" t="b">
        <v>1</v>
      </c>
      <c r="Q470" s="17" t="b">
        <v>0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1</v>
      </c>
      <c r="W470" s="11" t="s">
        <v>281</v>
      </c>
      <c r="X470" s="12" t="s">
        <v>14</v>
      </c>
      <c r="Y470" s="12" t="s">
        <v>14</v>
      </c>
      <c r="Z470" s="13" t="s">
        <v>261</v>
      </c>
    </row>
    <row r="471" spans="1:26" ht="19.95" customHeight="1" x14ac:dyDescent="0.3">
      <c r="A471" s="6">
        <v>45706</v>
      </c>
      <c r="B471" s="7" t="s">
        <v>916</v>
      </c>
      <c r="C471" s="8" t="s">
        <v>943</v>
      </c>
      <c r="D471" s="8" t="s">
        <v>269</v>
      </c>
      <c r="E471" s="8" t="s">
        <v>944</v>
      </c>
      <c r="F471" s="9" t="s">
        <v>945</v>
      </c>
      <c r="G471" s="9" t="s">
        <v>367</v>
      </c>
      <c r="H471" s="9" t="s">
        <v>14</v>
      </c>
      <c r="I471" s="9" t="s">
        <v>90</v>
      </c>
      <c r="J471" s="10" t="s">
        <v>14</v>
      </c>
      <c r="K471" s="15" t="e">
        <f>VLOOKUP(J471,DADOS!$A$3:$B$100,2,FALSE)</f>
        <v>#N/A</v>
      </c>
      <c r="L471" s="15" t="s">
        <v>260</v>
      </c>
      <c r="M471" s="18" t="b">
        <v>1</v>
      </c>
      <c r="N471" s="17" t="b">
        <v>1</v>
      </c>
      <c r="O471" s="17" t="b">
        <v>1</v>
      </c>
      <c r="P471" s="17" t="b">
        <v>1</v>
      </c>
      <c r="Q471" s="17" t="b">
        <v>0</v>
      </c>
      <c r="R471" s="17" t="b">
        <v>0</v>
      </c>
      <c r="S471" s="17" t="b">
        <v>0</v>
      </c>
      <c r="T471" s="17" t="b">
        <v>0</v>
      </c>
      <c r="U471" s="17" t="b">
        <v>0</v>
      </c>
      <c r="V471" s="17" t="b">
        <v>1</v>
      </c>
      <c r="W471" s="11" t="s">
        <v>269</v>
      </c>
      <c r="X471" s="12" t="s">
        <v>14</v>
      </c>
      <c r="Y471" s="12" t="s">
        <v>14</v>
      </c>
      <c r="Z471" s="13" t="s">
        <v>261</v>
      </c>
    </row>
    <row r="472" spans="1:26" ht="19.95" customHeight="1" x14ac:dyDescent="0.3">
      <c r="A472" s="6">
        <v>45706</v>
      </c>
      <c r="B472" s="7" t="s">
        <v>916</v>
      </c>
      <c r="C472" s="8" t="s">
        <v>943</v>
      </c>
      <c r="D472" s="8" t="s">
        <v>269</v>
      </c>
      <c r="E472" s="8" t="s">
        <v>944</v>
      </c>
      <c r="F472" s="9" t="s">
        <v>946</v>
      </c>
      <c r="G472" s="9" t="s">
        <v>367</v>
      </c>
      <c r="H472" s="9" t="s">
        <v>14</v>
      </c>
      <c r="I472" s="9" t="s">
        <v>90</v>
      </c>
      <c r="J472" s="10" t="s">
        <v>14</v>
      </c>
      <c r="K472" s="15" t="e">
        <f>VLOOKUP(J472,DADOS!$A$3:$B$100,2,FALSE)</f>
        <v>#N/A</v>
      </c>
      <c r="L472" s="15" t="s">
        <v>260</v>
      </c>
      <c r="M472" s="18" t="b">
        <v>1</v>
      </c>
      <c r="N472" s="17" t="b">
        <v>1</v>
      </c>
      <c r="O472" s="17" t="b">
        <v>1</v>
      </c>
      <c r="P472" s="17" t="b">
        <v>1</v>
      </c>
      <c r="Q472" s="17" t="b">
        <v>0</v>
      </c>
      <c r="R472" s="17" t="b">
        <v>0</v>
      </c>
      <c r="S472" s="17" t="b">
        <v>0</v>
      </c>
      <c r="T472" s="17" t="b">
        <v>0</v>
      </c>
      <c r="U472" s="17" t="b">
        <v>0</v>
      </c>
      <c r="V472" s="17" t="b">
        <v>1</v>
      </c>
      <c r="W472" s="11" t="s">
        <v>269</v>
      </c>
      <c r="X472" s="12" t="s">
        <v>14</v>
      </c>
      <c r="Y472" s="12" t="s">
        <v>14</v>
      </c>
      <c r="Z472" s="13" t="s">
        <v>261</v>
      </c>
    </row>
    <row r="473" spans="1:26" ht="19.95" customHeight="1" x14ac:dyDescent="0.3">
      <c r="A473" s="6">
        <v>45706</v>
      </c>
      <c r="B473" s="7" t="s">
        <v>916</v>
      </c>
      <c r="C473" s="8" t="s">
        <v>943</v>
      </c>
      <c r="D473" s="8" t="s">
        <v>269</v>
      </c>
      <c r="E473" s="8" t="s">
        <v>944</v>
      </c>
      <c r="F473" s="9" t="s">
        <v>947</v>
      </c>
      <c r="G473" s="9" t="s">
        <v>367</v>
      </c>
      <c r="H473" s="9" t="s">
        <v>14</v>
      </c>
      <c r="I473" s="9" t="s">
        <v>90</v>
      </c>
      <c r="J473" s="10" t="s">
        <v>14</v>
      </c>
      <c r="K473" s="15" t="e">
        <f>VLOOKUP(J473,DADOS!$A$3:$B$100,2,FALSE)</f>
        <v>#N/A</v>
      </c>
      <c r="L473" s="15" t="s">
        <v>260</v>
      </c>
      <c r="M473" s="18" t="b">
        <v>1</v>
      </c>
      <c r="N473" s="17" t="b">
        <v>1</v>
      </c>
      <c r="O473" s="17" t="b">
        <v>1</v>
      </c>
      <c r="P473" s="17" t="b">
        <v>1</v>
      </c>
      <c r="Q473" s="17" t="b">
        <v>0</v>
      </c>
      <c r="R473" s="17" t="b">
        <v>0</v>
      </c>
      <c r="S473" s="17" t="b">
        <v>0</v>
      </c>
      <c r="T473" s="17" t="b">
        <v>0</v>
      </c>
      <c r="U473" s="17" t="b">
        <v>0</v>
      </c>
      <c r="V473" s="17" t="b">
        <v>1</v>
      </c>
      <c r="W473" s="11" t="s">
        <v>269</v>
      </c>
      <c r="X473" s="12" t="s">
        <v>14</v>
      </c>
      <c r="Y473" s="12" t="s">
        <v>14</v>
      </c>
      <c r="Z473" s="13" t="s">
        <v>261</v>
      </c>
    </row>
    <row r="474" spans="1:26" ht="19.95" customHeight="1" x14ac:dyDescent="0.3">
      <c r="A474" s="6">
        <v>45706</v>
      </c>
      <c r="B474" s="7" t="s">
        <v>916</v>
      </c>
      <c r="C474" s="8" t="s">
        <v>2417</v>
      </c>
      <c r="D474" s="8" t="s">
        <v>279</v>
      </c>
      <c r="E474" s="8" t="s">
        <v>918</v>
      </c>
      <c r="F474" s="9" t="s">
        <v>2627</v>
      </c>
      <c r="G474" s="9" t="s">
        <v>2420</v>
      </c>
      <c r="H474" s="9" t="s">
        <v>2628</v>
      </c>
      <c r="I474" s="9" t="s">
        <v>66</v>
      </c>
      <c r="J474" s="10" t="s">
        <v>173</v>
      </c>
      <c r="K474" s="15" t="str">
        <f>VLOOKUP(J474,DADOS!$A$3:$B$100,2,FALSE)</f>
        <v>EE-GI-001-006</v>
      </c>
      <c r="L474" s="15" t="s">
        <v>260</v>
      </c>
      <c r="M474" s="18" t="b">
        <v>1</v>
      </c>
      <c r="N474" s="17" t="b">
        <v>1</v>
      </c>
      <c r="O474" s="17" t="b">
        <v>1</v>
      </c>
      <c r="P474" s="17" t="b">
        <v>1</v>
      </c>
      <c r="Q474" s="17" t="b">
        <v>0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1</v>
      </c>
      <c r="W474" s="11" t="s">
        <v>279</v>
      </c>
      <c r="X474" s="12" t="s">
        <v>14</v>
      </c>
      <c r="Y474" s="12" t="s">
        <v>14</v>
      </c>
      <c r="Z474" s="13" t="s">
        <v>2536</v>
      </c>
    </row>
    <row r="475" spans="1:26" ht="19.95" customHeight="1" x14ac:dyDescent="0.3">
      <c r="A475" s="6">
        <v>45706</v>
      </c>
      <c r="B475" s="7" t="s">
        <v>916</v>
      </c>
      <c r="C475" s="8" t="s">
        <v>2629</v>
      </c>
      <c r="D475" s="8" t="s">
        <v>971</v>
      </c>
      <c r="E475" s="8" t="s">
        <v>918</v>
      </c>
      <c r="F475" s="9" t="s">
        <v>2630</v>
      </c>
      <c r="G475" s="9" t="s">
        <v>2420</v>
      </c>
      <c r="H475" s="9" t="s">
        <v>2631</v>
      </c>
      <c r="I475" s="9" t="s">
        <v>66</v>
      </c>
      <c r="J475" s="10" t="s">
        <v>173</v>
      </c>
      <c r="K475" s="15" t="str">
        <f>VLOOKUP(J475,DADOS!$A$3:$B$100,2,FALSE)</f>
        <v>EE-GI-001-006</v>
      </c>
      <c r="L475" s="15" t="s">
        <v>260</v>
      </c>
      <c r="M475" s="18" t="b">
        <v>1</v>
      </c>
      <c r="N475" s="17" t="b">
        <v>1</v>
      </c>
      <c r="O475" s="17" t="b">
        <v>1</v>
      </c>
      <c r="P475" s="17" t="b">
        <v>1</v>
      </c>
      <c r="Q475" s="17" t="b">
        <v>0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1</v>
      </c>
      <c r="W475" s="11" t="s">
        <v>971</v>
      </c>
      <c r="X475" s="12" t="s">
        <v>14</v>
      </c>
      <c r="Y475" s="12" t="s">
        <v>14</v>
      </c>
      <c r="Z475" s="13" t="s">
        <v>2536</v>
      </c>
    </row>
    <row r="476" spans="1:26" ht="19.95" customHeight="1" x14ac:dyDescent="0.3">
      <c r="A476" s="6">
        <v>45706</v>
      </c>
      <c r="B476" s="7" t="s">
        <v>916</v>
      </c>
      <c r="C476" s="8" t="s">
        <v>2632</v>
      </c>
      <c r="D476" s="8" t="s">
        <v>364</v>
      </c>
      <c r="E476" s="8" t="s">
        <v>918</v>
      </c>
      <c r="F476" s="9" t="s">
        <v>2633</v>
      </c>
      <c r="G476" s="9" t="s">
        <v>2634</v>
      </c>
      <c r="H476" s="9" t="s">
        <v>2635</v>
      </c>
      <c r="I476" s="9" t="s">
        <v>70</v>
      </c>
      <c r="J476" s="10" t="s">
        <v>173</v>
      </c>
      <c r="K476" s="15" t="str">
        <f>VLOOKUP(J476,DADOS!$A$3:$B$100,2,FALSE)</f>
        <v>EE-GI-001-006</v>
      </c>
      <c r="L476" s="15" t="s">
        <v>260</v>
      </c>
      <c r="M476" s="18" t="b">
        <v>1</v>
      </c>
      <c r="N476" s="17" t="b">
        <v>1</v>
      </c>
      <c r="O476" s="17" t="b">
        <v>1</v>
      </c>
      <c r="P476" s="17" t="b">
        <v>1</v>
      </c>
      <c r="Q476" s="17" t="b">
        <v>0</v>
      </c>
      <c r="R476" s="17" t="b">
        <v>0</v>
      </c>
      <c r="S476" s="17" t="b">
        <v>0</v>
      </c>
      <c r="T476" s="17" t="b">
        <v>0</v>
      </c>
      <c r="U476" s="17" t="b">
        <v>0</v>
      </c>
      <c r="V476" s="17" t="b">
        <v>1</v>
      </c>
      <c r="W476" s="11" t="s">
        <v>364</v>
      </c>
      <c r="X476" s="12" t="s">
        <v>14</v>
      </c>
      <c r="Y476" s="12" t="s">
        <v>14</v>
      </c>
      <c r="Z476" s="13" t="s">
        <v>2536</v>
      </c>
    </row>
    <row r="477" spans="1:26" ht="19.95" customHeight="1" x14ac:dyDescent="0.3">
      <c r="A477" s="6">
        <v>45706</v>
      </c>
      <c r="B477" s="7" t="s">
        <v>916</v>
      </c>
      <c r="C477" s="8" t="s">
        <v>2636</v>
      </c>
      <c r="D477" s="8" t="s">
        <v>364</v>
      </c>
      <c r="E477" s="8" t="s">
        <v>1013</v>
      </c>
      <c r="F477" s="9" t="s">
        <v>2637</v>
      </c>
      <c r="G477" s="9" t="s">
        <v>2638</v>
      </c>
      <c r="H477" s="9" t="s">
        <v>2639</v>
      </c>
      <c r="I477" s="9" t="s">
        <v>70</v>
      </c>
      <c r="J477" s="10" t="s">
        <v>174</v>
      </c>
      <c r="K477" s="15" t="str">
        <f>VLOOKUP(J477,DADOS!$A$3:$B$100,2,FALSE)</f>
        <v>EE-GI-001-007</v>
      </c>
      <c r="L477" s="15" t="s">
        <v>260</v>
      </c>
      <c r="M477" s="18" t="b">
        <v>1</v>
      </c>
      <c r="N477" s="17" t="b">
        <v>1</v>
      </c>
      <c r="O477" s="17" t="b">
        <v>1</v>
      </c>
      <c r="P477" s="17" t="b">
        <v>1</v>
      </c>
      <c r="Q477" s="17" t="b">
        <v>0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1</v>
      </c>
      <c r="W477" s="11" t="s">
        <v>364</v>
      </c>
      <c r="X477" s="12" t="s">
        <v>14</v>
      </c>
      <c r="Y477" s="12" t="s">
        <v>14</v>
      </c>
      <c r="Z477" s="13" t="s">
        <v>2536</v>
      </c>
    </row>
    <row r="478" spans="1:26" ht="19.95" customHeight="1" x14ac:dyDescent="0.3">
      <c r="A478" s="6">
        <v>45706</v>
      </c>
      <c r="B478" s="7" t="s">
        <v>339</v>
      </c>
      <c r="C478" s="8" t="s">
        <v>1020</v>
      </c>
      <c r="D478" s="8" t="s">
        <v>287</v>
      </c>
      <c r="E478" s="8" t="s">
        <v>868</v>
      </c>
      <c r="F478" s="9" t="s">
        <v>1021</v>
      </c>
      <c r="G478" s="9" t="s">
        <v>1022</v>
      </c>
      <c r="H478" s="9" t="s">
        <v>14</v>
      </c>
      <c r="I478" s="9" t="s">
        <v>94</v>
      </c>
      <c r="J478" s="10" t="s">
        <v>186</v>
      </c>
      <c r="K478" s="15" t="str">
        <f>VLOOKUP(J478,DADOS!$A$3:$B$100,2,FALSE)</f>
        <v>EE-GI-001-008</v>
      </c>
      <c r="L478" s="15" t="s">
        <v>260</v>
      </c>
      <c r="M478" s="18" t="b">
        <v>1</v>
      </c>
      <c r="N478" s="17" t="b">
        <v>1</v>
      </c>
      <c r="O478" s="17" t="b">
        <v>1</v>
      </c>
      <c r="P478" s="17" t="b">
        <v>1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1</v>
      </c>
      <c r="W478" s="11" t="s">
        <v>287</v>
      </c>
      <c r="X478" s="12" t="s">
        <v>14</v>
      </c>
      <c r="Y478" s="12" t="s">
        <v>14</v>
      </c>
      <c r="Z478" s="13" t="s">
        <v>261</v>
      </c>
    </row>
    <row r="479" spans="1:26" ht="19.95" customHeight="1" x14ac:dyDescent="0.3">
      <c r="A479" s="6">
        <v>45706</v>
      </c>
      <c r="B479" s="7" t="s">
        <v>339</v>
      </c>
      <c r="C479" s="8" t="s">
        <v>618</v>
      </c>
      <c r="D479" s="8" t="s">
        <v>408</v>
      </c>
      <c r="E479" s="8" t="s">
        <v>868</v>
      </c>
      <c r="F479" s="9" t="s">
        <v>692</v>
      </c>
      <c r="G479" s="9" t="s">
        <v>689</v>
      </c>
      <c r="H479" s="9" t="s">
        <v>14</v>
      </c>
      <c r="I479" s="9" t="s">
        <v>66</v>
      </c>
      <c r="J479" s="10" t="s">
        <v>186</v>
      </c>
      <c r="K479" s="15" t="str">
        <f>VLOOKUP(J479,DADOS!$A$3:$B$100,2,FALSE)</f>
        <v>EE-GI-001-008</v>
      </c>
      <c r="L479" s="15" t="s">
        <v>260</v>
      </c>
      <c r="M479" s="18" t="b">
        <v>1</v>
      </c>
      <c r="N479" s="17" t="b">
        <v>1</v>
      </c>
      <c r="O479" s="17" t="b">
        <v>1</v>
      </c>
      <c r="P479" s="17" t="b">
        <v>1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1</v>
      </c>
      <c r="W479" s="11" t="s">
        <v>408</v>
      </c>
      <c r="X479" s="12" t="s">
        <v>14</v>
      </c>
      <c r="Y479" s="12" t="s">
        <v>14</v>
      </c>
      <c r="Z479" s="13" t="s">
        <v>355</v>
      </c>
    </row>
    <row r="480" spans="1:26" ht="19.95" customHeight="1" x14ac:dyDescent="0.3">
      <c r="A480" s="6">
        <v>45706</v>
      </c>
      <c r="B480" s="7" t="s">
        <v>339</v>
      </c>
      <c r="C480" s="8" t="s">
        <v>1036</v>
      </c>
      <c r="D480" s="8" t="s">
        <v>1646</v>
      </c>
      <c r="E480" s="8" t="s">
        <v>868</v>
      </c>
      <c r="F480" s="9" t="s">
        <v>1558</v>
      </c>
      <c r="G480" s="9" t="s">
        <v>655</v>
      </c>
      <c r="H480" s="9" t="s">
        <v>14</v>
      </c>
      <c r="I480" s="9" t="s">
        <v>66</v>
      </c>
      <c r="J480" s="10" t="s">
        <v>15</v>
      </c>
      <c r="K480" s="15" t="str">
        <f>VLOOKUP(J480,DADOS!$A$3:$B$100,2,FALSE)</f>
        <v>EE-GI-001-002</v>
      </c>
      <c r="L480" s="15" t="s">
        <v>260</v>
      </c>
      <c r="M480" s="18" t="b">
        <v>1</v>
      </c>
      <c r="N480" s="17" t="b">
        <v>1</v>
      </c>
      <c r="O480" s="17" t="b">
        <v>1</v>
      </c>
      <c r="P480" s="17" t="b">
        <v>1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1</v>
      </c>
      <c r="W480" s="11" t="s">
        <v>1646</v>
      </c>
      <c r="X480" s="12" t="s">
        <v>14</v>
      </c>
      <c r="Y480" s="12" t="s">
        <v>14</v>
      </c>
      <c r="Z480" s="13" t="s">
        <v>355</v>
      </c>
    </row>
    <row r="481" spans="1:26" ht="19.95" customHeight="1" x14ac:dyDescent="0.3">
      <c r="A481" s="6">
        <v>45706</v>
      </c>
      <c r="B481" s="7" t="s">
        <v>339</v>
      </c>
      <c r="C481" s="8" t="s">
        <v>1133</v>
      </c>
      <c r="D481" s="8" t="s">
        <v>1427</v>
      </c>
      <c r="E481" s="8" t="s">
        <v>868</v>
      </c>
      <c r="F481" s="9" t="s">
        <v>2327</v>
      </c>
      <c r="G481" s="9" t="s">
        <v>2384</v>
      </c>
      <c r="H481" s="9" t="s">
        <v>14</v>
      </c>
      <c r="I481" s="9" t="s">
        <v>66</v>
      </c>
      <c r="J481" s="10" t="s">
        <v>186</v>
      </c>
      <c r="K481" s="15" t="str">
        <f>VLOOKUP(J481,DADOS!$A$3:$B$100,2,FALSE)</f>
        <v>EE-GI-001-008</v>
      </c>
      <c r="L481" s="15" t="s">
        <v>260</v>
      </c>
      <c r="M481" s="18" t="b">
        <v>1</v>
      </c>
      <c r="N481" s="17" t="b">
        <v>1</v>
      </c>
      <c r="O481" s="17" t="b">
        <v>1</v>
      </c>
      <c r="P481" s="17" t="b">
        <v>1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1</v>
      </c>
      <c r="W481" s="11" t="s">
        <v>1427</v>
      </c>
      <c r="X481" s="12" t="s">
        <v>14</v>
      </c>
      <c r="Y481" s="12" t="s">
        <v>14</v>
      </c>
      <c r="Z481" s="13" t="s">
        <v>355</v>
      </c>
    </row>
    <row r="482" spans="1:26" ht="19.95" customHeight="1" x14ac:dyDescent="0.3">
      <c r="A482" s="6">
        <v>45706</v>
      </c>
      <c r="B482" s="7" t="s">
        <v>339</v>
      </c>
      <c r="C482" s="8" t="s">
        <v>2385</v>
      </c>
      <c r="D482" s="8" t="s">
        <v>364</v>
      </c>
      <c r="E482" s="8" t="s">
        <v>2386</v>
      </c>
      <c r="F482" s="9" t="s">
        <v>2387</v>
      </c>
      <c r="G482" s="9" t="s">
        <v>2388</v>
      </c>
      <c r="H482" s="9" t="s">
        <v>14</v>
      </c>
      <c r="I482" s="9" t="s">
        <v>66</v>
      </c>
      <c r="J482" s="10" t="s">
        <v>180</v>
      </c>
      <c r="K482" s="15" t="str">
        <f>VLOOKUP(J482,DADOS!$A$3:$B$100,2,FALSE)</f>
        <v>EE-GI-001-021</v>
      </c>
      <c r="L482" s="15" t="s">
        <v>1955</v>
      </c>
      <c r="M482" s="18" t="b">
        <v>1</v>
      </c>
      <c r="N482" s="17" t="b">
        <v>1</v>
      </c>
      <c r="O482" s="17" t="b">
        <v>1</v>
      </c>
      <c r="P482" s="17" t="b">
        <v>1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1</v>
      </c>
      <c r="W482" s="11" t="s">
        <v>364</v>
      </c>
      <c r="X482" s="12" t="s">
        <v>14</v>
      </c>
      <c r="Y482" s="12" t="s">
        <v>14</v>
      </c>
      <c r="Z482" s="13" t="s">
        <v>355</v>
      </c>
    </row>
    <row r="483" spans="1:26" ht="19.95" customHeight="1" x14ac:dyDescent="0.3">
      <c r="A483" s="6">
        <v>45706</v>
      </c>
      <c r="B483" s="7" t="s">
        <v>339</v>
      </c>
      <c r="C483" s="8" t="s">
        <v>2389</v>
      </c>
      <c r="D483" s="8" t="s">
        <v>364</v>
      </c>
      <c r="E483" s="8" t="s">
        <v>2386</v>
      </c>
      <c r="F483" s="9" t="s">
        <v>2390</v>
      </c>
      <c r="G483" s="9" t="s">
        <v>2388</v>
      </c>
      <c r="H483" s="9" t="s">
        <v>14</v>
      </c>
      <c r="I483" s="9" t="s">
        <v>66</v>
      </c>
      <c r="J483" s="10" t="s">
        <v>180</v>
      </c>
      <c r="K483" s="15" t="str">
        <f>VLOOKUP(J483,DADOS!$A$3:$B$100,2,FALSE)</f>
        <v>EE-GI-001-021</v>
      </c>
      <c r="L483" s="15" t="s">
        <v>260</v>
      </c>
      <c r="M483" s="18" t="b">
        <v>1</v>
      </c>
      <c r="N483" s="17" t="b">
        <v>1</v>
      </c>
      <c r="O483" s="17" t="b">
        <v>1</v>
      </c>
      <c r="P483" s="17" t="b">
        <v>1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1</v>
      </c>
      <c r="W483" s="11" t="s">
        <v>364</v>
      </c>
      <c r="X483" s="12" t="s">
        <v>14</v>
      </c>
      <c r="Y483" s="12" t="s">
        <v>14</v>
      </c>
      <c r="Z483" s="13" t="s">
        <v>355</v>
      </c>
    </row>
    <row r="484" spans="1:26" ht="19.95" customHeight="1" x14ac:dyDescent="0.3">
      <c r="A484" s="6">
        <v>45706</v>
      </c>
      <c r="B484" s="7" t="s">
        <v>339</v>
      </c>
      <c r="C484" s="8" t="s">
        <v>2391</v>
      </c>
      <c r="D484" s="8" t="s">
        <v>269</v>
      </c>
      <c r="E484" s="8" t="s">
        <v>868</v>
      </c>
      <c r="F484" s="9" t="s">
        <v>2392</v>
      </c>
      <c r="G484" s="9" t="s">
        <v>2393</v>
      </c>
      <c r="H484" s="9" t="s">
        <v>14</v>
      </c>
      <c r="I484" s="9" t="s">
        <v>69</v>
      </c>
      <c r="J484" s="10" t="s">
        <v>176</v>
      </c>
      <c r="K484" s="15" t="str">
        <f>VLOOKUP(J484,DADOS!$A$3:$B$100,2,FALSE)</f>
        <v>EE-GI-001-011</v>
      </c>
      <c r="L484" s="15" t="s">
        <v>260</v>
      </c>
      <c r="M484" s="18" t="b">
        <v>1</v>
      </c>
      <c r="N484" s="17" t="b">
        <v>1</v>
      </c>
      <c r="O484" s="17" t="b">
        <v>1</v>
      </c>
      <c r="P484" s="17" t="b">
        <v>1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1</v>
      </c>
      <c r="W484" s="11" t="s">
        <v>269</v>
      </c>
      <c r="X484" s="12" t="s">
        <v>14</v>
      </c>
      <c r="Y484" s="12" t="s">
        <v>14</v>
      </c>
      <c r="Z484" s="13" t="s">
        <v>355</v>
      </c>
    </row>
    <row r="485" spans="1:26" ht="19.95" customHeight="1" x14ac:dyDescent="0.3">
      <c r="A485" s="6">
        <v>45706</v>
      </c>
      <c r="B485" s="7" t="s">
        <v>1568</v>
      </c>
      <c r="C485" s="8" t="s">
        <v>1569</v>
      </c>
      <c r="D485" s="8" t="s">
        <v>373</v>
      </c>
      <c r="E485" s="8" t="s">
        <v>1570</v>
      </c>
      <c r="F485" s="9" t="s">
        <v>1572</v>
      </c>
      <c r="G485" s="9" t="s">
        <v>1573</v>
      </c>
      <c r="H485" s="9" t="s">
        <v>1574</v>
      </c>
      <c r="I485" s="9" t="s">
        <v>69</v>
      </c>
      <c r="J485" s="10" t="s">
        <v>185</v>
      </c>
      <c r="K485" s="15" t="str">
        <f>VLOOKUP(J485,DADOS!$A$3:$B$100,2,FALSE)</f>
        <v>EE-GI-001-031</v>
      </c>
      <c r="L485" s="15" t="s">
        <v>1576</v>
      </c>
      <c r="M485" s="18" t="b">
        <v>1</v>
      </c>
      <c r="N485" s="17" t="b">
        <v>1</v>
      </c>
      <c r="O485" s="17" t="b">
        <v>1</v>
      </c>
      <c r="P485" s="17" t="b">
        <v>1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1</v>
      </c>
      <c r="W485" s="11" t="s">
        <v>373</v>
      </c>
      <c r="X485" s="12" t="s">
        <v>14</v>
      </c>
      <c r="Y485" s="12" t="s">
        <v>14</v>
      </c>
      <c r="Z485" s="13" t="s">
        <v>355</v>
      </c>
    </row>
    <row r="486" spans="1:26" ht="19.95" customHeight="1" x14ac:dyDescent="0.3">
      <c r="A486" s="6">
        <v>45706</v>
      </c>
      <c r="B486" s="7" t="s">
        <v>1568</v>
      </c>
      <c r="C486" s="8" t="s">
        <v>1569</v>
      </c>
      <c r="D486" s="8" t="s">
        <v>373</v>
      </c>
      <c r="E486" s="8" t="s">
        <v>1571</v>
      </c>
      <c r="F486" s="9" t="s">
        <v>1572</v>
      </c>
      <c r="G486" s="9" t="s">
        <v>1573</v>
      </c>
      <c r="H486" s="9" t="s">
        <v>1575</v>
      </c>
      <c r="I486" s="9" t="s">
        <v>69</v>
      </c>
      <c r="J486" s="10" t="s">
        <v>185</v>
      </c>
      <c r="K486" s="15" t="str">
        <f>VLOOKUP(J486,DADOS!$A$3:$B$100,2,FALSE)</f>
        <v>EE-GI-001-031</v>
      </c>
      <c r="L486" s="15" t="s">
        <v>1576</v>
      </c>
      <c r="M486" s="18" t="b">
        <v>1</v>
      </c>
      <c r="N486" s="17" t="b">
        <v>1</v>
      </c>
      <c r="O486" s="17" t="b">
        <v>1</v>
      </c>
      <c r="P486" s="17" t="b">
        <v>1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1</v>
      </c>
      <c r="W486" s="11" t="s">
        <v>373</v>
      </c>
      <c r="X486" s="12" t="s">
        <v>14</v>
      </c>
      <c r="Y486" s="12" t="s">
        <v>14</v>
      </c>
      <c r="Z486" s="13" t="s">
        <v>355</v>
      </c>
    </row>
    <row r="487" spans="1:26" ht="19.95" customHeight="1" x14ac:dyDescent="0.3">
      <c r="A487" s="6">
        <v>45706</v>
      </c>
      <c r="B487" s="7" t="s">
        <v>2155</v>
      </c>
      <c r="C487" s="8" t="s">
        <v>2177</v>
      </c>
      <c r="D487" s="8" t="s">
        <v>458</v>
      </c>
      <c r="E487" s="8" t="s">
        <v>2178</v>
      </c>
      <c r="F487" s="9" t="s">
        <v>2179</v>
      </c>
      <c r="G487" s="9" t="s">
        <v>2180</v>
      </c>
      <c r="H487" s="9" t="s">
        <v>2181</v>
      </c>
      <c r="I487" s="9" t="s">
        <v>66</v>
      </c>
      <c r="J487" s="10" t="s">
        <v>186</v>
      </c>
      <c r="K487" s="15" t="str">
        <f>VLOOKUP(J487,DADOS!$A$3:$B$100,2,FALSE)</f>
        <v>EE-GI-001-008</v>
      </c>
      <c r="L487" s="15" t="s">
        <v>260</v>
      </c>
      <c r="M487" s="18" t="b">
        <v>1</v>
      </c>
      <c r="N487" s="17" t="b">
        <v>1</v>
      </c>
      <c r="O487" s="17" t="b">
        <v>1</v>
      </c>
      <c r="P487" s="17" t="b">
        <v>1</v>
      </c>
      <c r="Q487" s="17" t="b">
        <v>0</v>
      </c>
      <c r="R487" s="17" t="b">
        <v>1</v>
      </c>
      <c r="S487" s="17" t="b">
        <v>0</v>
      </c>
      <c r="T487" s="17" t="b">
        <v>0</v>
      </c>
      <c r="U487" s="17" t="b">
        <v>0</v>
      </c>
      <c r="V487" s="17" t="b">
        <v>0</v>
      </c>
      <c r="W487" s="11" t="s">
        <v>458</v>
      </c>
      <c r="X487" s="12" t="s">
        <v>14</v>
      </c>
      <c r="Y487" s="12" t="s">
        <v>14</v>
      </c>
      <c r="Z487" s="13" t="s">
        <v>355</v>
      </c>
    </row>
    <row r="488" spans="1:26" ht="19.95" customHeight="1" x14ac:dyDescent="0.3">
      <c r="A488" s="6">
        <v>45706</v>
      </c>
      <c r="B488" s="7" t="s">
        <v>2155</v>
      </c>
      <c r="C488" s="8" t="s">
        <v>2177</v>
      </c>
      <c r="D488" s="8" t="s">
        <v>279</v>
      </c>
      <c r="E488" s="8" t="s">
        <v>2178</v>
      </c>
      <c r="F488" s="9" t="s">
        <v>2182</v>
      </c>
      <c r="G488" s="9" t="s">
        <v>2180</v>
      </c>
      <c r="H488" s="9" t="s">
        <v>2181</v>
      </c>
      <c r="I488" s="9" t="s">
        <v>66</v>
      </c>
      <c r="J488" s="10" t="s">
        <v>186</v>
      </c>
      <c r="K488" s="15" t="str">
        <f>VLOOKUP(J488,DADOS!$A$3:$B$100,2,FALSE)</f>
        <v>EE-GI-001-008</v>
      </c>
      <c r="L488" s="15" t="s">
        <v>260</v>
      </c>
      <c r="M488" s="18" t="b">
        <v>1</v>
      </c>
      <c r="N488" s="17" t="b">
        <v>1</v>
      </c>
      <c r="O488" s="17" t="b">
        <v>1</v>
      </c>
      <c r="P488" s="17" t="b">
        <v>1</v>
      </c>
      <c r="Q488" s="17" t="b">
        <v>0</v>
      </c>
      <c r="R488" s="17" t="b">
        <v>1</v>
      </c>
      <c r="S488" s="17" t="b">
        <v>0</v>
      </c>
      <c r="T488" s="17" t="b">
        <v>0</v>
      </c>
      <c r="U488" s="17" t="b">
        <v>0</v>
      </c>
      <c r="V488" s="17" t="b">
        <v>0</v>
      </c>
      <c r="W488" s="11" t="s">
        <v>279</v>
      </c>
      <c r="X488" s="12" t="s">
        <v>14</v>
      </c>
      <c r="Y488" s="12" t="s">
        <v>14</v>
      </c>
      <c r="Z488" s="13" t="s">
        <v>355</v>
      </c>
    </row>
    <row r="489" spans="1:26" ht="19.95" customHeight="1" x14ac:dyDescent="0.3">
      <c r="A489" s="6">
        <v>45706</v>
      </c>
      <c r="B489" s="7" t="s">
        <v>2155</v>
      </c>
      <c r="C489" s="8" t="s">
        <v>2183</v>
      </c>
      <c r="D489" s="8" t="s">
        <v>458</v>
      </c>
      <c r="E489" s="8" t="s">
        <v>2178</v>
      </c>
      <c r="F489" s="9" t="s">
        <v>2184</v>
      </c>
      <c r="G489" s="9" t="s">
        <v>2180</v>
      </c>
      <c r="H489" s="9" t="s">
        <v>2185</v>
      </c>
      <c r="I489" s="9" t="s">
        <v>66</v>
      </c>
      <c r="J489" s="10" t="s">
        <v>186</v>
      </c>
      <c r="K489" s="15" t="str">
        <f>VLOOKUP(J489,DADOS!$A$3:$B$100,2,FALSE)</f>
        <v>EE-GI-001-008</v>
      </c>
      <c r="L489" s="15" t="s">
        <v>260</v>
      </c>
      <c r="M489" s="18" t="b">
        <v>1</v>
      </c>
      <c r="N489" s="17" t="b">
        <v>1</v>
      </c>
      <c r="O489" s="17" t="b">
        <v>1</v>
      </c>
      <c r="P489" s="17" t="b">
        <v>1</v>
      </c>
      <c r="Q489" s="17" t="b">
        <v>0</v>
      </c>
      <c r="R489" s="17" t="b">
        <v>1</v>
      </c>
      <c r="S489" s="17" t="b">
        <v>0</v>
      </c>
      <c r="T489" s="17" t="b">
        <v>0</v>
      </c>
      <c r="U489" s="17" t="b">
        <v>0</v>
      </c>
      <c r="V489" s="17" t="b">
        <v>0</v>
      </c>
      <c r="W489" s="11" t="s">
        <v>458</v>
      </c>
      <c r="X489" s="12" t="s">
        <v>14</v>
      </c>
      <c r="Y489" s="12" t="s">
        <v>14</v>
      </c>
      <c r="Z489" s="13" t="s">
        <v>355</v>
      </c>
    </row>
    <row r="490" spans="1:26" ht="19.95" customHeight="1" x14ac:dyDescent="0.3">
      <c r="A490" s="6">
        <v>45706</v>
      </c>
      <c r="B490" s="7" t="s">
        <v>2155</v>
      </c>
      <c r="C490" s="8" t="s">
        <v>2183</v>
      </c>
      <c r="D490" s="8" t="s">
        <v>2186</v>
      </c>
      <c r="E490" s="8" t="s">
        <v>2178</v>
      </c>
      <c r="F490" s="9" t="s">
        <v>2187</v>
      </c>
      <c r="G490" s="9" t="s">
        <v>2180</v>
      </c>
      <c r="H490" s="9" t="s">
        <v>2185</v>
      </c>
      <c r="I490" s="9" t="s">
        <v>66</v>
      </c>
      <c r="J490" s="10" t="s">
        <v>186</v>
      </c>
      <c r="K490" s="15" t="str">
        <f>VLOOKUP(J490,DADOS!$A$3:$B$100,2,FALSE)</f>
        <v>EE-GI-001-008</v>
      </c>
      <c r="L490" s="15" t="s">
        <v>260</v>
      </c>
      <c r="M490" s="18" t="b">
        <v>1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1</v>
      </c>
      <c r="S490" s="17" t="b">
        <v>0</v>
      </c>
      <c r="T490" s="17" t="b">
        <v>0</v>
      </c>
      <c r="U490" s="17" t="b">
        <v>0</v>
      </c>
      <c r="V490" s="17" t="b">
        <v>0</v>
      </c>
      <c r="W490" s="11" t="s">
        <v>2186</v>
      </c>
      <c r="X490" s="12" t="s">
        <v>14</v>
      </c>
      <c r="Y490" s="12" t="s">
        <v>14</v>
      </c>
      <c r="Z490" s="13" t="s">
        <v>355</v>
      </c>
    </row>
    <row r="491" spans="1:26" ht="19.95" customHeight="1" x14ac:dyDescent="0.3">
      <c r="A491" s="6">
        <v>45706</v>
      </c>
      <c r="B491" s="7" t="s">
        <v>2155</v>
      </c>
      <c r="C491" s="8" t="s">
        <v>2172</v>
      </c>
      <c r="D491" s="8" t="s">
        <v>2188</v>
      </c>
      <c r="E491" s="8" t="s">
        <v>2178</v>
      </c>
      <c r="F491" s="9" t="s">
        <v>2174</v>
      </c>
      <c r="G491" s="9" t="s">
        <v>2176</v>
      </c>
      <c r="H491" s="9" t="s">
        <v>2189</v>
      </c>
      <c r="I491" s="9" t="s">
        <v>66</v>
      </c>
      <c r="J491" s="10" t="s">
        <v>186</v>
      </c>
      <c r="K491" s="15" t="str">
        <f>VLOOKUP(J491,DADOS!$A$3:$B$100,2,FALSE)</f>
        <v>EE-GI-001-008</v>
      </c>
      <c r="L491" s="15" t="s">
        <v>260</v>
      </c>
      <c r="M491" s="18" t="b">
        <v>1</v>
      </c>
      <c r="N491" s="17" t="b">
        <v>1</v>
      </c>
      <c r="O491" s="17" t="b">
        <v>1</v>
      </c>
      <c r="P491" s="17" t="b">
        <v>1</v>
      </c>
      <c r="Q491" s="17" t="b">
        <v>0</v>
      </c>
      <c r="R491" s="17" t="b">
        <v>1</v>
      </c>
      <c r="S491" s="17" t="b">
        <v>0</v>
      </c>
      <c r="T491" s="17" t="b">
        <v>0</v>
      </c>
      <c r="U491" s="17" t="b">
        <v>0</v>
      </c>
      <c r="V491" s="17" t="b">
        <v>0</v>
      </c>
      <c r="W491" s="11" t="s">
        <v>2188</v>
      </c>
      <c r="X491" s="12" t="s">
        <v>14</v>
      </c>
      <c r="Y491" s="12" t="s">
        <v>14</v>
      </c>
      <c r="Z491" s="13" t="s">
        <v>355</v>
      </c>
    </row>
    <row r="492" spans="1:26" ht="19.95" customHeight="1" x14ac:dyDescent="0.3">
      <c r="A492" s="6">
        <v>45706</v>
      </c>
      <c r="B492" s="7" t="s">
        <v>2155</v>
      </c>
      <c r="C492" s="8" t="s">
        <v>2165</v>
      </c>
      <c r="D492" s="8" t="s">
        <v>373</v>
      </c>
      <c r="E492" s="8" t="s">
        <v>2190</v>
      </c>
      <c r="F492" s="9" t="s">
        <v>2191</v>
      </c>
      <c r="G492" s="9" t="s">
        <v>2171</v>
      </c>
      <c r="H492" s="9" t="s">
        <v>2192</v>
      </c>
      <c r="I492" s="9" t="s">
        <v>66</v>
      </c>
      <c r="J492" s="10" t="s">
        <v>186</v>
      </c>
      <c r="K492" s="15" t="str">
        <f>VLOOKUP(J492,DADOS!$A$3:$B$100,2,FALSE)</f>
        <v>EE-GI-001-008</v>
      </c>
      <c r="L492" s="15" t="s">
        <v>1955</v>
      </c>
      <c r="M492" s="18" t="b">
        <v>1</v>
      </c>
      <c r="N492" s="17" t="b">
        <v>1</v>
      </c>
      <c r="O492" s="17" t="b">
        <v>1</v>
      </c>
      <c r="P492" s="17" t="b">
        <v>1</v>
      </c>
      <c r="Q492" s="17" t="b">
        <v>0</v>
      </c>
      <c r="R492" s="17" t="b">
        <v>1</v>
      </c>
      <c r="S492" s="17" t="b">
        <v>0</v>
      </c>
      <c r="T492" s="17" t="b">
        <v>0</v>
      </c>
      <c r="U492" s="17" t="b">
        <v>0</v>
      </c>
      <c r="V492" s="17" t="b">
        <v>0</v>
      </c>
      <c r="W492" s="11" t="s">
        <v>373</v>
      </c>
      <c r="X492" s="12" t="s">
        <v>14</v>
      </c>
      <c r="Y492" s="12" t="s">
        <v>14</v>
      </c>
      <c r="Z492" s="13" t="s">
        <v>355</v>
      </c>
    </row>
    <row r="493" spans="1:26" ht="19.95" customHeight="1" x14ac:dyDescent="0.3">
      <c r="A493" s="6">
        <v>45706</v>
      </c>
      <c r="B493" s="7" t="s">
        <v>2155</v>
      </c>
      <c r="C493" s="8" t="s">
        <v>2193</v>
      </c>
      <c r="D493" s="8" t="s">
        <v>281</v>
      </c>
      <c r="E493" s="8" t="s">
        <v>2190</v>
      </c>
      <c r="F493" s="9" t="s">
        <v>2194</v>
      </c>
      <c r="G493" s="9" t="s">
        <v>2195</v>
      </c>
      <c r="H493" s="9" t="s">
        <v>2196</v>
      </c>
      <c r="I493" s="9" t="s">
        <v>68</v>
      </c>
      <c r="J493" s="10" t="s">
        <v>186</v>
      </c>
      <c r="K493" s="15" t="str">
        <f>VLOOKUP(J493,DADOS!$A$3:$B$100,2,FALSE)</f>
        <v>EE-GI-001-008</v>
      </c>
      <c r="L493" s="15" t="s">
        <v>1955</v>
      </c>
      <c r="M493" s="18" t="b">
        <v>1</v>
      </c>
      <c r="N493" s="17" t="b">
        <v>1</v>
      </c>
      <c r="O493" s="17" t="b">
        <v>1</v>
      </c>
      <c r="P493" s="17" t="b">
        <v>1</v>
      </c>
      <c r="Q493" s="17" t="b">
        <v>0</v>
      </c>
      <c r="R493" s="17" t="b">
        <v>1</v>
      </c>
      <c r="S493" s="17" t="b">
        <v>0</v>
      </c>
      <c r="T493" s="17" t="b">
        <v>0</v>
      </c>
      <c r="U493" s="17" t="b">
        <v>0</v>
      </c>
      <c r="V493" s="17" t="b">
        <v>0</v>
      </c>
      <c r="W493" s="11" t="s">
        <v>281</v>
      </c>
      <c r="X493" s="12" t="s">
        <v>14</v>
      </c>
      <c r="Y493" s="12" t="s">
        <v>14</v>
      </c>
      <c r="Z493" s="13" t="s">
        <v>355</v>
      </c>
    </row>
    <row r="494" spans="1:26" ht="19.95" customHeight="1" x14ac:dyDescent="0.3">
      <c r="A494" s="6">
        <v>45706</v>
      </c>
      <c r="B494" s="7" t="s">
        <v>2155</v>
      </c>
      <c r="C494" s="8" t="s">
        <v>2197</v>
      </c>
      <c r="D494" s="8" t="s">
        <v>1605</v>
      </c>
      <c r="E494" s="8" t="s">
        <v>2190</v>
      </c>
      <c r="F494" s="9" t="s">
        <v>2198</v>
      </c>
      <c r="G494" s="9" t="s">
        <v>2180</v>
      </c>
      <c r="H494" s="9" t="s">
        <v>2199</v>
      </c>
      <c r="I494" s="9" t="s">
        <v>66</v>
      </c>
      <c r="J494" s="10" t="s">
        <v>186</v>
      </c>
      <c r="K494" s="15" t="str">
        <f>VLOOKUP(J494,DADOS!$A$3:$B$100,2,FALSE)</f>
        <v>EE-GI-001-008</v>
      </c>
      <c r="L494" s="15" t="s">
        <v>260</v>
      </c>
      <c r="M494" s="18" t="b">
        <v>1</v>
      </c>
      <c r="N494" s="17" t="b">
        <v>1</v>
      </c>
      <c r="O494" s="17" t="b">
        <v>1</v>
      </c>
      <c r="P494" s="17" t="b">
        <v>1</v>
      </c>
      <c r="Q494" s="17" t="b">
        <v>0</v>
      </c>
      <c r="R494" s="17" t="b">
        <v>1</v>
      </c>
      <c r="S494" s="17" t="b">
        <v>0</v>
      </c>
      <c r="T494" s="17" t="b">
        <v>0</v>
      </c>
      <c r="U494" s="17" t="b">
        <v>0</v>
      </c>
      <c r="V494" s="17" t="b">
        <v>0</v>
      </c>
      <c r="W494" s="11" t="s">
        <v>1605</v>
      </c>
      <c r="X494" s="12" t="s">
        <v>14</v>
      </c>
      <c r="Y494" s="12" t="s">
        <v>14</v>
      </c>
      <c r="Z494" s="13" t="s">
        <v>355</v>
      </c>
    </row>
    <row r="495" spans="1:26" ht="19.95" customHeight="1" x14ac:dyDescent="0.3">
      <c r="A495" s="6">
        <v>45706</v>
      </c>
      <c r="B495" s="7" t="s">
        <v>2155</v>
      </c>
      <c r="C495" s="8" t="s">
        <v>2197</v>
      </c>
      <c r="D495" s="8" t="s">
        <v>443</v>
      </c>
      <c r="E495" s="8" t="s">
        <v>2190</v>
      </c>
      <c r="F495" s="9" t="s">
        <v>2200</v>
      </c>
      <c r="G495" s="9" t="s">
        <v>2180</v>
      </c>
      <c r="H495" s="9" t="s">
        <v>2199</v>
      </c>
      <c r="I495" s="9" t="s">
        <v>66</v>
      </c>
      <c r="J495" s="10" t="s">
        <v>186</v>
      </c>
      <c r="K495" s="15" t="str">
        <f>VLOOKUP(J495,DADOS!$A$3:$B$100,2,FALSE)</f>
        <v>EE-GI-001-008</v>
      </c>
      <c r="L495" s="15" t="s">
        <v>260</v>
      </c>
      <c r="M495" s="18" t="b">
        <v>1</v>
      </c>
      <c r="N495" s="17" t="b">
        <v>1</v>
      </c>
      <c r="O495" s="17" t="b">
        <v>1</v>
      </c>
      <c r="P495" s="17" t="b">
        <v>1</v>
      </c>
      <c r="Q495" s="17" t="b">
        <v>0</v>
      </c>
      <c r="R495" s="17" t="b">
        <v>1</v>
      </c>
      <c r="S495" s="17" t="b">
        <v>0</v>
      </c>
      <c r="T495" s="17" t="b">
        <v>0</v>
      </c>
      <c r="U495" s="17" t="b">
        <v>0</v>
      </c>
      <c r="V495" s="17" t="b">
        <v>0</v>
      </c>
      <c r="W495" s="11" t="s">
        <v>443</v>
      </c>
      <c r="X495" s="12" t="s">
        <v>14</v>
      </c>
      <c r="Y495" s="12" t="s">
        <v>14</v>
      </c>
      <c r="Z495" s="13" t="s">
        <v>355</v>
      </c>
    </row>
    <row r="496" spans="1:26" ht="19.95" customHeight="1" x14ac:dyDescent="0.3">
      <c r="A496" s="6">
        <v>45706</v>
      </c>
      <c r="B496" s="7" t="s">
        <v>2155</v>
      </c>
      <c r="C496" s="8" t="s">
        <v>2197</v>
      </c>
      <c r="D496" s="8" t="s">
        <v>269</v>
      </c>
      <c r="E496" s="8" t="s">
        <v>2190</v>
      </c>
      <c r="F496" s="9" t="s">
        <v>2201</v>
      </c>
      <c r="G496" s="9" t="s">
        <v>2180</v>
      </c>
      <c r="H496" s="9" t="s">
        <v>2199</v>
      </c>
      <c r="I496" s="9" t="s">
        <v>66</v>
      </c>
      <c r="J496" s="10" t="s">
        <v>186</v>
      </c>
      <c r="K496" s="15" t="str">
        <f>VLOOKUP(J496,DADOS!$A$3:$B$100,2,FALSE)</f>
        <v>EE-GI-001-008</v>
      </c>
      <c r="L496" s="15" t="s">
        <v>260</v>
      </c>
      <c r="M496" s="18" t="b">
        <v>1</v>
      </c>
      <c r="N496" s="17" t="b">
        <v>1</v>
      </c>
      <c r="O496" s="17" t="b">
        <v>1</v>
      </c>
      <c r="P496" s="17" t="b">
        <v>1</v>
      </c>
      <c r="Q496" s="17" t="b">
        <v>0</v>
      </c>
      <c r="R496" s="17" t="b">
        <v>1</v>
      </c>
      <c r="S496" s="17" t="b">
        <v>0</v>
      </c>
      <c r="T496" s="17" t="b">
        <v>0</v>
      </c>
      <c r="U496" s="17" t="b">
        <v>0</v>
      </c>
      <c r="V496" s="17" t="b">
        <v>0</v>
      </c>
      <c r="W496" s="11" t="s">
        <v>269</v>
      </c>
      <c r="X496" s="12" t="s">
        <v>14</v>
      </c>
      <c r="Y496" s="12" t="s">
        <v>14</v>
      </c>
      <c r="Z496" s="13" t="s">
        <v>355</v>
      </c>
    </row>
    <row r="497" spans="1:26" ht="19.95" customHeight="1" x14ac:dyDescent="0.3">
      <c r="A497" s="6">
        <v>45706</v>
      </c>
      <c r="B497" s="7" t="s">
        <v>2155</v>
      </c>
      <c r="C497" s="8" t="s">
        <v>2197</v>
      </c>
      <c r="D497" s="8" t="s">
        <v>269</v>
      </c>
      <c r="E497" s="8" t="s">
        <v>2190</v>
      </c>
      <c r="F497" s="9" t="s">
        <v>2202</v>
      </c>
      <c r="G497" s="9" t="s">
        <v>2180</v>
      </c>
      <c r="H497" s="9" t="s">
        <v>2199</v>
      </c>
      <c r="I497" s="9" t="s">
        <v>66</v>
      </c>
      <c r="J497" s="10" t="s">
        <v>186</v>
      </c>
      <c r="K497" s="15" t="str">
        <f>VLOOKUP(J497,DADOS!$A$3:$B$100,2,FALSE)</f>
        <v>EE-GI-001-008</v>
      </c>
      <c r="L497" s="15" t="s">
        <v>260</v>
      </c>
      <c r="M497" s="18" t="b">
        <v>1</v>
      </c>
      <c r="N497" s="17" t="b">
        <v>1</v>
      </c>
      <c r="O497" s="17" t="b">
        <v>1</v>
      </c>
      <c r="P497" s="17" t="b">
        <v>1</v>
      </c>
      <c r="Q497" s="17" t="b">
        <v>0</v>
      </c>
      <c r="R497" s="17" t="b">
        <v>1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 t="s">
        <v>269</v>
      </c>
      <c r="X497" s="12" t="s">
        <v>14</v>
      </c>
      <c r="Y497" s="12" t="s">
        <v>14</v>
      </c>
      <c r="Z497" s="13" t="s">
        <v>355</v>
      </c>
    </row>
    <row r="498" spans="1:26" ht="19.95" customHeight="1" x14ac:dyDescent="0.3">
      <c r="A498" s="6">
        <v>45706</v>
      </c>
      <c r="B498" s="7" t="s">
        <v>2155</v>
      </c>
      <c r="C498" s="8" t="s">
        <v>2203</v>
      </c>
      <c r="D498" s="8" t="s">
        <v>373</v>
      </c>
      <c r="E498" s="8" t="s">
        <v>2190</v>
      </c>
      <c r="F498" s="9" t="s">
        <v>2204</v>
      </c>
      <c r="G498" s="9" t="s">
        <v>2180</v>
      </c>
      <c r="H498" s="9" t="s">
        <v>2205</v>
      </c>
      <c r="I498" s="9" t="s">
        <v>66</v>
      </c>
      <c r="J498" s="10" t="s">
        <v>186</v>
      </c>
      <c r="K498" s="15" t="str">
        <f>VLOOKUP(J498,DADOS!$A$3:$B$100,2,FALSE)</f>
        <v>EE-GI-001-008</v>
      </c>
      <c r="L498" s="15" t="s">
        <v>260</v>
      </c>
      <c r="M498" s="18" t="b">
        <v>1</v>
      </c>
      <c r="N498" s="17" t="b">
        <v>1</v>
      </c>
      <c r="O498" s="17" t="b">
        <v>1</v>
      </c>
      <c r="P498" s="17" t="b">
        <v>1</v>
      </c>
      <c r="Q498" s="17" t="b">
        <v>0</v>
      </c>
      <c r="R498" s="17" t="b">
        <v>1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 t="s">
        <v>373</v>
      </c>
      <c r="X498" s="12" t="s">
        <v>14</v>
      </c>
      <c r="Y498" s="12" t="s">
        <v>14</v>
      </c>
      <c r="Z498" s="13" t="s">
        <v>355</v>
      </c>
    </row>
    <row r="499" spans="1:26" ht="19.95" customHeight="1" x14ac:dyDescent="0.3">
      <c r="A499" s="6">
        <v>45706</v>
      </c>
      <c r="B499" s="7" t="s">
        <v>2155</v>
      </c>
      <c r="C499" s="8" t="s">
        <v>2203</v>
      </c>
      <c r="D499" s="8" t="s">
        <v>458</v>
      </c>
      <c r="E499" s="8" t="s">
        <v>2190</v>
      </c>
      <c r="F499" s="9" t="s">
        <v>2206</v>
      </c>
      <c r="G499" s="9" t="s">
        <v>2207</v>
      </c>
      <c r="H499" s="9" t="s">
        <v>2208</v>
      </c>
      <c r="I499" s="9" t="s">
        <v>66</v>
      </c>
      <c r="J499" s="10" t="s">
        <v>186</v>
      </c>
      <c r="K499" s="15" t="str">
        <f>VLOOKUP(J499,DADOS!$A$3:$B$100,2,FALSE)</f>
        <v>EE-GI-001-008</v>
      </c>
      <c r="L499" s="15" t="s">
        <v>260</v>
      </c>
      <c r="M499" s="18" t="b">
        <v>1</v>
      </c>
      <c r="N499" s="17" t="b">
        <v>1</v>
      </c>
      <c r="O499" s="17" t="b">
        <v>1</v>
      </c>
      <c r="P499" s="17" t="b">
        <v>1</v>
      </c>
      <c r="Q499" s="17" t="b">
        <v>0</v>
      </c>
      <c r="R499" s="17" t="b">
        <v>1</v>
      </c>
      <c r="S499" s="17" t="b">
        <v>0</v>
      </c>
      <c r="T499" s="17" t="b">
        <v>0</v>
      </c>
      <c r="U499" s="17" t="b">
        <v>0</v>
      </c>
      <c r="V499" s="17" t="b">
        <v>0</v>
      </c>
      <c r="W499" s="11" t="s">
        <v>458</v>
      </c>
      <c r="X499" s="12" t="s">
        <v>14</v>
      </c>
      <c r="Y499" s="12" t="s">
        <v>14</v>
      </c>
      <c r="Z499" s="13" t="s">
        <v>355</v>
      </c>
    </row>
    <row r="500" spans="1:26" ht="19.95" customHeight="1" x14ac:dyDescent="0.3">
      <c r="A500" s="6">
        <v>45706</v>
      </c>
      <c r="B500" s="7" t="s">
        <v>2155</v>
      </c>
      <c r="C500" s="8" t="s">
        <v>2203</v>
      </c>
      <c r="D500" s="8" t="s">
        <v>279</v>
      </c>
      <c r="E500" s="8" t="s">
        <v>2190</v>
      </c>
      <c r="F500" s="9" t="s">
        <v>2209</v>
      </c>
      <c r="G500" s="9" t="s">
        <v>2207</v>
      </c>
      <c r="H500" s="9" t="s">
        <v>2208</v>
      </c>
      <c r="I500" s="9" t="s">
        <v>66</v>
      </c>
      <c r="J500" s="10" t="s">
        <v>186</v>
      </c>
      <c r="K500" s="15" t="str">
        <f>VLOOKUP(J500,DADOS!$A$3:$B$100,2,FALSE)</f>
        <v>EE-GI-001-008</v>
      </c>
      <c r="L500" s="15" t="s">
        <v>260</v>
      </c>
      <c r="M500" s="18" t="b">
        <v>1</v>
      </c>
      <c r="N500" s="17" t="b">
        <v>1</v>
      </c>
      <c r="O500" s="17" t="b">
        <v>1</v>
      </c>
      <c r="P500" s="17" t="b">
        <v>1</v>
      </c>
      <c r="Q500" s="17" t="b">
        <v>0</v>
      </c>
      <c r="R500" s="17" t="b">
        <v>1</v>
      </c>
      <c r="S500" s="17" t="b">
        <v>0</v>
      </c>
      <c r="T500" s="17" t="b">
        <v>0</v>
      </c>
      <c r="U500" s="17" t="b">
        <v>0</v>
      </c>
      <c r="V500" s="17" t="b">
        <v>0</v>
      </c>
      <c r="W500" s="11" t="s">
        <v>279</v>
      </c>
      <c r="X500" s="12" t="s">
        <v>14</v>
      </c>
      <c r="Y500" s="12" t="s">
        <v>14</v>
      </c>
      <c r="Z500" s="13" t="s">
        <v>355</v>
      </c>
    </row>
    <row r="501" spans="1:26" ht="19.95" customHeight="1" x14ac:dyDescent="0.3">
      <c r="A501" s="6">
        <v>45706</v>
      </c>
      <c r="B501" s="7" t="s">
        <v>2155</v>
      </c>
      <c r="C501" s="8" t="s">
        <v>2210</v>
      </c>
      <c r="D501" s="8" t="s">
        <v>269</v>
      </c>
      <c r="E501" s="8" t="s">
        <v>2190</v>
      </c>
      <c r="F501" s="9" t="s">
        <v>2211</v>
      </c>
      <c r="G501" s="9" t="s">
        <v>2207</v>
      </c>
      <c r="H501" s="9" t="s">
        <v>2212</v>
      </c>
      <c r="I501" s="9" t="s">
        <v>66</v>
      </c>
      <c r="J501" s="10" t="s">
        <v>186</v>
      </c>
      <c r="K501" s="15" t="str">
        <f>VLOOKUP(J501,DADOS!$A$3:$B$100,2,FALSE)</f>
        <v>EE-GI-001-008</v>
      </c>
      <c r="L501" s="15" t="s">
        <v>1955</v>
      </c>
      <c r="M501" s="18" t="b">
        <v>1</v>
      </c>
      <c r="N501" s="17" t="b">
        <v>1</v>
      </c>
      <c r="O501" s="17" t="b">
        <v>1</v>
      </c>
      <c r="P501" s="17" t="b">
        <v>1</v>
      </c>
      <c r="Q501" s="17" t="b">
        <v>0</v>
      </c>
      <c r="R501" s="17" t="b">
        <v>1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 t="s">
        <v>269</v>
      </c>
      <c r="X501" s="12" t="s">
        <v>14</v>
      </c>
      <c r="Y501" s="12" t="s">
        <v>14</v>
      </c>
      <c r="Z501" s="13" t="s">
        <v>355</v>
      </c>
    </row>
    <row r="502" spans="1:26" ht="19.95" customHeight="1" x14ac:dyDescent="0.3">
      <c r="A502" s="6">
        <v>45706</v>
      </c>
      <c r="B502" s="7" t="s">
        <v>2155</v>
      </c>
      <c r="C502" s="8" t="s">
        <v>2213</v>
      </c>
      <c r="D502" s="8" t="s">
        <v>281</v>
      </c>
      <c r="E502" s="8" t="s">
        <v>2190</v>
      </c>
      <c r="F502" s="9" t="s">
        <v>2214</v>
      </c>
      <c r="G502" s="9" t="s">
        <v>2215</v>
      </c>
      <c r="H502" s="9" t="s">
        <v>2216</v>
      </c>
      <c r="I502" s="9" t="s">
        <v>68</v>
      </c>
      <c r="J502" s="10" t="s">
        <v>186</v>
      </c>
      <c r="K502" s="15" t="str">
        <f>VLOOKUP(J502,DADOS!$A$3:$B$100,2,FALSE)</f>
        <v>EE-GI-001-008</v>
      </c>
      <c r="L502" s="15" t="s">
        <v>2096</v>
      </c>
      <c r="M502" s="18" t="b">
        <v>1</v>
      </c>
      <c r="N502" s="17" t="b">
        <v>1</v>
      </c>
      <c r="O502" s="17" t="b">
        <v>1</v>
      </c>
      <c r="P502" s="17" t="b">
        <v>1</v>
      </c>
      <c r="Q502" s="17" t="b">
        <v>0</v>
      </c>
      <c r="R502" s="17" t="b">
        <v>1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 t="s">
        <v>281</v>
      </c>
      <c r="X502" s="12" t="s">
        <v>14</v>
      </c>
      <c r="Y502" s="12" t="s">
        <v>14</v>
      </c>
      <c r="Z502" s="13" t="s">
        <v>355</v>
      </c>
    </row>
    <row r="503" spans="1:26" ht="19.95" customHeight="1" x14ac:dyDescent="0.3">
      <c r="A503" s="6">
        <v>45707</v>
      </c>
      <c r="B503" s="7" t="s">
        <v>324</v>
      </c>
      <c r="C503" s="8" t="s">
        <v>856</v>
      </c>
      <c r="D503" s="8" t="s">
        <v>269</v>
      </c>
      <c r="E503" s="8" t="s">
        <v>857</v>
      </c>
      <c r="F503" s="9" t="s">
        <v>858</v>
      </c>
      <c r="G503" s="9" t="s">
        <v>860</v>
      </c>
      <c r="H503" s="9" t="s">
        <v>862</v>
      </c>
      <c r="I503" s="9" t="s">
        <v>69</v>
      </c>
      <c r="J503" s="10" t="s">
        <v>15</v>
      </c>
      <c r="K503" s="15" t="str">
        <f>VLOOKUP(J503,DADOS!$A$3:$B$100,2,FALSE)</f>
        <v>EE-GI-001-002</v>
      </c>
      <c r="L503" s="15" t="s">
        <v>814</v>
      </c>
      <c r="M503" s="18" t="b">
        <v>1</v>
      </c>
      <c r="N503" s="17" t="b">
        <v>1</v>
      </c>
      <c r="O503" s="17" t="b">
        <v>1</v>
      </c>
      <c r="P503" s="17" t="b">
        <v>1</v>
      </c>
      <c r="Q503" s="17" t="b">
        <v>0</v>
      </c>
      <c r="R503" s="17" t="b">
        <v>1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 t="s">
        <v>269</v>
      </c>
      <c r="X503" s="12" t="s">
        <v>14</v>
      </c>
      <c r="Y503" s="12" t="s">
        <v>14</v>
      </c>
      <c r="Z503" s="13" t="s">
        <v>261</v>
      </c>
    </row>
    <row r="504" spans="1:26" ht="19.95" customHeight="1" x14ac:dyDescent="0.3">
      <c r="A504" s="6">
        <v>45707</v>
      </c>
      <c r="B504" s="7" t="s">
        <v>324</v>
      </c>
      <c r="C504" s="8" t="s">
        <v>856</v>
      </c>
      <c r="D504" s="8" t="s">
        <v>364</v>
      </c>
      <c r="E504" s="8" t="s">
        <v>857</v>
      </c>
      <c r="F504" s="9" t="s">
        <v>859</v>
      </c>
      <c r="G504" s="9" t="s">
        <v>861</v>
      </c>
      <c r="H504" s="9" t="s">
        <v>862</v>
      </c>
      <c r="I504" s="9" t="s">
        <v>69</v>
      </c>
      <c r="J504" s="10" t="s">
        <v>15</v>
      </c>
      <c r="K504" s="15" t="str">
        <f>VLOOKUP(J504,DADOS!$A$3:$B$100,2,FALSE)</f>
        <v>EE-GI-001-002</v>
      </c>
      <c r="L504" s="15" t="s">
        <v>814</v>
      </c>
      <c r="M504" s="18" t="b">
        <v>1</v>
      </c>
      <c r="N504" s="17" t="b">
        <v>1</v>
      </c>
      <c r="O504" s="17" t="b">
        <v>1</v>
      </c>
      <c r="P504" s="17" t="b">
        <v>1</v>
      </c>
      <c r="Q504" s="17" t="b">
        <v>0</v>
      </c>
      <c r="R504" s="17" t="b">
        <v>1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 t="s">
        <v>364</v>
      </c>
      <c r="X504" s="12" t="s">
        <v>14</v>
      </c>
      <c r="Y504" s="12" t="s">
        <v>14</v>
      </c>
      <c r="Z504" s="13" t="s">
        <v>261</v>
      </c>
    </row>
    <row r="505" spans="1:26" ht="19.95" customHeight="1" x14ac:dyDescent="0.3">
      <c r="A505" s="6">
        <v>45707</v>
      </c>
      <c r="B505" s="7" t="s">
        <v>324</v>
      </c>
      <c r="C505" s="8" t="s">
        <v>863</v>
      </c>
      <c r="D505" s="8" t="s">
        <v>269</v>
      </c>
      <c r="E505" s="8" t="s">
        <v>857</v>
      </c>
      <c r="F505" s="9" t="s">
        <v>864</v>
      </c>
      <c r="G505" s="9" t="s">
        <v>865</v>
      </c>
      <c r="H505" s="9" t="s">
        <v>866</v>
      </c>
      <c r="I505" s="9" t="s">
        <v>69</v>
      </c>
      <c r="J505" s="10" t="s">
        <v>17</v>
      </c>
      <c r="K505" s="15" t="str">
        <f>VLOOKUP(J505,DADOS!$A$3:$B$100,2,FALSE)</f>
        <v>EE-GI-001-001</v>
      </c>
      <c r="L505" s="15" t="s">
        <v>814</v>
      </c>
      <c r="M505" s="18" t="b">
        <v>1</v>
      </c>
      <c r="N505" s="17" t="b">
        <v>1</v>
      </c>
      <c r="O505" s="17" t="b">
        <v>1</v>
      </c>
      <c r="P505" s="17" t="b">
        <v>1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0</v>
      </c>
      <c r="W505" s="11" t="s">
        <v>269</v>
      </c>
      <c r="X505" s="12" t="s">
        <v>14</v>
      </c>
      <c r="Y505" s="12" t="s">
        <v>14</v>
      </c>
      <c r="Z505" s="13" t="s">
        <v>261</v>
      </c>
    </row>
    <row r="506" spans="1:26" ht="19.95" customHeight="1" x14ac:dyDescent="0.3">
      <c r="A506" s="6">
        <v>45707</v>
      </c>
      <c r="B506" s="7" t="s">
        <v>339</v>
      </c>
      <c r="C506" s="8" t="s">
        <v>867</v>
      </c>
      <c r="D506" s="8" t="s">
        <v>269</v>
      </c>
      <c r="E506" s="8" t="s">
        <v>868</v>
      </c>
      <c r="F506" s="9" t="s">
        <v>869</v>
      </c>
      <c r="G506" s="9" t="s">
        <v>870</v>
      </c>
      <c r="H506" s="9" t="s">
        <v>14</v>
      </c>
      <c r="I506" s="9" t="s">
        <v>66</v>
      </c>
      <c r="J506" s="10" t="s">
        <v>15</v>
      </c>
      <c r="K506" s="15" t="str">
        <f>VLOOKUP(J506,DADOS!$A$3:$B$100,2,FALSE)</f>
        <v>EE-GI-001-002</v>
      </c>
      <c r="L506" s="15" t="s">
        <v>260</v>
      </c>
      <c r="M506" s="18" t="b">
        <v>1</v>
      </c>
      <c r="N506" s="17" t="b">
        <v>1</v>
      </c>
      <c r="O506" s="17" t="b">
        <v>1</v>
      </c>
      <c r="P506" s="17" t="b">
        <v>1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1</v>
      </c>
      <c r="W506" s="11" t="s">
        <v>269</v>
      </c>
      <c r="X506" s="12" t="s">
        <v>14</v>
      </c>
      <c r="Y506" s="12" t="s">
        <v>14</v>
      </c>
      <c r="Z506" s="13" t="s">
        <v>261</v>
      </c>
    </row>
    <row r="507" spans="1:26" ht="19.95" customHeight="1" x14ac:dyDescent="0.3">
      <c r="A507" s="6">
        <v>45707</v>
      </c>
      <c r="B507" s="7" t="s">
        <v>339</v>
      </c>
      <c r="C507" s="8" t="s">
        <v>871</v>
      </c>
      <c r="D507" s="8" t="s">
        <v>269</v>
      </c>
      <c r="E507" s="8" t="s">
        <v>868</v>
      </c>
      <c r="F507" s="9" t="s">
        <v>872</v>
      </c>
      <c r="G507" s="9" t="s">
        <v>870</v>
      </c>
      <c r="H507" s="9" t="s">
        <v>14</v>
      </c>
      <c r="I507" s="9" t="s">
        <v>66</v>
      </c>
      <c r="J507" s="10" t="s">
        <v>15</v>
      </c>
      <c r="K507" s="15" t="str">
        <f>VLOOKUP(J507,DADOS!$A$3:$B$100,2,FALSE)</f>
        <v>EE-GI-001-002</v>
      </c>
      <c r="L507" s="15" t="s">
        <v>260</v>
      </c>
      <c r="M507" s="18" t="b">
        <v>1</v>
      </c>
      <c r="N507" s="17" t="b">
        <v>1</v>
      </c>
      <c r="O507" s="17" t="b">
        <v>1</v>
      </c>
      <c r="P507" s="17" t="b">
        <v>1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1</v>
      </c>
      <c r="W507" s="11" t="s">
        <v>269</v>
      </c>
      <c r="X507" s="12" t="s">
        <v>14</v>
      </c>
      <c r="Y507" s="12" t="s">
        <v>14</v>
      </c>
      <c r="Z507" s="13" t="s">
        <v>261</v>
      </c>
    </row>
    <row r="508" spans="1:26" ht="19.95" customHeight="1" x14ac:dyDescent="0.3">
      <c r="A508" s="6">
        <v>45707</v>
      </c>
      <c r="B508" s="7" t="s">
        <v>930</v>
      </c>
      <c r="C508" s="8" t="s">
        <v>931</v>
      </c>
      <c r="D508" s="8" t="s">
        <v>281</v>
      </c>
      <c r="E508" s="8" t="s">
        <v>933</v>
      </c>
      <c r="F508" s="9" t="s">
        <v>934</v>
      </c>
      <c r="G508" s="9" t="s">
        <v>367</v>
      </c>
      <c r="H508" s="9" t="s">
        <v>14</v>
      </c>
      <c r="I508" s="9" t="s">
        <v>70</v>
      </c>
      <c r="J508" s="10" t="s">
        <v>14</v>
      </c>
      <c r="K508" s="15" t="e">
        <f>VLOOKUP(J508,DADOS!$A$3:$B$100,2,FALSE)</f>
        <v>#N/A</v>
      </c>
      <c r="L508" s="15" t="s">
        <v>260</v>
      </c>
      <c r="M508" s="18" t="b">
        <v>1</v>
      </c>
      <c r="N508" s="17" t="b">
        <v>1</v>
      </c>
      <c r="O508" s="17" t="b">
        <v>1</v>
      </c>
      <c r="P508" s="17" t="b">
        <v>1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1</v>
      </c>
      <c r="W508" s="11" t="s">
        <v>281</v>
      </c>
      <c r="X508" s="12" t="s">
        <v>14</v>
      </c>
      <c r="Y508" s="12" t="s">
        <v>14</v>
      </c>
      <c r="Z508" s="13" t="s">
        <v>261</v>
      </c>
    </row>
    <row r="509" spans="1:26" ht="19.95" customHeight="1" x14ac:dyDescent="0.3">
      <c r="A509" s="6">
        <v>45707</v>
      </c>
      <c r="B509" s="7" t="s">
        <v>930</v>
      </c>
      <c r="C509" s="8" t="s">
        <v>932</v>
      </c>
      <c r="D509" s="8" t="s">
        <v>269</v>
      </c>
      <c r="E509" s="8" t="s">
        <v>933</v>
      </c>
      <c r="F509" s="9" t="s">
        <v>936</v>
      </c>
      <c r="G509" s="9" t="s">
        <v>367</v>
      </c>
      <c r="H509" s="9" t="s">
        <v>14</v>
      </c>
      <c r="I509" s="9" t="s">
        <v>70</v>
      </c>
      <c r="J509" s="10" t="s">
        <v>14</v>
      </c>
      <c r="K509" s="15" t="e">
        <f>VLOOKUP(J509,DADOS!$A$3:$B$100,2,FALSE)</f>
        <v>#N/A</v>
      </c>
      <c r="L509" s="15" t="s">
        <v>260</v>
      </c>
      <c r="M509" s="18" t="b">
        <v>1</v>
      </c>
      <c r="N509" s="17" t="b">
        <v>1</v>
      </c>
      <c r="O509" s="17" t="b">
        <v>1</v>
      </c>
      <c r="P509" s="17" t="b">
        <v>1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1</v>
      </c>
      <c r="W509" s="11" t="s">
        <v>269</v>
      </c>
      <c r="X509" s="12" t="s">
        <v>14</v>
      </c>
      <c r="Y509" s="12" t="s">
        <v>14</v>
      </c>
      <c r="Z509" s="13" t="s">
        <v>261</v>
      </c>
    </row>
    <row r="510" spans="1:26" ht="19.95" customHeight="1" x14ac:dyDescent="0.3">
      <c r="A510" s="6">
        <v>45707</v>
      </c>
      <c r="B510" s="7" t="s">
        <v>930</v>
      </c>
      <c r="C510" s="8" t="s">
        <v>937</v>
      </c>
      <c r="D510" s="8" t="s">
        <v>364</v>
      </c>
      <c r="E510" s="8" t="s">
        <v>933</v>
      </c>
      <c r="F510" s="9" t="s">
        <v>935</v>
      </c>
      <c r="G510" s="9" t="s">
        <v>367</v>
      </c>
      <c r="H510" s="9" t="s">
        <v>14</v>
      </c>
      <c r="I510" s="9" t="s">
        <v>70</v>
      </c>
      <c r="J510" s="10" t="s">
        <v>14</v>
      </c>
      <c r="K510" s="15" t="e">
        <f>VLOOKUP(J510,DADOS!$A$3:$B$100,2,FALSE)</f>
        <v>#N/A</v>
      </c>
      <c r="L510" s="15" t="s">
        <v>260</v>
      </c>
      <c r="M510" s="18" t="b">
        <v>1</v>
      </c>
      <c r="N510" s="17" t="b">
        <v>1</v>
      </c>
      <c r="O510" s="17" t="b">
        <v>1</v>
      </c>
      <c r="P510" s="17" t="b">
        <v>1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1</v>
      </c>
      <c r="W510" s="11" t="s">
        <v>364</v>
      </c>
      <c r="X510" s="12" t="s">
        <v>14</v>
      </c>
      <c r="Y510" s="12" t="s">
        <v>14</v>
      </c>
      <c r="Z510" s="13" t="s">
        <v>261</v>
      </c>
    </row>
    <row r="511" spans="1:26" ht="19.95" customHeight="1" x14ac:dyDescent="0.3">
      <c r="A511" s="6">
        <v>45707</v>
      </c>
      <c r="B511" s="7" t="s">
        <v>930</v>
      </c>
      <c r="C511" s="8" t="s">
        <v>937</v>
      </c>
      <c r="D511" s="8" t="s">
        <v>269</v>
      </c>
      <c r="E511" s="8" t="s">
        <v>933</v>
      </c>
      <c r="F511" s="9" t="s">
        <v>938</v>
      </c>
      <c r="G511" s="9" t="s">
        <v>367</v>
      </c>
      <c r="H511" s="9" t="s">
        <v>14</v>
      </c>
      <c r="I511" s="9" t="s">
        <v>70</v>
      </c>
      <c r="J511" s="10" t="s">
        <v>14</v>
      </c>
      <c r="K511" s="15" t="e">
        <f>VLOOKUP(J511,DADOS!$A$3:$B$100,2,FALSE)</f>
        <v>#N/A</v>
      </c>
      <c r="L511" s="15" t="s">
        <v>260</v>
      </c>
      <c r="M511" s="18" t="b">
        <v>1</v>
      </c>
      <c r="N511" s="17" t="b">
        <v>1</v>
      </c>
      <c r="O511" s="17" t="b">
        <v>1</v>
      </c>
      <c r="P511" s="17" t="b">
        <v>1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1</v>
      </c>
      <c r="W511" s="11" t="s">
        <v>269</v>
      </c>
      <c r="X511" s="12" t="s">
        <v>14</v>
      </c>
      <c r="Y511" s="12" t="s">
        <v>14</v>
      </c>
      <c r="Z511" s="13" t="s">
        <v>261</v>
      </c>
    </row>
    <row r="512" spans="1:26" ht="19.95" customHeight="1" x14ac:dyDescent="0.3">
      <c r="A512" s="6">
        <v>45707</v>
      </c>
      <c r="B512" s="7" t="s">
        <v>930</v>
      </c>
      <c r="C512" s="8" t="s">
        <v>2684</v>
      </c>
      <c r="D512" s="8" t="s">
        <v>364</v>
      </c>
      <c r="E512" s="8" t="s">
        <v>933</v>
      </c>
      <c r="F512" s="9" t="s">
        <v>2685</v>
      </c>
      <c r="G512" s="9" t="s">
        <v>2618</v>
      </c>
      <c r="H512" s="9" t="s">
        <v>2581</v>
      </c>
      <c r="I512" s="9" t="s">
        <v>65</v>
      </c>
      <c r="J512" s="10" t="s">
        <v>181</v>
      </c>
      <c r="K512" s="15" t="str">
        <f>VLOOKUP(J512,DADOS!$A$3:$B$100,2,FALSE)</f>
        <v>EE-GI-001-023</v>
      </c>
      <c r="L512" s="15" t="s">
        <v>260</v>
      </c>
      <c r="M512" s="18" t="b">
        <v>1</v>
      </c>
      <c r="N512" s="17" t="b">
        <v>1</v>
      </c>
      <c r="O512" s="17" t="b">
        <v>1</v>
      </c>
      <c r="P512" s="17" t="b">
        <v>1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1</v>
      </c>
      <c r="W512" s="11"/>
      <c r="X512" s="12" t="s">
        <v>14</v>
      </c>
      <c r="Y512" s="12" t="s">
        <v>14</v>
      </c>
      <c r="Z512" s="13" t="s">
        <v>2536</v>
      </c>
    </row>
    <row r="513" spans="1:26" ht="19.95" customHeight="1" x14ac:dyDescent="0.3">
      <c r="A513" s="6">
        <v>45707</v>
      </c>
      <c r="B513" s="7" t="s">
        <v>948</v>
      </c>
      <c r="C513" s="8" t="s">
        <v>949</v>
      </c>
      <c r="D513" s="8" t="s">
        <v>281</v>
      </c>
      <c r="E513" s="8" t="s">
        <v>950</v>
      </c>
      <c r="F513" s="9" t="s">
        <v>951</v>
      </c>
      <c r="G513" s="9" t="s">
        <v>367</v>
      </c>
      <c r="H513" s="9" t="s">
        <v>14</v>
      </c>
      <c r="I513" s="9" t="s">
        <v>70</v>
      </c>
      <c r="J513" s="10" t="s">
        <v>14</v>
      </c>
      <c r="K513" s="15" t="e">
        <f>VLOOKUP(J513,DADOS!$A$3:$B$100,2,FALSE)</f>
        <v>#N/A</v>
      </c>
      <c r="L513" s="15" t="s">
        <v>260</v>
      </c>
      <c r="M513" s="18" t="b">
        <v>1</v>
      </c>
      <c r="N513" s="17" t="b">
        <v>1</v>
      </c>
      <c r="O513" s="17" t="b">
        <v>1</v>
      </c>
      <c r="P513" s="17" t="b">
        <v>1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1</v>
      </c>
      <c r="W513" s="11" t="s">
        <v>281</v>
      </c>
      <c r="X513" s="12" t="s">
        <v>14</v>
      </c>
      <c r="Y513" s="12" t="s">
        <v>14</v>
      </c>
      <c r="Z513" s="13" t="s">
        <v>261</v>
      </c>
    </row>
    <row r="514" spans="1:26" ht="19.95" customHeight="1" x14ac:dyDescent="0.3">
      <c r="A514" s="6">
        <v>45707</v>
      </c>
      <c r="B514" s="7" t="s">
        <v>1087</v>
      </c>
      <c r="C514" s="8" t="s">
        <v>1088</v>
      </c>
      <c r="D514" s="8" t="s">
        <v>1089</v>
      </c>
      <c r="E514" s="8" t="s">
        <v>1090</v>
      </c>
      <c r="F514" s="9" t="s">
        <v>1091</v>
      </c>
      <c r="G514" s="9" t="s">
        <v>1092</v>
      </c>
      <c r="H514" s="9" t="s">
        <v>1093</v>
      </c>
      <c r="I514" s="9" t="s">
        <v>66</v>
      </c>
      <c r="J514" s="10" t="s">
        <v>19</v>
      </c>
      <c r="K514" s="15" t="str">
        <f>VLOOKUP(J514,DADOS!$A$3:$B$100,2,FALSE)</f>
        <v>EE-GI-221-033</v>
      </c>
      <c r="L514" s="15" t="s">
        <v>754</v>
      </c>
      <c r="M514" s="18" t="b">
        <v>1</v>
      </c>
      <c r="N514" s="17" t="b">
        <v>1</v>
      </c>
      <c r="O514" s="17" t="b">
        <v>1</v>
      </c>
      <c r="P514" s="17" t="b">
        <v>1</v>
      </c>
      <c r="Q514" s="17" t="b">
        <v>1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 t="s">
        <v>1089</v>
      </c>
      <c r="X514" s="12" t="s">
        <v>14</v>
      </c>
      <c r="Y514" s="12" t="s">
        <v>14</v>
      </c>
      <c r="Z514" s="13" t="s">
        <v>261</v>
      </c>
    </row>
    <row r="515" spans="1:26" ht="19.95" customHeight="1" x14ac:dyDescent="0.3">
      <c r="A515" s="6">
        <v>45707</v>
      </c>
      <c r="B515" s="7" t="s">
        <v>1087</v>
      </c>
      <c r="C515" s="8" t="s">
        <v>1088</v>
      </c>
      <c r="D515" s="8" t="s">
        <v>373</v>
      </c>
      <c r="E515" s="8" t="s">
        <v>1090</v>
      </c>
      <c r="F515" s="9" t="s">
        <v>1094</v>
      </c>
      <c r="G515" s="9" t="s">
        <v>1092</v>
      </c>
      <c r="H515" s="9" t="s">
        <v>1093</v>
      </c>
      <c r="I515" s="9" t="s">
        <v>66</v>
      </c>
      <c r="J515" s="10" t="s">
        <v>19</v>
      </c>
      <c r="K515" s="15" t="str">
        <f>VLOOKUP(J515,DADOS!$A$3:$B$100,2,FALSE)</f>
        <v>EE-GI-221-033</v>
      </c>
      <c r="L515" s="15" t="s">
        <v>754</v>
      </c>
      <c r="M515" s="18" t="b">
        <v>1</v>
      </c>
      <c r="N515" s="17" t="b">
        <v>1</v>
      </c>
      <c r="O515" s="17" t="b">
        <v>1</v>
      </c>
      <c r="P515" s="17" t="b">
        <v>1</v>
      </c>
      <c r="Q515" s="17" t="b">
        <v>1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 t="s">
        <v>373</v>
      </c>
      <c r="X515" s="12" t="s">
        <v>14</v>
      </c>
      <c r="Y515" s="12" t="s">
        <v>14</v>
      </c>
      <c r="Z515" s="13" t="s">
        <v>261</v>
      </c>
    </row>
    <row r="516" spans="1:26" ht="19.95" customHeight="1" x14ac:dyDescent="0.3">
      <c r="A516" s="6">
        <v>45707</v>
      </c>
      <c r="B516" s="7" t="s">
        <v>1087</v>
      </c>
      <c r="C516" s="8" t="s">
        <v>1095</v>
      </c>
      <c r="D516" s="8" t="s">
        <v>373</v>
      </c>
      <c r="E516" s="8" t="s">
        <v>1090</v>
      </c>
      <c r="F516" s="9" t="s">
        <v>1096</v>
      </c>
      <c r="G516" s="9" t="s">
        <v>1097</v>
      </c>
      <c r="H516" s="9" t="s">
        <v>1099</v>
      </c>
      <c r="I516" s="9" t="s">
        <v>66</v>
      </c>
      <c r="J516" s="10" t="s">
        <v>20</v>
      </c>
      <c r="K516" s="15" t="str">
        <f>VLOOKUP(J516,DADOS!$A$3:$B$100,2,FALSE)</f>
        <v>EE-GI-221-034</v>
      </c>
      <c r="L516" s="15" t="s">
        <v>754</v>
      </c>
      <c r="M516" s="18" t="b">
        <v>1</v>
      </c>
      <c r="N516" s="17" t="b">
        <v>1</v>
      </c>
      <c r="O516" s="17" t="b">
        <v>1</v>
      </c>
      <c r="P516" s="17" t="b">
        <v>1</v>
      </c>
      <c r="Q516" s="17" t="b">
        <v>1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 t="s">
        <v>373</v>
      </c>
      <c r="X516" s="12" t="s">
        <v>14</v>
      </c>
      <c r="Y516" s="12" t="s">
        <v>14</v>
      </c>
      <c r="Z516" s="13" t="s">
        <v>261</v>
      </c>
    </row>
    <row r="517" spans="1:26" ht="19.95" customHeight="1" x14ac:dyDescent="0.3">
      <c r="A517" s="6">
        <v>45707</v>
      </c>
      <c r="B517" s="7" t="s">
        <v>1087</v>
      </c>
      <c r="C517" s="8" t="s">
        <v>1095</v>
      </c>
      <c r="D517" s="8" t="s">
        <v>269</v>
      </c>
      <c r="E517" s="8" t="s">
        <v>1090</v>
      </c>
      <c r="F517" s="9" t="s">
        <v>1098</v>
      </c>
      <c r="G517" s="9" t="s">
        <v>1097</v>
      </c>
      <c r="H517" s="9" t="s">
        <v>1099</v>
      </c>
      <c r="I517" s="9" t="s">
        <v>66</v>
      </c>
      <c r="J517" s="10" t="s">
        <v>20</v>
      </c>
      <c r="K517" s="15" t="str">
        <f>VLOOKUP(J517,DADOS!$A$3:$B$100,2,FALSE)</f>
        <v>EE-GI-221-034</v>
      </c>
      <c r="L517" s="15" t="s">
        <v>754</v>
      </c>
      <c r="M517" s="18" t="b">
        <v>1</v>
      </c>
      <c r="N517" s="17" t="b">
        <v>1</v>
      </c>
      <c r="O517" s="17" t="b">
        <v>1</v>
      </c>
      <c r="P517" s="17" t="b">
        <v>1</v>
      </c>
      <c r="Q517" s="17" t="b">
        <v>1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 t="s">
        <v>269</v>
      </c>
      <c r="X517" s="12" t="s">
        <v>14</v>
      </c>
      <c r="Y517" s="12" t="s">
        <v>14</v>
      </c>
      <c r="Z517" s="13" t="s">
        <v>261</v>
      </c>
    </row>
    <row r="518" spans="1:26" ht="19.95" customHeight="1" x14ac:dyDescent="0.3">
      <c r="A518" s="6">
        <v>45707</v>
      </c>
      <c r="B518" s="7" t="s">
        <v>1087</v>
      </c>
      <c r="C518" s="8" t="s">
        <v>1100</v>
      </c>
      <c r="D518" s="8" t="s">
        <v>1101</v>
      </c>
      <c r="E518" s="8" t="s">
        <v>1090</v>
      </c>
      <c r="F518" s="9" t="s">
        <v>1102</v>
      </c>
      <c r="G518" s="9" t="s">
        <v>1103</v>
      </c>
      <c r="H518" s="9" t="s">
        <v>1104</v>
      </c>
      <c r="I518" s="9" t="s">
        <v>66</v>
      </c>
      <c r="J518" s="10" t="s">
        <v>241</v>
      </c>
      <c r="K518" s="15" t="str">
        <f>VLOOKUP(J518,DADOS!$A$3:$B$100,2,FALSE)</f>
        <v>EE-GI-221-048</v>
      </c>
      <c r="L518" s="15" t="s">
        <v>754</v>
      </c>
      <c r="M518" s="18" t="b">
        <v>1</v>
      </c>
      <c r="N518" s="17" t="b">
        <v>1</v>
      </c>
      <c r="O518" s="17" t="b">
        <v>1</v>
      </c>
      <c r="P518" s="17" t="b">
        <v>1</v>
      </c>
      <c r="Q518" s="17" t="b">
        <v>1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 t="s">
        <v>1101</v>
      </c>
      <c r="X518" s="12" t="s">
        <v>14</v>
      </c>
      <c r="Y518" s="12" t="s">
        <v>14</v>
      </c>
      <c r="Z518" s="13" t="s">
        <v>261</v>
      </c>
    </row>
    <row r="519" spans="1:26" ht="19.95" customHeight="1" x14ac:dyDescent="0.3">
      <c r="A519" s="6">
        <v>45707</v>
      </c>
      <c r="B519" s="7" t="s">
        <v>578</v>
      </c>
      <c r="C519" s="8" t="s">
        <v>1267</v>
      </c>
      <c r="D519" s="8" t="s">
        <v>1271</v>
      </c>
      <c r="E519" s="8" t="s">
        <v>1272</v>
      </c>
      <c r="F519" s="9" t="s">
        <v>1181</v>
      </c>
      <c r="G519" s="9" t="s">
        <v>1182</v>
      </c>
      <c r="H519" s="9" t="s">
        <v>1273</v>
      </c>
      <c r="I519" s="9" t="s">
        <v>66</v>
      </c>
      <c r="J519" s="10" t="s">
        <v>186</v>
      </c>
      <c r="K519" s="15" t="str">
        <f>VLOOKUP(J519,DADOS!$A$3:$B$100,2,FALSE)</f>
        <v>EE-GI-001-008</v>
      </c>
      <c r="L519" s="15" t="s">
        <v>303</v>
      </c>
      <c r="M519" s="18" t="b">
        <v>1</v>
      </c>
      <c r="N519" s="17" t="b">
        <v>1</v>
      </c>
      <c r="O519" s="17" t="b">
        <v>1</v>
      </c>
      <c r="P519" s="17" t="b">
        <v>1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1</v>
      </c>
      <c r="W519" s="11" t="s">
        <v>1271</v>
      </c>
      <c r="X519" s="12" t="s">
        <v>14</v>
      </c>
      <c r="Y519" s="12" t="s">
        <v>14</v>
      </c>
      <c r="Z519" s="13" t="s">
        <v>261</v>
      </c>
    </row>
    <row r="520" spans="1:26" ht="19.95" customHeight="1" x14ac:dyDescent="0.3">
      <c r="A520" s="6">
        <v>45707</v>
      </c>
      <c r="B520" s="7" t="s">
        <v>578</v>
      </c>
      <c r="C520" s="8" t="s">
        <v>1129</v>
      </c>
      <c r="D520" s="8" t="s">
        <v>1274</v>
      </c>
      <c r="E520" s="8" t="s">
        <v>1272</v>
      </c>
      <c r="F520" s="9" t="s">
        <v>1275</v>
      </c>
      <c r="G520" s="9" t="s">
        <v>1276</v>
      </c>
      <c r="H520" s="9" t="s">
        <v>1277</v>
      </c>
      <c r="I520" s="9" t="s">
        <v>66</v>
      </c>
      <c r="J520" s="10" t="s">
        <v>174</v>
      </c>
      <c r="K520" s="15" t="str">
        <f>VLOOKUP(J520,DADOS!$A$3:$B$100,2,FALSE)</f>
        <v>EE-GI-001-007</v>
      </c>
      <c r="L520" s="15" t="s">
        <v>260</v>
      </c>
      <c r="M520" s="18" t="b">
        <v>1</v>
      </c>
      <c r="N520" s="17" t="b">
        <v>1</v>
      </c>
      <c r="O520" s="17" t="b">
        <v>1</v>
      </c>
      <c r="P520" s="17" t="b">
        <v>1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1</v>
      </c>
      <c r="W520" s="11" t="s">
        <v>1274</v>
      </c>
      <c r="X520" s="12" t="s">
        <v>14</v>
      </c>
      <c r="Y520" s="12" t="s">
        <v>14</v>
      </c>
      <c r="Z520" s="13" t="s">
        <v>261</v>
      </c>
    </row>
    <row r="521" spans="1:26" ht="19.95" customHeight="1" x14ac:dyDescent="0.3">
      <c r="A521" s="6">
        <v>45707</v>
      </c>
      <c r="B521" s="7" t="s">
        <v>1568</v>
      </c>
      <c r="C521" s="8" t="s">
        <v>2091</v>
      </c>
      <c r="D521" s="8" t="s">
        <v>269</v>
      </c>
      <c r="E521" s="8" t="s">
        <v>2092</v>
      </c>
      <c r="F521" s="9" t="s">
        <v>2093</v>
      </c>
      <c r="G521" s="9" t="s">
        <v>2094</v>
      </c>
      <c r="H521" s="9" t="s">
        <v>2095</v>
      </c>
      <c r="I521" s="9" t="s">
        <v>69</v>
      </c>
      <c r="J521" s="10" t="s">
        <v>185</v>
      </c>
      <c r="K521" s="15" t="str">
        <f>VLOOKUP(J521,DADOS!$A$3:$B$100,2,FALSE)</f>
        <v>EE-GI-001-031</v>
      </c>
      <c r="L521" s="15" t="s">
        <v>2096</v>
      </c>
      <c r="M521" s="18" t="b">
        <v>1</v>
      </c>
      <c r="N521" s="17" t="b">
        <v>1</v>
      </c>
      <c r="O521" s="17" t="b">
        <v>1</v>
      </c>
      <c r="P521" s="17" t="b">
        <v>1</v>
      </c>
      <c r="Q521" s="17" t="b">
        <v>0</v>
      </c>
      <c r="R521" s="17" t="b">
        <v>1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 t="s">
        <v>269</v>
      </c>
      <c r="X521" s="12" t="s">
        <v>14</v>
      </c>
      <c r="Y521" s="12" t="s">
        <v>14</v>
      </c>
      <c r="Z521" s="13" t="s">
        <v>355</v>
      </c>
    </row>
    <row r="522" spans="1:26" ht="19.95" customHeight="1" x14ac:dyDescent="0.3">
      <c r="A522" s="6">
        <v>45707</v>
      </c>
      <c r="B522" s="7" t="s">
        <v>1568</v>
      </c>
      <c r="C522" s="8" t="s">
        <v>2097</v>
      </c>
      <c r="D522" s="8" t="s">
        <v>269</v>
      </c>
      <c r="E522" s="8" t="s">
        <v>2092</v>
      </c>
      <c r="F522" s="9" t="s">
        <v>2098</v>
      </c>
      <c r="G522" s="9" t="s">
        <v>2099</v>
      </c>
      <c r="H522" s="9" t="s">
        <v>2100</v>
      </c>
      <c r="I522" s="9" t="s">
        <v>69</v>
      </c>
      <c r="J522" s="10" t="s">
        <v>185</v>
      </c>
      <c r="K522" s="15" t="str">
        <f>VLOOKUP(J522,DADOS!$A$3:$B$100,2,FALSE)</f>
        <v>EE-GI-001-031</v>
      </c>
      <c r="L522" s="15" t="s">
        <v>2096</v>
      </c>
      <c r="M522" s="18" t="b">
        <v>1</v>
      </c>
      <c r="N522" s="17" t="b">
        <v>1</v>
      </c>
      <c r="O522" s="17" t="b">
        <v>1</v>
      </c>
      <c r="P522" s="17" t="b">
        <v>1</v>
      </c>
      <c r="Q522" s="17" t="b">
        <v>0</v>
      </c>
      <c r="R522" s="17" t="b">
        <v>1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 t="s">
        <v>269</v>
      </c>
      <c r="X522" s="12" t="s">
        <v>14</v>
      </c>
      <c r="Y522" s="12" t="s">
        <v>14</v>
      </c>
      <c r="Z522" s="13" t="s">
        <v>355</v>
      </c>
    </row>
    <row r="523" spans="1:26" ht="19.95" customHeight="1" x14ac:dyDescent="0.3">
      <c r="A523" s="6">
        <v>45707</v>
      </c>
      <c r="B523" s="7" t="s">
        <v>930</v>
      </c>
      <c r="C523" s="8" t="s">
        <v>2578</v>
      </c>
      <c r="D523" s="8" t="s">
        <v>281</v>
      </c>
      <c r="E523" s="8" t="s">
        <v>933</v>
      </c>
      <c r="F523" s="9" t="s">
        <v>2579</v>
      </c>
      <c r="G523" s="9" t="s">
        <v>2580</v>
      </c>
      <c r="H523" s="9" t="s">
        <v>2581</v>
      </c>
      <c r="I523" s="9" t="s">
        <v>65</v>
      </c>
      <c r="J523" s="10" t="s">
        <v>181</v>
      </c>
      <c r="K523" s="15" t="str">
        <f>VLOOKUP(J523,DADOS!$A$3:$B$100,2,FALSE)</f>
        <v>EE-GI-001-023</v>
      </c>
      <c r="L523" s="15" t="s">
        <v>260</v>
      </c>
      <c r="M523" s="18" t="b">
        <v>1</v>
      </c>
      <c r="N523" s="17" t="b">
        <v>1</v>
      </c>
      <c r="O523" s="17" t="b">
        <v>1</v>
      </c>
      <c r="P523" s="17" t="b">
        <v>1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1</v>
      </c>
      <c r="W523" s="11" t="s">
        <v>281</v>
      </c>
      <c r="X523" s="12" t="s">
        <v>14</v>
      </c>
      <c r="Y523" s="12" t="s">
        <v>14</v>
      </c>
      <c r="Z523" s="13" t="s">
        <v>2536</v>
      </c>
    </row>
    <row r="524" spans="1:26" ht="19.95" customHeight="1" x14ac:dyDescent="0.3">
      <c r="A524" s="6">
        <v>45707</v>
      </c>
      <c r="B524" s="7" t="s">
        <v>930</v>
      </c>
      <c r="C524" s="8" t="s">
        <v>2659</v>
      </c>
      <c r="D524" s="8" t="s">
        <v>269</v>
      </c>
      <c r="E524" s="8" t="s">
        <v>2660</v>
      </c>
      <c r="F524" s="9" t="s">
        <v>2661</v>
      </c>
      <c r="G524" s="34"/>
      <c r="H524" s="9" t="s">
        <v>2662</v>
      </c>
      <c r="I524" s="9" t="s">
        <v>69</v>
      </c>
      <c r="J524" s="10" t="s">
        <v>17</v>
      </c>
      <c r="K524" s="15" t="str">
        <f>VLOOKUP(J524,DADOS!$A$3:$B$100,2,FALSE)</f>
        <v>EE-GI-001-001</v>
      </c>
      <c r="L524" s="15" t="s">
        <v>260</v>
      </c>
      <c r="M524" s="18" t="b">
        <v>1</v>
      </c>
      <c r="N524" s="17" t="b">
        <v>1</v>
      </c>
      <c r="O524" s="17" t="b">
        <v>1</v>
      </c>
      <c r="P524" s="17" t="b">
        <v>1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1</v>
      </c>
      <c r="W524" s="11" t="s">
        <v>269</v>
      </c>
      <c r="X524" s="12" t="s">
        <v>14</v>
      </c>
      <c r="Y524" s="12" t="s">
        <v>14</v>
      </c>
      <c r="Z524" s="13" t="s">
        <v>2536</v>
      </c>
    </row>
    <row r="525" spans="1:26" ht="19.95" customHeight="1" x14ac:dyDescent="0.3">
      <c r="A525" s="6">
        <v>45707</v>
      </c>
      <c r="B525" s="7" t="s">
        <v>916</v>
      </c>
      <c r="C525" s="8" t="s">
        <v>2651</v>
      </c>
      <c r="D525" s="8" t="s">
        <v>269</v>
      </c>
      <c r="E525" s="8" t="s">
        <v>2652</v>
      </c>
      <c r="F525" s="9" t="s">
        <v>2655</v>
      </c>
      <c r="G525" s="9" t="s">
        <v>2653</v>
      </c>
      <c r="H525" s="9" t="s">
        <v>2654</v>
      </c>
      <c r="I525" s="9" t="s">
        <v>70</v>
      </c>
      <c r="J525" s="10" t="s">
        <v>174</v>
      </c>
      <c r="K525" s="15" t="str">
        <f>VLOOKUP(J525,DADOS!$A$3:$B$100,2,FALSE)</f>
        <v>EE-GI-001-007</v>
      </c>
      <c r="L525" s="15" t="s">
        <v>260</v>
      </c>
      <c r="M525" s="18" t="b">
        <v>1</v>
      </c>
      <c r="N525" s="17" t="b">
        <v>1</v>
      </c>
      <c r="O525" s="17" t="b">
        <v>1</v>
      </c>
      <c r="P525" s="17" t="b">
        <v>1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1</v>
      </c>
      <c r="W525" s="11" t="s">
        <v>269</v>
      </c>
      <c r="X525" s="12" t="s">
        <v>14</v>
      </c>
      <c r="Y525" s="12" t="s">
        <v>14</v>
      </c>
      <c r="Z525" s="13" t="s">
        <v>2536</v>
      </c>
    </row>
    <row r="526" spans="1:26" ht="19.95" customHeight="1" x14ac:dyDescent="0.3">
      <c r="A526" s="6">
        <v>45707</v>
      </c>
      <c r="B526" s="7" t="s">
        <v>916</v>
      </c>
      <c r="C526" s="8" t="s">
        <v>2651</v>
      </c>
      <c r="D526" s="8" t="s">
        <v>281</v>
      </c>
      <c r="E526" s="8" t="s">
        <v>2652</v>
      </c>
      <c r="F526" s="9" t="s">
        <v>2656</v>
      </c>
      <c r="G526" s="9" t="s">
        <v>2653</v>
      </c>
      <c r="H526" s="9" t="s">
        <v>2654</v>
      </c>
      <c r="I526" s="9" t="s">
        <v>70</v>
      </c>
      <c r="J526" s="10" t="s">
        <v>174</v>
      </c>
      <c r="K526" s="15" t="str">
        <f>VLOOKUP(J526,DADOS!$A$3:$B$100,2,FALSE)</f>
        <v>EE-GI-001-007</v>
      </c>
      <c r="L526" s="15" t="s">
        <v>260</v>
      </c>
      <c r="M526" s="18" t="b">
        <v>1</v>
      </c>
      <c r="N526" s="17" t="b">
        <v>1</v>
      </c>
      <c r="O526" s="17" t="b">
        <v>1</v>
      </c>
      <c r="P526" s="17" t="b">
        <v>1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1</v>
      </c>
      <c r="W526" s="11" t="s">
        <v>281</v>
      </c>
      <c r="X526" s="12" t="s">
        <v>14</v>
      </c>
      <c r="Y526" s="12" t="s">
        <v>14</v>
      </c>
      <c r="Z526" s="13" t="s">
        <v>2536</v>
      </c>
    </row>
    <row r="527" spans="1:26" ht="19.95" customHeight="1" x14ac:dyDescent="0.3">
      <c r="A527" s="6">
        <v>45707</v>
      </c>
      <c r="B527" s="7" t="s">
        <v>916</v>
      </c>
      <c r="C527" s="8" t="s">
        <v>2651</v>
      </c>
      <c r="D527" s="8" t="s">
        <v>281</v>
      </c>
      <c r="E527" s="8" t="s">
        <v>2652</v>
      </c>
      <c r="F527" s="9" t="s">
        <v>2658</v>
      </c>
      <c r="G527" s="9" t="s">
        <v>2653</v>
      </c>
      <c r="H527" s="9" t="s">
        <v>2654</v>
      </c>
      <c r="I527" s="9" t="s">
        <v>70</v>
      </c>
      <c r="J527" s="10" t="s">
        <v>174</v>
      </c>
      <c r="K527" s="15" t="str">
        <f>VLOOKUP(J527,DADOS!$A$3:$B$100,2,FALSE)</f>
        <v>EE-GI-001-007</v>
      </c>
      <c r="L527" s="15" t="s">
        <v>260</v>
      </c>
      <c r="M527" s="18" t="b">
        <v>1</v>
      </c>
      <c r="N527" s="17" t="b">
        <v>1</v>
      </c>
      <c r="O527" s="17" t="b">
        <v>1</v>
      </c>
      <c r="P527" s="17" t="b">
        <v>1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1</v>
      </c>
      <c r="W527" s="11" t="s">
        <v>281</v>
      </c>
      <c r="X527" s="12" t="s">
        <v>14</v>
      </c>
      <c r="Y527" s="12" t="s">
        <v>14</v>
      </c>
      <c r="Z527" s="13" t="s">
        <v>2536</v>
      </c>
    </row>
    <row r="528" spans="1:26" ht="19.95" customHeight="1" x14ac:dyDescent="0.3">
      <c r="A528" s="6">
        <v>45707</v>
      </c>
      <c r="B528" s="7" t="s">
        <v>916</v>
      </c>
      <c r="C528" s="8" t="s">
        <v>2651</v>
      </c>
      <c r="D528" s="8" t="s">
        <v>269</v>
      </c>
      <c r="E528" s="8" t="s">
        <v>2652</v>
      </c>
      <c r="F528" s="9" t="s">
        <v>2657</v>
      </c>
      <c r="G528" s="9" t="s">
        <v>2653</v>
      </c>
      <c r="H528" s="9" t="s">
        <v>2654</v>
      </c>
      <c r="I528" s="9" t="s">
        <v>70</v>
      </c>
      <c r="J528" s="10" t="s">
        <v>174</v>
      </c>
      <c r="K528" s="15" t="str">
        <f>VLOOKUP(J528,DADOS!$A$3:$B$100,2,FALSE)</f>
        <v>EE-GI-001-007</v>
      </c>
      <c r="L528" s="15" t="s">
        <v>260</v>
      </c>
      <c r="M528" s="18" t="b">
        <v>1</v>
      </c>
      <c r="N528" s="17" t="b">
        <v>1</v>
      </c>
      <c r="O528" s="17" t="b">
        <v>1</v>
      </c>
      <c r="P528" s="17" t="b">
        <v>1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1</v>
      </c>
      <c r="W528" s="11" t="s">
        <v>269</v>
      </c>
      <c r="X528" s="12" t="s">
        <v>14</v>
      </c>
      <c r="Y528" s="12" t="s">
        <v>14</v>
      </c>
      <c r="Z528" s="13" t="s">
        <v>2536</v>
      </c>
    </row>
    <row r="529" spans="1:26" ht="19.95" customHeight="1" x14ac:dyDescent="0.3">
      <c r="A529" s="6">
        <v>45707</v>
      </c>
      <c r="B529" s="7" t="s">
        <v>254</v>
      </c>
      <c r="C529" s="8" t="s">
        <v>2772</v>
      </c>
      <c r="D529" s="8" t="s">
        <v>281</v>
      </c>
      <c r="E529" s="8" t="s">
        <v>2777</v>
      </c>
      <c r="F529" s="9" t="s">
        <v>2778</v>
      </c>
      <c r="G529" s="9" t="s">
        <v>2779</v>
      </c>
      <c r="H529" s="9" t="s">
        <v>2780</v>
      </c>
      <c r="I529" s="9" t="s">
        <v>64</v>
      </c>
      <c r="J529" s="10" t="s">
        <v>186</v>
      </c>
      <c r="K529" s="15" t="str">
        <f>VLOOKUP(J529,DADOS!$A$3:$B$100,2,FALSE)</f>
        <v>EE-GI-001-008</v>
      </c>
      <c r="L529" s="15" t="s">
        <v>1955</v>
      </c>
      <c r="M529" s="18" t="b">
        <v>1</v>
      </c>
      <c r="N529" s="17" t="b">
        <v>1</v>
      </c>
      <c r="O529" s="17" t="b">
        <v>1</v>
      </c>
      <c r="P529" s="17" t="b">
        <v>1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 t="s">
        <v>281</v>
      </c>
      <c r="X529" s="12" t="s">
        <v>14</v>
      </c>
      <c r="Y529" s="12" t="s">
        <v>14</v>
      </c>
      <c r="Z529" s="13" t="s">
        <v>261</v>
      </c>
    </row>
    <row r="530" spans="1:26" ht="19.95" customHeight="1" x14ac:dyDescent="0.3">
      <c r="A530" s="6">
        <v>45708</v>
      </c>
      <c r="B530" s="7" t="s">
        <v>930</v>
      </c>
      <c r="C530" s="8" t="s">
        <v>2582</v>
      </c>
      <c r="D530" s="8" t="s">
        <v>971</v>
      </c>
      <c r="E530" s="8" t="s">
        <v>933</v>
      </c>
      <c r="F530" s="9" t="s">
        <v>2583</v>
      </c>
      <c r="G530" s="9" t="s">
        <v>2584</v>
      </c>
      <c r="H530" s="9" t="s">
        <v>2581</v>
      </c>
      <c r="I530" s="9" t="s">
        <v>65</v>
      </c>
      <c r="J530" s="10" t="s">
        <v>174</v>
      </c>
      <c r="K530" s="15" t="str">
        <f>VLOOKUP(J530,DADOS!$A$3:$B$100,2,FALSE)</f>
        <v>EE-GI-001-007</v>
      </c>
      <c r="L530" s="15" t="s">
        <v>2535</v>
      </c>
      <c r="M530" s="18" t="b">
        <v>1</v>
      </c>
      <c r="N530" s="17" t="b">
        <v>1</v>
      </c>
      <c r="O530" s="17" t="b">
        <v>1</v>
      </c>
      <c r="P530" s="17" t="b">
        <v>1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1</v>
      </c>
      <c r="W530" s="11" t="s">
        <v>971</v>
      </c>
      <c r="X530" s="12" t="s">
        <v>14</v>
      </c>
      <c r="Y530" s="12" t="s">
        <v>14</v>
      </c>
      <c r="Z530" s="13" t="s">
        <v>2536</v>
      </c>
    </row>
    <row r="531" spans="1:26" ht="19.95" customHeight="1" x14ac:dyDescent="0.3">
      <c r="A531" s="6">
        <v>45709</v>
      </c>
      <c r="B531" s="7" t="s">
        <v>930</v>
      </c>
      <c r="C531" s="8" t="s">
        <v>2585</v>
      </c>
      <c r="D531" s="8" t="s">
        <v>269</v>
      </c>
      <c r="E531" s="8" t="s">
        <v>933</v>
      </c>
      <c r="F531" s="9" t="s">
        <v>2586</v>
      </c>
      <c r="G531" s="9" t="s">
        <v>2587</v>
      </c>
      <c r="H531" s="9" t="s">
        <v>2581</v>
      </c>
      <c r="I531" s="9" t="s">
        <v>69</v>
      </c>
      <c r="J531" s="10" t="s">
        <v>176</v>
      </c>
      <c r="K531" s="15" t="str">
        <f>VLOOKUP(J531,DADOS!$A$3:$B$100,2,FALSE)</f>
        <v>EE-GI-001-011</v>
      </c>
      <c r="L531" s="15" t="s">
        <v>2563</v>
      </c>
      <c r="M531" s="18" t="b">
        <v>1</v>
      </c>
      <c r="N531" s="17" t="b">
        <v>1</v>
      </c>
      <c r="O531" s="17" t="b">
        <v>1</v>
      </c>
      <c r="P531" s="17" t="b">
        <v>1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1</v>
      </c>
      <c r="W531" s="11" t="s">
        <v>269</v>
      </c>
      <c r="X531" s="12" t="s">
        <v>14</v>
      </c>
      <c r="Y531" s="12" t="s">
        <v>14</v>
      </c>
      <c r="Z531" s="13" t="s">
        <v>2536</v>
      </c>
    </row>
    <row r="532" spans="1:26" ht="19.95" customHeight="1" x14ac:dyDescent="0.3">
      <c r="A532" s="6">
        <v>45708</v>
      </c>
      <c r="B532" s="7" t="s">
        <v>578</v>
      </c>
      <c r="C532" s="8" t="s">
        <v>618</v>
      </c>
      <c r="D532" s="8" t="s">
        <v>277</v>
      </c>
      <c r="E532" s="8" t="s">
        <v>1278</v>
      </c>
      <c r="F532" s="9" t="s">
        <v>620</v>
      </c>
      <c r="G532" s="9" t="s">
        <v>621</v>
      </c>
      <c r="H532" s="9" t="s">
        <v>756</v>
      </c>
      <c r="I532" s="9" t="s">
        <v>66</v>
      </c>
      <c r="J532" s="10" t="s">
        <v>186</v>
      </c>
      <c r="K532" s="15" t="str">
        <f>VLOOKUP(J532,DADOS!$A$3:$B$100,2,FALSE)</f>
        <v>EE-GI-001-008</v>
      </c>
      <c r="L532" s="15" t="s">
        <v>260</v>
      </c>
      <c r="M532" s="18" t="b">
        <v>1</v>
      </c>
      <c r="N532" s="17" t="b">
        <v>1</v>
      </c>
      <c r="O532" s="17" t="b">
        <v>1</v>
      </c>
      <c r="P532" s="17" t="b">
        <v>1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1</v>
      </c>
      <c r="W532" s="11" t="s">
        <v>277</v>
      </c>
      <c r="X532" s="12" t="s">
        <v>14</v>
      </c>
      <c r="Y532" s="12" t="s">
        <v>14</v>
      </c>
      <c r="Z532" s="13" t="s">
        <v>261</v>
      </c>
    </row>
    <row r="533" spans="1:26" ht="19.95" customHeight="1" x14ac:dyDescent="0.3">
      <c r="A533" s="6">
        <v>45708</v>
      </c>
      <c r="B533" s="7" t="s">
        <v>578</v>
      </c>
      <c r="C533" s="8" t="s">
        <v>1267</v>
      </c>
      <c r="D533" s="8" t="s">
        <v>1279</v>
      </c>
      <c r="E533" s="8" t="s">
        <v>1278</v>
      </c>
      <c r="F533" s="9" t="s">
        <v>1181</v>
      </c>
      <c r="G533" s="9" t="s">
        <v>1182</v>
      </c>
      <c r="H533" s="9" t="s">
        <v>753</v>
      </c>
      <c r="I533" s="9" t="s">
        <v>66</v>
      </c>
      <c r="J533" s="10" t="s">
        <v>186</v>
      </c>
      <c r="K533" s="15" t="str">
        <f>VLOOKUP(J533,DADOS!$A$3:$B$100,2,FALSE)</f>
        <v>EE-GI-001-008</v>
      </c>
      <c r="L533" s="15" t="s">
        <v>303</v>
      </c>
      <c r="M533" s="18" t="b">
        <v>1</v>
      </c>
      <c r="N533" s="17" t="b">
        <v>1</v>
      </c>
      <c r="O533" s="17" t="b">
        <v>1</v>
      </c>
      <c r="P533" s="17" t="b">
        <v>1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1</v>
      </c>
      <c r="W533" s="11" t="s">
        <v>1279</v>
      </c>
      <c r="X533" s="12" t="s">
        <v>14</v>
      </c>
      <c r="Y533" s="12" t="s">
        <v>14</v>
      </c>
      <c r="Z533" s="13" t="s">
        <v>261</v>
      </c>
    </row>
    <row r="534" spans="1:26" ht="19.95" customHeight="1" x14ac:dyDescent="0.3">
      <c r="A534" s="6">
        <v>45708</v>
      </c>
      <c r="B534" s="7" t="s">
        <v>748</v>
      </c>
      <c r="C534" s="8" t="s">
        <v>1819</v>
      </c>
      <c r="D534" s="8" t="s">
        <v>458</v>
      </c>
      <c r="E534" s="8" t="s">
        <v>1820</v>
      </c>
      <c r="F534" s="9" t="s">
        <v>1821</v>
      </c>
      <c r="G534" s="9" t="s">
        <v>1623</v>
      </c>
      <c r="H534" s="9" t="s">
        <v>1822</v>
      </c>
      <c r="I534" s="9" t="s">
        <v>66</v>
      </c>
      <c r="J534" s="10" t="s">
        <v>241</v>
      </c>
      <c r="K534" s="15" t="str">
        <f>VLOOKUP(J534,DADOS!$A$3:$B$100,2,FALSE)</f>
        <v>EE-GI-221-048</v>
      </c>
      <c r="L534" s="15" t="s">
        <v>754</v>
      </c>
      <c r="M534" s="18" t="b">
        <v>1</v>
      </c>
      <c r="N534" s="17" t="b">
        <v>1</v>
      </c>
      <c r="O534" s="17" t="b">
        <v>1</v>
      </c>
      <c r="P534" s="17" t="b">
        <v>1</v>
      </c>
      <c r="Q534" s="17" t="b">
        <v>1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 t="s">
        <v>458</v>
      </c>
      <c r="X534" s="12" t="s">
        <v>14</v>
      </c>
      <c r="Y534" s="12" t="s">
        <v>14</v>
      </c>
      <c r="Z534" s="13" t="s">
        <v>355</v>
      </c>
    </row>
    <row r="535" spans="1:26" ht="19.95" customHeight="1" x14ac:dyDescent="0.3">
      <c r="A535" s="6">
        <v>45708</v>
      </c>
      <c r="B535" s="7" t="s">
        <v>2710</v>
      </c>
      <c r="C535" s="8" t="s">
        <v>873</v>
      </c>
      <c r="D535" s="8" t="s">
        <v>269</v>
      </c>
      <c r="E535" s="8" t="s">
        <v>874</v>
      </c>
      <c r="F535" s="9" t="s">
        <v>875</v>
      </c>
      <c r="G535" s="9" t="s">
        <v>876</v>
      </c>
      <c r="H535" s="9" t="s">
        <v>877</v>
      </c>
      <c r="I535" s="9" t="s">
        <v>69</v>
      </c>
      <c r="J535" s="10" t="s">
        <v>173</v>
      </c>
      <c r="K535" s="15" t="str">
        <f>VLOOKUP(J535,DADOS!$A$3:$B$100,2,FALSE)</f>
        <v>EE-GI-001-006</v>
      </c>
      <c r="L535" s="15" t="s">
        <v>260</v>
      </c>
      <c r="M535" s="18" t="b">
        <v>1</v>
      </c>
      <c r="N535" s="17" t="b">
        <v>1</v>
      </c>
      <c r="O535" s="17" t="b">
        <v>1</v>
      </c>
      <c r="P535" s="17" t="b">
        <v>1</v>
      </c>
      <c r="Q535" s="17" t="b">
        <v>0</v>
      </c>
      <c r="R535" s="17" t="b">
        <v>1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 t="s">
        <v>269</v>
      </c>
      <c r="X535" s="12" t="s">
        <v>14</v>
      </c>
      <c r="Y535" s="12" t="s">
        <v>14</v>
      </c>
      <c r="Z535" s="13" t="s">
        <v>261</v>
      </c>
    </row>
    <row r="536" spans="1:26" ht="19.95" customHeight="1" x14ac:dyDescent="0.3">
      <c r="A536" s="6">
        <v>45708</v>
      </c>
      <c r="B536" s="7" t="s">
        <v>2710</v>
      </c>
      <c r="C536" s="8" t="s">
        <v>880</v>
      </c>
      <c r="D536" s="8" t="s">
        <v>269</v>
      </c>
      <c r="E536" s="8" t="s">
        <v>874</v>
      </c>
      <c r="F536" s="9" t="s">
        <v>879</v>
      </c>
      <c r="G536" s="9" t="s">
        <v>878</v>
      </c>
      <c r="H536" s="9" t="s">
        <v>877</v>
      </c>
      <c r="I536" s="9" t="s">
        <v>70</v>
      </c>
      <c r="J536" s="10" t="s">
        <v>173</v>
      </c>
      <c r="K536" s="15" t="str">
        <f>VLOOKUP(J536,DADOS!$A$3:$B$100,2,FALSE)</f>
        <v>EE-GI-001-006</v>
      </c>
      <c r="L536" s="15" t="s">
        <v>260</v>
      </c>
      <c r="M536" s="18" t="b">
        <v>1</v>
      </c>
      <c r="N536" s="17" t="b">
        <v>1</v>
      </c>
      <c r="O536" s="17" t="b">
        <v>1</v>
      </c>
      <c r="P536" s="17" t="b">
        <v>1</v>
      </c>
      <c r="Q536" s="17" t="b">
        <v>0</v>
      </c>
      <c r="R536" s="17" t="b">
        <v>1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 t="s">
        <v>269</v>
      </c>
      <c r="X536" s="12" t="s">
        <v>14</v>
      </c>
      <c r="Y536" s="12" t="s">
        <v>14</v>
      </c>
      <c r="Z536" s="13" t="s">
        <v>261</v>
      </c>
    </row>
    <row r="537" spans="1:26" ht="19.95" customHeight="1" x14ac:dyDescent="0.3">
      <c r="A537" s="6">
        <v>45708</v>
      </c>
      <c r="B537" s="7" t="s">
        <v>2710</v>
      </c>
      <c r="C537" s="8" t="s">
        <v>881</v>
      </c>
      <c r="D537" s="8" t="s">
        <v>269</v>
      </c>
      <c r="E537" s="8" t="s">
        <v>883</v>
      </c>
      <c r="F537" s="9" t="s">
        <v>884</v>
      </c>
      <c r="G537" s="9" t="s">
        <v>887</v>
      </c>
      <c r="H537" s="9" t="s">
        <v>889</v>
      </c>
      <c r="I537" s="9" t="s">
        <v>65</v>
      </c>
      <c r="J537" s="10" t="s">
        <v>181</v>
      </c>
      <c r="K537" s="15" t="str">
        <f>VLOOKUP(J537,DADOS!$A$3:$B$100,2,FALSE)</f>
        <v>EE-GI-001-023</v>
      </c>
      <c r="L537" s="15" t="s">
        <v>814</v>
      </c>
      <c r="M537" s="18" t="b">
        <v>1</v>
      </c>
      <c r="N537" s="17" t="b">
        <v>1</v>
      </c>
      <c r="O537" s="17" t="b">
        <v>1</v>
      </c>
      <c r="P537" s="17" t="b">
        <v>1</v>
      </c>
      <c r="Q537" s="17" t="b">
        <v>0</v>
      </c>
      <c r="R537" s="17" t="b">
        <v>1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 t="s">
        <v>269</v>
      </c>
      <c r="X537" s="12" t="s">
        <v>14</v>
      </c>
      <c r="Y537" s="12" t="s">
        <v>14</v>
      </c>
      <c r="Z537" s="13" t="s">
        <v>261</v>
      </c>
    </row>
    <row r="538" spans="1:26" ht="19.95" customHeight="1" x14ac:dyDescent="0.3">
      <c r="A538" s="6">
        <v>45708</v>
      </c>
      <c r="B538" s="7" t="s">
        <v>2710</v>
      </c>
      <c r="C538" s="8" t="s">
        <v>881</v>
      </c>
      <c r="D538" s="8" t="s">
        <v>364</v>
      </c>
      <c r="E538" s="8" t="s">
        <v>883</v>
      </c>
      <c r="F538" s="9" t="s">
        <v>885</v>
      </c>
      <c r="G538" s="9" t="s">
        <v>887</v>
      </c>
      <c r="H538" s="9" t="s">
        <v>889</v>
      </c>
      <c r="I538" s="9" t="s">
        <v>65</v>
      </c>
      <c r="J538" s="10" t="s">
        <v>181</v>
      </c>
      <c r="K538" s="15" t="str">
        <f>VLOOKUP(J538,DADOS!$A$3:$B$100,2,FALSE)</f>
        <v>EE-GI-001-023</v>
      </c>
      <c r="L538" s="15" t="s">
        <v>814</v>
      </c>
      <c r="M538" s="18" t="b">
        <v>1</v>
      </c>
      <c r="N538" s="17" t="b">
        <v>1</v>
      </c>
      <c r="O538" s="17" t="b">
        <v>1</v>
      </c>
      <c r="P538" s="17" t="b">
        <v>1</v>
      </c>
      <c r="Q538" s="17" t="b">
        <v>0</v>
      </c>
      <c r="R538" s="17" t="b">
        <v>1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 t="s">
        <v>364</v>
      </c>
      <c r="X538" s="12" t="s">
        <v>14</v>
      </c>
      <c r="Y538" s="12" t="s">
        <v>14</v>
      </c>
      <c r="Z538" s="13" t="s">
        <v>261</v>
      </c>
    </row>
    <row r="539" spans="1:26" ht="19.95" customHeight="1" x14ac:dyDescent="0.3">
      <c r="A539" s="6">
        <v>45708</v>
      </c>
      <c r="B539" s="7" t="s">
        <v>2710</v>
      </c>
      <c r="C539" s="8" t="s">
        <v>882</v>
      </c>
      <c r="D539" s="8" t="s">
        <v>373</v>
      </c>
      <c r="E539" s="8" t="s">
        <v>883</v>
      </c>
      <c r="F539" s="9" t="s">
        <v>886</v>
      </c>
      <c r="G539" s="9" t="s">
        <v>888</v>
      </c>
      <c r="H539" s="9" t="s">
        <v>889</v>
      </c>
      <c r="I539" s="9" t="s">
        <v>65</v>
      </c>
      <c r="J539" s="10" t="s">
        <v>181</v>
      </c>
      <c r="K539" s="15" t="str">
        <f>VLOOKUP(J539,DADOS!$A$3:$B$100,2,FALSE)</f>
        <v>EE-GI-001-023</v>
      </c>
      <c r="L539" s="15" t="s">
        <v>814</v>
      </c>
      <c r="M539" s="18" t="b">
        <v>1</v>
      </c>
      <c r="N539" s="17" t="b">
        <v>1</v>
      </c>
      <c r="O539" s="17" t="b">
        <v>1</v>
      </c>
      <c r="P539" s="17" t="b">
        <v>1</v>
      </c>
      <c r="Q539" s="17" t="b">
        <v>0</v>
      </c>
      <c r="R539" s="17" t="b">
        <v>1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 t="s">
        <v>373</v>
      </c>
      <c r="X539" s="12" t="s">
        <v>14</v>
      </c>
      <c r="Y539" s="12" t="s">
        <v>14</v>
      </c>
      <c r="Z539" s="13" t="s">
        <v>261</v>
      </c>
    </row>
    <row r="540" spans="1:26" ht="19.95" customHeight="1" x14ac:dyDescent="0.3">
      <c r="A540" s="6">
        <v>45708</v>
      </c>
      <c r="B540" s="7" t="s">
        <v>832</v>
      </c>
      <c r="C540" s="8" t="s">
        <v>903</v>
      </c>
      <c r="D540" s="8" t="s">
        <v>269</v>
      </c>
      <c r="E540" s="8" t="s">
        <v>904</v>
      </c>
      <c r="F540" s="9" t="s">
        <v>905</v>
      </c>
      <c r="G540" s="9" t="s">
        <v>909</v>
      </c>
      <c r="H540" s="9" t="s">
        <v>915</v>
      </c>
      <c r="I540" s="9" t="s">
        <v>69</v>
      </c>
      <c r="J540" s="10" t="s">
        <v>17</v>
      </c>
      <c r="K540" s="15" t="str">
        <f>VLOOKUP(J540,DADOS!$A$3:$B$100,2,FALSE)</f>
        <v>EE-GI-001-001</v>
      </c>
      <c r="L540" s="15" t="s">
        <v>260</v>
      </c>
      <c r="M540" s="18" t="b">
        <v>1</v>
      </c>
      <c r="N540" s="17" t="b">
        <v>1</v>
      </c>
      <c r="O540" s="17" t="b">
        <v>1</v>
      </c>
      <c r="P540" s="17" t="b">
        <v>1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 t="s">
        <v>269</v>
      </c>
      <c r="X540" s="12" t="s">
        <v>14</v>
      </c>
      <c r="Y540" s="12" t="s">
        <v>14</v>
      </c>
      <c r="Z540" s="13" t="s">
        <v>261</v>
      </c>
    </row>
    <row r="541" spans="1:26" ht="19.95" customHeight="1" x14ac:dyDescent="0.3">
      <c r="A541" s="6">
        <v>45708</v>
      </c>
      <c r="B541" s="7" t="s">
        <v>832</v>
      </c>
      <c r="C541" s="8" t="s">
        <v>903</v>
      </c>
      <c r="D541" s="8" t="s">
        <v>269</v>
      </c>
      <c r="E541" s="8" t="s">
        <v>904</v>
      </c>
      <c r="F541" s="9" t="s">
        <v>906</v>
      </c>
      <c r="G541" s="9" t="s">
        <v>909</v>
      </c>
      <c r="H541" s="9" t="s">
        <v>915</v>
      </c>
      <c r="I541" s="9" t="s">
        <v>69</v>
      </c>
      <c r="J541" s="10" t="s">
        <v>17</v>
      </c>
      <c r="K541" s="15" t="str">
        <f>VLOOKUP(J541,DADOS!$A$3:$B$100,2,FALSE)</f>
        <v>EE-GI-001-001</v>
      </c>
      <c r="L541" s="15" t="s">
        <v>260</v>
      </c>
      <c r="M541" s="18" t="b">
        <v>1</v>
      </c>
      <c r="N541" s="17" t="b">
        <v>1</v>
      </c>
      <c r="O541" s="17" t="b">
        <v>1</v>
      </c>
      <c r="P541" s="17" t="b">
        <v>1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 t="s">
        <v>269</v>
      </c>
      <c r="X541" s="12" t="s">
        <v>14</v>
      </c>
      <c r="Y541" s="12" t="s">
        <v>14</v>
      </c>
      <c r="Z541" s="13" t="s">
        <v>261</v>
      </c>
    </row>
    <row r="542" spans="1:26" ht="19.95" customHeight="1" x14ac:dyDescent="0.3">
      <c r="A542" s="6">
        <v>45708</v>
      </c>
      <c r="B542" s="7" t="s">
        <v>832</v>
      </c>
      <c r="C542" s="8" t="s">
        <v>903</v>
      </c>
      <c r="D542" s="8" t="s">
        <v>269</v>
      </c>
      <c r="E542" s="8" t="s">
        <v>904</v>
      </c>
      <c r="F542" s="9" t="s">
        <v>907</v>
      </c>
      <c r="G542" s="9" t="s">
        <v>909</v>
      </c>
      <c r="H542" s="9" t="s">
        <v>915</v>
      </c>
      <c r="I542" s="9" t="s">
        <v>69</v>
      </c>
      <c r="J542" s="10" t="s">
        <v>17</v>
      </c>
      <c r="K542" s="15" t="str">
        <f>VLOOKUP(J542,DADOS!$A$3:$B$100,2,FALSE)</f>
        <v>EE-GI-001-001</v>
      </c>
      <c r="L542" s="15" t="s">
        <v>260</v>
      </c>
      <c r="M542" s="18" t="b">
        <v>1</v>
      </c>
      <c r="N542" s="17" t="b">
        <v>1</v>
      </c>
      <c r="O542" s="17" t="b">
        <v>1</v>
      </c>
      <c r="P542" s="17" t="b">
        <v>1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 t="s">
        <v>269</v>
      </c>
      <c r="X542" s="12" t="s">
        <v>14</v>
      </c>
      <c r="Y542" s="12" t="s">
        <v>14</v>
      </c>
      <c r="Z542" s="13" t="s">
        <v>261</v>
      </c>
    </row>
    <row r="543" spans="1:26" ht="19.95" customHeight="1" x14ac:dyDescent="0.3">
      <c r="A543" s="6">
        <v>45708</v>
      </c>
      <c r="B543" s="7" t="s">
        <v>832</v>
      </c>
      <c r="C543" s="8" t="s">
        <v>903</v>
      </c>
      <c r="D543" s="8" t="s">
        <v>269</v>
      </c>
      <c r="E543" s="8" t="s">
        <v>904</v>
      </c>
      <c r="F543" s="9" t="s">
        <v>908</v>
      </c>
      <c r="G543" s="9" t="s">
        <v>909</v>
      </c>
      <c r="H543" s="9" t="s">
        <v>915</v>
      </c>
      <c r="I543" s="9" t="s">
        <v>69</v>
      </c>
      <c r="J543" s="10" t="s">
        <v>17</v>
      </c>
      <c r="K543" s="15" t="str">
        <f>VLOOKUP(J543,DADOS!$A$3:$B$100,2,FALSE)</f>
        <v>EE-GI-001-001</v>
      </c>
      <c r="L543" s="15" t="s">
        <v>260</v>
      </c>
      <c r="M543" s="18" t="b">
        <v>1</v>
      </c>
      <c r="N543" s="17" t="b">
        <v>1</v>
      </c>
      <c r="O543" s="17" t="b">
        <v>1</v>
      </c>
      <c r="P543" s="17" t="b">
        <v>1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 t="s">
        <v>269</v>
      </c>
      <c r="X543" s="12" t="s">
        <v>14</v>
      </c>
      <c r="Y543" s="12" t="s">
        <v>14</v>
      </c>
      <c r="Z543" s="13" t="s">
        <v>261</v>
      </c>
    </row>
    <row r="544" spans="1:26" ht="19.95" customHeight="1" x14ac:dyDescent="0.3">
      <c r="A544" s="6">
        <v>45708</v>
      </c>
      <c r="B544" s="7" t="s">
        <v>910</v>
      </c>
      <c r="C544" s="8" t="s">
        <v>911</v>
      </c>
      <c r="D544" s="8" t="s">
        <v>269</v>
      </c>
      <c r="E544" s="8" t="s">
        <v>912</v>
      </c>
      <c r="F544" s="9" t="s">
        <v>913</v>
      </c>
      <c r="G544" s="9" t="s">
        <v>914</v>
      </c>
      <c r="H544" s="9" t="s">
        <v>1086</v>
      </c>
      <c r="I544" s="9" t="s">
        <v>68</v>
      </c>
      <c r="J544" s="10" t="s">
        <v>186</v>
      </c>
      <c r="K544" s="15" t="str">
        <f>VLOOKUP(J544,DADOS!$A$3:$B$100,2,FALSE)</f>
        <v>EE-GI-001-008</v>
      </c>
      <c r="L544" s="15" t="s">
        <v>303</v>
      </c>
      <c r="M544" s="18" t="b">
        <v>1</v>
      </c>
      <c r="N544" s="17" t="b">
        <v>1</v>
      </c>
      <c r="O544" s="17" t="b">
        <v>1</v>
      </c>
      <c r="P544" s="17" t="b">
        <v>1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 t="s">
        <v>269</v>
      </c>
      <c r="X544" s="12" t="s">
        <v>14</v>
      </c>
      <c r="Y544" s="12" t="s">
        <v>14</v>
      </c>
      <c r="Z544" s="13" t="s">
        <v>261</v>
      </c>
    </row>
    <row r="545" spans="1:26" ht="19.95" customHeight="1" x14ac:dyDescent="0.3">
      <c r="A545" s="6">
        <v>45708</v>
      </c>
      <c r="B545" s="7" t="s">
        <v>339</v>
      </c>
      <c r="C545" s="8" t="s">
        <v>1030</v>
      </c>
      <c r="D545" s="8" t="s">
        <v>269</v>
      </c>
      <c r="E545" s="8" t="s">
        <v>1031</v>
      </c>
      <c r="F545" s="9" t="s">
        <v>1032</v>
      </c>
      <c r="G545" s="9" t="s">
        <v>1034</v>
      </c>
      <c r="H545" s="9" t="s">
        <v>14</v>
      </c>
      <c r="I545" s="9" t="s">
        <v>66</v>
      </c>
      <c r="J545" s="10" t="s">
        <v>185</v>
      </c>
      <c r="K545" s="15" t="str">
        <f>VLOOKUP(J545,DADOS!$A$3:$B$100,2,FALSE)</f>
        <v>EE-GI-001-031</v>
      </c>
      <c r="L545" s="15" t="s">
        <v>260</v>
      </c>
      <c r="M545" s="18" t="b">
        <v>1</v>
      </c>
      <c r="N545" s="17" t="b">
        <v>1</v>
      </c>
      <c r="O545" s="17" t="b">
        <v>1</v>
      </c>
      <c r="P545" s="17" t="b">
        <v>1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1</v>
      </c>
      <c r="W545" s="11" t="s">
        <v>269</v>
      </c>
      <c r="X545" s="12" t="s">
        <v>14</v>
      </c>
      <c r="Y545" s="12" t="s">
        <v>14</v>
      </c>
      <c r="Z545" s="13" t="s">
        <v>261</v>
      </c>
    </row>
    <row r="546" spans="1:26" ht="19.95" customHeight="1" x14ac:dyDescent="0.3">
      <c r="A546" s="6">
        <v>45708</v>
      </c>
      <c r="B546" s="7" t="s">
        <v>339</v>
      </c>
      <c r="C546" s="8" t="s">
        <v>1030</v>
      </c>
      <c r="D546" s="8" t="s">
        <v>364</v>
      </c>
      <c r="E546" s="8" t="s">
        <v>1031</v>
      </c>
      <c r="F546" s="9" t="s">
        <v>1033</v>
      </c>
      <c r="G546" s="9" t="s">
        <v>1035</v>
      </c>
      <c r="H546" s="9" t="s">
        <v>14</v>
      </c>
      <c r="I546" s="9" t="s">
        <v>66</v>
      </c>
      <c r="J546" s="10" t="s">
        <v>185</v>
      </c>
      <c r="K546" s="15" t="str">
        <f>VLOOKUP(J546,DADOS!$A$3:$B$100,2,FALSE)</f>
        <v>EE-GI-001-031</v>
      </c>
      <c r="L546" s="15" t="s">
        <v>260</v>
      </c>
      <c r="M546" s="18" t="b">
        <v>1</v>
      </c>
      <c r="N546" s="17" t="b">
        <v>1</v>
      </c>
      <c r="O546" s="17" t="b">
        <v>1</v>
      </c>
      <c r="P546" s="17" t="b">
        <v>1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1</v>
      </c>
      <c r="W546" s="11" t="s">
        <v>364</v>
      </c>
      <c r="X546" s="12" t="s">
        <v>14</v>
      </c>
      <c r="Y546" s="12" t="s">
        <v>14</v>
      </c>
      <c r="Z546" s="13" t="s">
        <v>261</v>
      </c>
    </row>
    <row r="547" spans="1:26" ht="19.95" customHeight="1" x14ac:dyDescent="0.3">
      <c r="A547" s="6">
        <v>45708</v>
      </c>
      <c r="B547" s="7" t="s">
        <v>339</v>
      </c>
      <c r="C547" s="8" t="s">
        <v>2394</v>
      </c>
      <c r="D547" s="8" t="s">
        <v>281</v>
      </c>
      <c r="E547" s="8" t="s">
        <v>1031</v>
      </c>
      <c r="F547" s="9" t="s">
        <v>2395</v>
      </c>
      <c r="G547" s="9" t="s">
        <v>2396</v>
      </c>
      <c r="H547" s="9" t="s">
        <v>14</v>
      </c>
      <c r="I547" s="9" t="s">
        <v>66</v>
      </c>
      <c r="J547" s="10" t="s">
        <v>185</v>
      </c>
      <c r="K547" s="15" t="str">
        <f>VLOOKUP(J547,DADOS!$A$3:$B$100,2,FALSE)</f>
        <v>EE-GI-001-031</v>
      </c>
      <c r="L547" s="15" t="s">
        <v>1955</v>
      </c>
      <c r="M547" s="18" t="b">
        <v>1</v>
      </c>
      <c r="N547" s="17" t="b">
        <v>1</v>
      </c>
      <c r="O547" s="17" t="b">
        <v>1</v>
      </c>
      <c r="P547" s="17" t="b">
        <v>1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1</v>
      </c>
      <c r="W547" s="11" t="s">
        <v>281</v>
      </c>
      <c r="X547" s="12" t="s">
        <v>14</v>
      </c>
      <c r="Y547" s="12" t="s">
        <v>14</v>
      </c>
      <c r="Z547" s="13" t="s">
        <v>355</v>
      </c>
    </row>
    <row r="548" spans="1:26" ht="19.95" customHeight="1" x14ac:dyDescent="0.3">
      <c r="A548" s="6">
        <v>45708</v>
      </c>
      <c r="B548" s="7" t="s">
        <v>339</v>
      </c>
      <c r="C548" s="8" t="s">
        <v>1133</v>
      </c>
      <c r="D548" s="8" t="s">
        <v>1427</v>
      </c>
      <c r="E548" s="8" t="s">
        <v>1031</v>
      </c>
      <c r="F548" s="9" t="s">
        <v>2397</v>
      </c>
      <c r="G548" s="9" t="s">
        <v>2398</v>
      </c>
      <c r="H548" s="9" t="s">
        <v>14</v>
      </c>
      <c r="I548" s="9" t="s">
        <v>66</v>
      </c>
      <c r="J548" s="10" t="s">
        <v>186</v>
      </c>
      <c r="K548" s="15" t="str">
        <f>VLOOKUP(J548,DADOS!$A$3:$B$100,2,FALSE)</f>
        <v>EE-GI-001-008</v>
      </c>
      <c r="L548" s="15" t="s">
        <v>260</v>
      </c>
      <c r="M548" s="18" t="b">
        <v>1</v>
      </c>
      <c r="N548" s="17" t="b">
        <v>1</v>
      </c>
      <c r="O548" s="17" t="b">
        <v>1</v>
      </c>
      <c r="P548" s="17" t="b">
        <v>1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1</v>
      </c>
      <c r="W548" s="11" t="s">
        <v>1427</v>
      </c>
      <c r="X548" s="12" t="s">
        <v>14</v>
      </c>
      <c r="Y548" s="12" t="s">
        <v>14</v>
      </c>
      <c r="Z548" s="13" t="s">
        <v>355</v>
      </c>
    </row>
    <row r="549" spans="1:26" ht="19.95" customHeight="1" x14ac:dyDescent="0.3">
      <c r="A549" s="6">
        <v>45708</v>
      </c>
      <c r="B549" s="7" t="s">
        <v>339</v>
      </c>
      <c r="C549" s="8" t="s">
        <v>1133</v>
      </c>
      <c r="D549" s="8" t="s">
        <v>458</v>
      </c>
      <c r="E549" s="8" t="s">
        <v>1031</v>
      </c>
      <c r="F549" s="9" t="s">
        <v>2327</v>
      </c>
      <c r="G549" s="9" t="s">
        <v>2399</v>
      </c>
      <c r="H549" s="9" t="s">
        <v>14</v>
      </c>
      <c r="I549" s="9" t="s">
        <v>66</v>
      </c>
      <c r="J549" s="10" t="s">
        <v>186</v>
      </c>
      <c r="K549" s="15" t="str">
        <f>VLOOKUP(J549,DADOS!$A$3:$B$100,2,FALSE)</f>
        <v>EE-GI-001-008</v>
      </c>
      <c r="L549" s="15" t="s">
        <v>260</v>
      </c>
      <c r="M549" s="18" t="b">
        <v>1</v>
      </c>
      <c r="N549" s="17" t="b">
        <v>1</v>
      </c>
      <c r="O549" s="17" t="b">
        <v>1</v>
      </c>
      <c r="P549" s="17" t="b">
        <v>1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1</v>
      </c>
      <c r="W549" s="11" t="s">
        <v>458</v>
      </c>
      <c r="X549" s="12" t="s">
        <v>14</v>
      </c>
      <c r="Y549" s="12" t="s">
        <v>14</v>
      </c>
      <c r="Z549" s="13" t="s">
        <v>355</v>
      </c>
    </row>
    <row r="550" spans="1:26" ht="19.95" customHeight="1" x14ac:dyDescent="0.3">
      <c r="A550" s="6">
        <v>45708</v>
      </c>
      <c r="B550" s="7" t="s">
        <v>254</v>
      </c>
      <c r="C550" s="8" t="s">
        <v>1492</v>
      </c>
      <c r="D550" s="8" t="s">
        <v>269</v>
      </c>
      <c r="E550" s="8" t="s">
        <v>1493</v>
      </c>
      <c r="F550" s="9" t="s">
        <v>1494</v>
      </c>
      <c r="G550" s="9" t="s">
        <v>643</v>
      </c>
      <c r="H550" s="9" t="s">
        <v>1495</v>
      </c>
      <c r="I550" s="9" t="s">
        <v>90</v>
      </c>
      <c r="J550" s="10" t="s">
        <v>15</v>
      </c>
      <c r="K550" s="15" t="str">
        <f>VLOOKUP(J550,DADOS!$A$3:$B$100,2,FALSE)</f>
        <v>EE-GI-001-002</v>
      </c>
      <c r="L550" s="15" t="s">
        <v>323</v>
      </c>
      <c r="M550" s="18" t="b">
        <v>1</v>
      </c>
      <c r="N550" s="17" t="b">
        <v>1</v>
      </c>
      <c r="O550" s="17" t="b">
        <v>1</v>
      </c>
      <c r="P550" s="17" t="b">
        <v>1</v>
      </c>
      <c r="Q550" s="17" t="b">
        <v>0</v>
      </c>
      <c r="R550" s="17" t="b">
        <v>1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 t="s">
        <v>269</v>
      </c>
      <c r="X550" s="12" t="s">
        <v>14</v>
      </c>
      <c r="Y550" s="12" t="s">
        <v>14</v>
      </c>
      <c r="Z550" s="13" t="s">
        <v>261</v>
      </c>
    </row>
    <row r="551" spans="1:26" ht="19.95" customHeight="1" x14ac:dyDescent="0.3">
      <c r="A551" s="6">
        <v>45708</v>
      </c>
      <c r="B551" s="7" t="s">
        <v>254</v>
      </c>
      <c r="C551" s="8" t="s">
        <v>660</v>
      </c>
      <c r="D551" s="8" t="s">
        <v>603</v>
      </c>
      <c r="E551" s="8" t="s">
        <v>1496</v>
      </c>
      <c r="F551" s="9" t="s">
        <v>662</v>
      </c>
      <c r="G551" s="9" t="s">
        <v>265</v>
      </c>
      <c r="H551" s="9" t="s">
        <v>1497</v>
      </c>
      <c r="I551" s="9" t="s">
        <v>66</v>
      </c>
      <c r="J551" s="10" t="s">
        <v>15</v>
      </c>
      <c r="K551" s="15" t="str">
        <f>VLOOKUP(J551,DADOS!$A$3:$B$100,2,FALSE)</f>
        <v>EE-GI-001-002</v>
      </c>
      <c r="L551" s="15" t="s">
        <v>260</v>
      </c>
      <c r="M551" s="18" t="b">
        <v>1</v>
      </c>
      <c r="N551" s="17" t="b">
        <v>1</v>
      </c>
      <c r="O551" s="17" t="b">
        <v>1</v>
      </c>
      <c r="P551" s="17" t="b">
        <v>1</v>
      </c>
      <c r="Q551" s="17" t="b">
        <v>0</v>
      </c>
      <c r="R551" s="17" t="b">
        <v>1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 t="s">
        <v>603</v>
      </c>
      <c r="X551" s="12" t="s">
        <v>14</v>
      </c>
      <c r="Y551" s="12" t="s">
        <v>14</v>
      </c>
      <c r="Z551" s="13" t="s">
        <v>261</v>
      </c>
    </row>
    <row r="552" spans="1:26" ht="19.95" customHeight="1" x14ac:dyDescent="0.3">
      <c r="A552" s="6">
        <v>45708</v>
      </c>
      <c r="B552" s="7" t="s">
        <v>254</v>
      </c>
      <c r="C552" s="8" t="s">
        <v>1498</v>
      </c>
      <c r="D552" s="8" t="s">
        <v>269</v>
      </c>
      <c r="E552" s="8" t="s">
        <v>1499</v>
      </c>
      <c r="F552" s="9" t="s">
        <v>1500</v>
      </c>
      <c r="G552" s="9" t="s">
        <v>778</v>
      </c>
      <c r="H552" s="9" t="s">
        <v>1501</v>
      </c>
      <c r="I552" s="9" t="s">
        <v>69</v>
      </c>
      <c r="J552" s="10" t="s">
        <v>17</v>
      </c>
      <c r="K552" s="15" t="str">
        <f>VLOOKUP(J552,DADOS!$A$3:$B$100,2,FALSE)</f>
        <v>EE-GI-001-001</v>
      </c>
      <c r="L552" s="15" t="s">
        <v>303</v>
      </c>
      <c r="M552" s="18" t="b">
        <v>1</v>
      </c>
      <c r="N552" s="17" t="b">
        <v>1</v>
      </c>
      <c r="O552" s="17" t="b">
        <v>1</v>
      </c>
      <c r="P552" s="17" t="b">
        <v>1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 t="s">
        <v>269</v>
      </c>
      <c r="X552" s="12" t="s">
        <v>14</v>
      </c>
      <c r="Y552" s="12" t="s">
        <v>14</v>
      </c>
      <c r="Z552" s="13" t="s">
        <v>261</v>
      </c>
    </row>
    <row r="553" spans="1:26" ht="19.95" customHeight="1" x14ac:dyDescent="0.3">
      <c r="A553" s="6">
        <v>45708</v>
      </c>
      <c r="B553" s="7" t="s">
        <v>254</v>
      </c>
      <c r="C553" s="8" t="s">
        <v>1502</v>
      </c>
      <c r="D553" s="8" t="s">
        <v>269</v>
      </c>
      <c r="E553" s="8" t="s">
        <v>1503</v>
      </c>
      <c r="F553" s="9" t="s">
        <v>1504</v>
      </c>
      <c r="G553" s="9" t="s">
        <v>258</v>
      </c>
      <c r="H553" s="9" t="s">
        <v>1508</v>
      </c>
      <c r="I553" s="9" t="s">
        <v>69</v>
      </c>
      <c r="J553" s="10" t="s">
        <v>15</v>
      </c>
      <c r="K553" s="15" t="str">
        <f>VLOOKUP(J553,DADOS!$A$3:$B$100,2,FALSE)</f>
        <v>EE-GI-001-002</v>
      </c>
      <c r="L553" s="15" t="s">
        <v>260</v>
      </c>
      <c r="M553" s="18" t="b">
        <v>1</v>
      </c>
      <c r="N553" s="17" t="b">
        <v>1</v>
      </c>
      <c r="O553" s="17" t="b">
        <v>1</v>
      </c>
      <c r="P553" s="17" t="b">
        <v>1</v>
      </c>
      <c r="Q553" s="17" t="b">
        <v>0</v>
      </c>
      <c r="R553" s="17" t="b">
        <v>1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 t="s">
        <v>269</v>
      </c>
      <c r="X553" s="12" t="s">
        <v>14</v>
      </c>
      <c r="Y553" s="12" t="s">
        <v>14</v>
      </c>
      <c r="Z553" s="13" t="s">
        <v>261</v>
      </c>
    </row>
    <row r="554" spans="1:26" ht="19.95" customHeight="1" x14ac:dyDescent="0.3">
      <c r="A554" s="6">
        <v>45708</v>
      </c>
      <c r="B554" s="7" t="s">
        <v>254</v>
      </c>
      <c r="C554" s="8" t="s">
        <v>1502</v>
      </c>
      <c r="D554" s="8" t="s">
        <v>269</v>
      </c>
      <c r="E554" s="8" t="s">
        <v>1503</v>
      </c>
      <c r="F554" s="9" t="s">
        <v>1505</v>
      </c>
      <c r="G554" s="9" t="s">
        <v>258</v>
      </c>
      <c r="H554" s="9" t="s">
        <v>1508</v>
      </c>
      <c r="I554" s="9" t="s">
        <v>69</v>
      </c>
      <c r="J554" s="10" t="s">
        <v>15</v>
      </c>
      <c r="K554" s="15" t="str">
        <f>VLOOKUP(J554,DADOS!$A$3:$B$100,2,FALSE)</f>
        <v>EE-GI-001-002</v>
      </c>
      <c r="L554" s="15" t="s">
        <v>260</v>
      </c>
      <c r="M554" s="18" t="b">
        <v>1</v>
      </c>
      <c r="N554" s="17" t="b">
        <v>1</v>
      </c>
      <c r="O554" s="17" t="b">
        <v>1</v>
      </c>
      <c r="P554" s="17" t="b">
        <v>1</v>
      </c>
      <c r="Q554" s="17" t="b">
        <v>0</v>
      </c>
      <c r="R554" s="17" t="b">
        <v>1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 t="s">
        <v>269</v>
      </c>
      <c r="X554" s="12" t="s">
        <v>14</v>
      </c>
      <c r="Y554" s="12" t="s">
        <v>14</v>
      </c>
      <c r="Z554" s="13" t="s">
        <v>261</v>
      </c>
    </row>
    <row r="555" spans="1:26" ht="19.95" customHeight="1" x14ac:dyDescent="0.3">
      <c r="A555" s="6">
        <v>45708</v>
      </c>
      <c r="B555" s="7" t="s">
        <v>254</v>
      </c>
      <c r="C555" s="8" t="s">
        <v>1502</v>
      </c>
      <c r="D555" s="8" t="s">
        <v>269</v>
      </c>
      <c r="E555" s="8" t="s">
        <v>1503</v>
      </c>
      <c r="F555" s="9" t="s">
        <v>1506</v>
      </c>
      <c r="G555" s="9" t="s">
        <v>258</v>
      </c>
      <c r="H555" s="9" t="s">
        <v>1508</v>
      </c>
      <c r="I555" s="9" t="s">
        <v>69</v>
      </c>
      <c r="J555" s="10" t="s">
        <v>15</v>
      </c>
      <c r="K555" s="15" t="str">
        <f>VLOOKUP(J555,DADOS!$A$3:$B$100,2,FALSE)</f>
        <v>EE-GI-001-002</v>
      </c>
      <c r="L555" s="15" t="s">
        <v>260</v>
      </c>
      <c r="M555" s="18" t="b">
        <v>1</v>
      </c>
      <c r="N555" s="17" t="b">
        <v>1</v>
      </c>
      <c r="O555" s="17" t="b">
        <v>1</v>
      </c>
      <c r="P555" s="17" t="b">
        <v>1</v>
      </c>
      <c r="Q555" s="17" t="b">
        <v>0</v>
      </c>
      <c r="R555" s="17" t="b">
        <v>1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 t="s">
        <v>269</v>
      </c>
      <c r="X555" s="12" t="s">
        <v>14</v>
      </c>
      <c r="Y555" s="12" t="s">
        <v>14</v>
      </c>
      <c r="Z555" s="13" t="s">
        <v>261</v>
      </c>
    </row>
    <row r="556" spans="1:26" ht="19.95" customHeight="1" x14ac:dyDescent="0.3">
      <c r="A556" s="6">
        <v>45708</v>
      </c>
      <c r="B556" s="7" t="s">
        <v>254</v>
      </c>
      <c r="C556" s="8" t="s">
        <v>1502</v>
      </c>
      <c r="D556" s="8" t="s">
        <v>281</v>
      </c>
      <c r="E556" s="8" t="s">
        <v>1503</v>
      </c>
      <c r="F556" s="9" t="s">
        <v>1507</v>
      </c>
      <c r="G556" s="9" t="s">
        <v>258</v>
      </c>
      <c r="H556" s="9" t="s">
        <v>1508</v>
      </c>
      <c r="I556" s="9" t="s">
        <v>69</v>
      </c>
      <c r="J556" s="10" t="s">
        <v>15</v>
      </c>
      <c r="K556" s="15" t="str">
        <f>VLOOKUP(J556,DADOS!$A$3:$B$100,2,FALSE)</f>
        <v>EE-GI-001-002</v>
      </c>
      <c r="L556" s="15" t="s">
        <v>260</v>
      </c>
      <c r="M556" s="18" t="b">
        <v>1</v>
      </c>
      <c r="N556" s="17" t="b">
        <v>1</v>
      </c>
      <c r="O556" s="17" t="b">
        <v>1</v>
      </c>
      <c r="P556" s="17" t="b">
        <v>1</v>
      </c>
      <c r="Q556" s="17" t="b">
        <v>0</v>
      </c>
      <c r="R556" s="17" t="b">
        <v>1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 t="s">
        <v>281</v>
      </c>
      <c r="X556" s="12" t="s">
        <v>14</v>
      </c>
      <c r="Y556" s="12" t="s">
        <v>14</v>
      </c>
      <c r="Z556" s="13" t="s">
        <v>261</v>
      </c>
    </row>
    <row r="557" spans="1:26" ht="19.95" customHeight="1" x14ac:dyDescent="0.3">
      <c r="A557" s="6">
        <v>45708</v>
      </c>
      <c r="B557" s="7" t="s">
        <v>254</v>
      </c>
      <c r="C557" s="8" t="s">
        <v>255</v>
      </c>
      <c r="D557" s="8" t="s">
        <v>287</v>
      </c>
      <c r="E557" s="8" t="s">
        <v>1509</v>
      </c>
      <c r="F557" s="9" t="s">
        <v>274</v>
      </c>
      <c r="G557" s="9" t="s">
        <v>1510</v>
      </c>
      <c r="H557" s="9" t="s">
        <v>1520</v>
      </c>
      <c r="I557" s="9" t="s">
        <v>66</v>
      </c>
      <c r="J557" s="10" t="s">
        <v>15</v>
      </c>
      <c r="K557" s="15" t="str">
        <f>VLOOKUP(J557,DADOS!$A$3:$B$100,2,FALSE)</f>
        <v>EE-GI-001-002</v>
      </c>
      <c r="L557" s="15" t="s">
        <v>260</v>
      </c>
      <c r="M557" s="18" t="b">
        <v>1</v>
      </c>
      <c r="N557" s="17" t="b">
        <v>1</v>
      </c>
      <c r="O557" s="17" t="b">
        <v>1</v>
      </c>
      <c r="P557" s="17" t="b">
        <v>1</v>
      </c>
      <c r="Q557" s="17" t="b">
        <v>0</v>
      </c>
      <c r="R557" s="17" t="b">
        <v>1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 t="s">
        <v>287</v>
      </c>
      <c r="X557" s="12" t="s">
        <v>14</v>
      </c>
      <c r="Y557" s="12" t="s">
        <v>14</v>
      </c>
      <c r="Z557" s="13" t="s">
        <v>261</v>
      </c>
    </row>
    <row r="558" spans="1:26" ht="19.95" customHeight="1" x14ac:dyDescent="0.3">
      <c r="A558" s="6">
        <v>45708</v>
      </c>
      <c r="B558" s="7" t="s">
        <v>254</v>
      </c>
      <c r="C558" s="8" t="s">
        <v>1511</v>
      </c>
      <c r="D558" s="8" t="s">
        <v>281</v>
      </c>
      <c r="E558" s="8" t="s">
        <v>1512</v>
      </c>
      <c r="F558" s="9" t="s">
        <v>1513</v>
      </c>
      <c r="G558" s="9" t="s">
        <v>1514</v>
      </c>
      <c r="H558" s="9" t="s">
        <v>1515</v>
      </c>
      <c r="I558" s="9" t="s">
        <v>69</v>
      </c>
      <c r="J558" s="10" t="s">
        <v>15</v>
      </c>
      <c r="K558" s="15" t="str">
        <f>VLOOKUP(J558,DADOS!$A$3:$B$100,2,FALSE)</f>
        <v>EE-GI-001-002</v>
      </c>
      <c r="L558" s="15" t="s">
        <v>303</v>
      </c>
      <c r="M558" s="18" t="b">
        <v>1</v>
      </c>
      <c r="N558" s="17" t="b">
        <v>1</v>
      </c>
      <c r="O558" s="17" t="b">
        <v>1</v>
      </c>
      <c r="P558" s="17" t="b">
        <v>1</v>
      </c>
      <c r="Q558" s="17" t="b">
        <v>0</v>
      </c>
      <c r="R558" s="17" t="b">
        <v>1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 t="s">
        <v>281</v>
      </c>
      <c r="X558" s="12" t="s">
        <v>14</v>
      </c>
      <c r="Y558" s="12" t="s">
        <v>14</v>
      </c>
      <c r="Z558" s="13" t="s">
        <v>261</v>
      </c>
    </row>
    <row r="559" spans="1:26" ht="19.95" customHeight="1" x14ac:dyDescent="0.3">
      <c r="A559" s="6">
        <v>45708</v>
      </c>
      <c r="B559" s="7" t="s">
        <v>254</v>
      </c>
      <c r="C559" s="8" t="s">
        <v>1075</v>
      </c>
      <c r="D559" s="8" t="s">
        <v>269</v>
      </c>
      <c r="E559" s="8" t="s">
        <v>1516</v>
      </c>
      <c r="F559" s="9" t="s">
        <v>1517</v>
      </c>
      <c r="G559" s="9" t="s">
        <v>643</v>
      </c>
      <c r="H559" s="9" t="s">
        <v>1519</v>
      </c>
      <c r="I559" s="9" t="s">
        <v>69</v>
      </c>
      <c r="J559" s="10" t="s">
        <v>15</v>
      </c>
      <c r="K559" s="15" t="str">
        <f>VLOOKUP(J559,DADOS!$A$3:$B$100,2,FALSE)</f>
        <v>EE-GI-001-002</v>
      </c>
      <c r="L559" s="15" t="s">
        <v>303</v>
      </c>
      <c r="M559" s="18" t="b">
        <v>1</v>
      </c>
      <c r="N559" s="17" t="b">
        <v>1</v>
      </c>
      <c r="O559" s="17" t="b">
        <v>1</v>
      </c>
      <c r="P559" s="17" t="b">
        <v>1</v>
      </c>
      <c r="Q559" s="17" t="b">
        <v>0</v>
      </c>
      <c r="R559" s="17" t="b">
        <v>1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 t="s">
        <v>269</v>
      </c>
      <c r="X559" s="12" t="s">
        <v>14</v>
      </c>
      <c r="Y559" s="12" t="s">
        <v>14</v>
      </c>
      <c r="Z559" s="13" t="s">
        <v>261</v>
      </c>
    </row>
    <row r="560" spans="1:26" ht="19.95" customHeight="1" x14ac:dyDescent="0.3">
      <c r="A560" s="6">
        <v>45708</v>
      </c>
      <c r="B560" s="7" t="s">
        <v>254</v>
      </c>
      <c r="C560" s="8" t="s">
        <v>1075</v>
      </c>
      <c r="D560" s="8" t="s">
        <v>281</v>
      </c>
      <c r="E560" s="8" t="s">
        <v>1516</v>
      </c>
      <c r="F560" s="9" t="s">
        <v>1518</v>
      </c>
      <c r="G560" s="9" t="s">
        <v>643</v>
      </c>
      <c r="H560" s="9" t="s">
        <v>1519</v>
      </c>
      <c r="I560" s="9" t="s">
        <v>69</v>
      </c>
      <c r="J560" s="10" t="s">
        <v>15</v>
      </c>
      <c r="K560" s="15" t="str">
        <f>VLOOKUP(J560,DADOS!$A$3:$B$100,2,FALSE)</f>
        <v>EE-GI-001-002</v>
      </c>
      <c r="L560" s="15" t="s">
        <v>303</v>
      </c>
      <c r="M560" s="18" t="b">
        <v>1</v>
      </c>
      <c r="N560" s="17" t="b">
        <v>1</v>
      </c>
      <c r="O560" s="17" t="b">
        <v>1</v>
      </c>
      <c r="P560" s="17" t="b">
        <v>1</v>
      </c>
      <c r="Q560" s="17" t="b">
        <v>0</v>
      </c>
      <c r="R560" s="17" t="b">
        <v>1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 t="s">
        <v>281</v>
      </c>
      <c r="X560" s="12" t="s">
        <v>14</v>
      </c>
      <c r="Y560" s="12" t="s">
        <v>14</v>
      </c>
      <c r="Z560" s="13" t="s">
        <v>261</v>
      </c>
    </row>
    <row r="561" spans="1:26" ht="19.95" customHeight="1" x14ac:dyDescent="0.3">
      <c r="A561" s="6">
        <v>45708</v>
      </c>
      <c r="B561" s="7" t="s">
        <v>254</v>
      </c>
      <c r="C561" s="8" t="s">
        <v>638</v>
      </c>
      <c r="D561" s="8" t="s">
        <v>269</v>
      </c>
      <c r="E561" s="8" t="s">
        <v>1521</v>
      </c>
      <c r="F561" s="9" t="s">
        <v>642</v>
      </c>
      <c r="G561" s="9" t="s">
        <v>643</v>
      </c>
      <c r="H561" s="9" t="s">
        <v>1523</v>
      </c>
      <c r="I561" s="9" t="s">
        <v>69</v>
      </c>
      <c r="J561" s="10" t="s">
        <v>15</v>
      </c>
      <c r="K561" s="15" t="str">
        <f>VLOOKUP(J561,DADOS!$A$3:$B$100,2,FALSE)</f>
        <v>EE-GI-001-002</v>
      </c>
      <c r="L561" s="15" t="s">
        <v>260</v>
      </c>
      <c r="M561" s="18" t="b">
        <v>1</v>
      </c>
      <c r="N561" s="17" t="b">
        <v>1</v>
      </c>
      <c r="O561" s="17" t="b">
        <v>1</v>
      </c>
      <c r="P561" s="17" t="b">
        <v>1</v>
      </c>
      <c r="Q561" s="17" t="b">
        <v>0</v>
      </c>
      <c r="R561" s="17" t="b">
        <v>1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 t="s">
        <v>269</v>
      </c>
      <c r="X561" s="12" t="s">
        <v>14</v>
      </c>
      <c r="Y561" s="12" t="s">
        <v>14</v>
      </c>
      <c r="Z561" s="13" t="s">
        <v>261</v>
      </c>
    </row>
    <row r="562" spans="1:26" ht="19.95" customHeight="1" x14ac:dyDescent="0.3">
      <c r="A562" s="6">
        <v>45708</v>
      </c>
      <c r="B562" s="7" t="s">
        <v>254</v>
      </c>
      <c r="C562" s="8" t="s">
        <v>638</v>
      </c>
      <c r="D562" s="8" t="s">
        <v>281</v>
      </c>
      <c r="E562" s="8" t="s">
        <v>1521</v>
      </c>
      <c r="F562" s="9" t="s">
        <v>1522</v>
      </c>
      <c r="G562" s="9" t="s">
        <v>643</v>
      </c>
      <c r="H562" s="9" t="s">
        <v>1523</v>
      </c>
      <c r="I562" s="9" t="s">
        <v>69</v>
      </c>
      <c r="J562" s="10" t="s">
        <v>15</v>
      </c>
      <c r="K562" s="15" t="str">
        <f>VLOOKUP(J562,DADOS!$A$3:$B$100,2,FALSE)</f>
        <v>EE-GI-001-002</v>
      </c>
      <c r="L562" s="15" t="s">
        <v>260</v>
      </c>
      <c r="M562" s="18" t="b">
        <v>1</v>
      </c>
      <c r="N562" s="17" t="b">
        <v>1</v>
      </c>
      <c r="O562" s="17" t="b">
        <v>1</v>
      </c>
      <c r="P562" s="17" t="b">
        <v>1</v>
      </c>
      <c r="Q562" s="17" t="b">
        <v>0</v>
      </c>
      <c r="R562" s="17" t="b">
        <v>1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 t="s">
        <v>281</v>
      </c>
      <c r="X562" s="12" t="s">
        <v>14</v>
      </c>
      <c r="Y562" s="12" t="s">
        <v>14</v>
      </c>
      <c r="Z562" s="13" t="s">
        <v>261</v>
      </c>
    </row>
    <row r="563" spans="1:26" ht="19.95" customHeight="1" x14ac:dyDescent="0.3">
      <c r="A563" s="6">
        <v>45708</v>
      </c>
      <c r="B563" s="7" t="s">
        <v>254</v>
      </c>
      <c r="C563" s="8" t="s">
        <v>638</v>
      </c>
      <c r="D563" s="8" t="s">
        <v>287</v>
      </c>
      <c r="E563" s="8" t="s">
        <v>1521</v>
      </c>
      <c r="F563" s="9" t="s">
        <v>1490</v>
      </c>
      <c r="G563" s="9" t="s">
        <v>643</v>
      </c>
      <c r="H563" s="9" t="s">
        <v>1523</v>
      </c>
      <c r="I563" s="9" t="s">
        <v>69</v>
      </c>
      <c r="J563" s="10" t="s">
        <v>15</v>
      </c>
      <c r="K563" s="15" t="str">
        <f>VLOOKUP(J563,DADOS!$A$3:$B$100,2,FALSE)</f>
        <v>EE-GI-001-002</v>
      </c>
      <c r="L563" s="15" t="s">
        <v>260</v>
      </c>
      <c r="M563" s="18" t="b">
        <v>1</v>
      </c>
      <c r="N563" s="17" t="b">
        <v>1</v>
      </c>
      <c r="O563" s="17" t="b">
        <v>1</v>
      </c>
      <c r="P563" s="17" t="b">
        <v>1</v>
      </c>
      <c r="Q563" s="17" t="b">
        <v>0</v>
      </c>
      <c r="R563" s="17" t="b">
        <v>1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 t="s">
        <v>287</v>
      </c>
      <c r="X563" s="12" t="s">
        <v>14</v>
      </c>
      <c r="Y563" s="12" t="s">
        <v>14</v>
      </c>
      <c r="Z563" s="13" t="s">
        <v>261</v>
      </c>
    </row>
    <row r="564" spans="1:26" ht="19.95" customHeight="1" x14ac:dyDescent="0.3">
      <c r="A564" s="6">
        <v>45708</v>
      </c>
      <c r="B564" s="7" t="s">
        <v>254</v>
      </c>
      <c r="C564" s="8" t="s">
        <v>647</v>
      </c>
      <c r="D564" s="8" t="s">
        <v>269</v>
      </c>
      <c r="E564" s="8" t="s">
        <v>1524</v>
      </c>
      <c r="F564" s="9" t="s">
        <v>649</v>
      </c>
      <c r="G564" s="9" t="s">
        <v>651</v>
      </c>
      <c r="H564" s="9" t="s">
        <v>1525</v>
      </c>
      <c r="I564" s="9" t="s">
        <v>69</v>
      </c>
      <c r="J564" s="10" t="s">
        <v>15</v>
      </c>
      <c r="K564" s="15" t="str">
        <f>VLOOKUP(J564,DADOS!$A$3:$B$100,2,FALSE)</f>
        <v>EE-GI-001-002</v>
      </c>
      <c r="L564" s="15" t="s">
        <v>303</v>
      </c>
      <c r="M564" s="18" t="b">
        <v>1</v>
      </c>
      <c r="N564" s="17" t="b">
        <v>1</v>
      </c>
      <c r="O564" s="17" t="b">
        <v>1</v>
      </c>
      <c r="P564" s="17" t="b">
        <v>1</v>
      </c>
      <c r="Q564" s="17" t="b">
        <v>0</v>
      </c>
      <c r="R564" s="17" t="b">
        <v>1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 t="s">
        <v>269</v>
      </c>
      <c r="X564" s="12" t="s">
        <v>14</v>
      </c>
      <c r="Y564" s="12" t="s">
        <v>14</v>
      </c>
      <c r="Z564" s="13" t="s">
        <v>261</v>
      </c>
    </row>
    <row r="565" spans="1:26" ht="19.95" customHeight="1" x14ac:dyDescent="0.3">
      <c r="A565" s="6">
        <v>45708</v>
      </c>
      <c r="B565" s="7" t="s">
        <v>254</v>
      </c>
      <c r="C565" s="8" t="s">
        <v>1526</v>
      </c>
      <c r="D565" s="8" t="s">
        <v>269</v>
      </c>
      <c r="E565" s="8" t="s">
        <v>1527</v>
      </c>
      <c r="F565" s="9" t="s">
        <v>1528</v>
      </c>
      <c r="G565" s="9" t="s">
        <v>651</v>
      </c>
      <c r="H565" s="9" t="s">
        <v>1529</v>
      </c>
      <c r="I565" s="9" t="s">
        <v>69</v>
      </c>
      <c r="J565" s="10" t="s">
        <v>15</v>
      </c>
      <c r="K565" s="15" t="str">
        <f>VLOOKUP(J565,DADOS!$A$3:$B$100,2,FALSE)</f>
        <v>EE-GI-001-002</v>
      </c>
      <c r="L565" s="15" t="s">
        <v>303</v>
      </c>
      <c r="M565" s="18" t="b">
        <v>1</v>
      </c>
      <c r="N565" s="17" t="b">
        <v>1</v>
      </c>
      <c r="O565" s="17" t="b">
        <v>1</v>
      </c>
      <c r="P565" s="17" t="b">
        <v>1</v>
      </c>
      <c r="Q565" s="17" t="b">
        <v>0</v>
      </c>
      <c r="R565" s="17" t="b">
        <v>1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 t="s">
        <v>269</v>
      </c>
      <c r="X565" s="12" t="s">
        <v>14</v>
      </c>
      <c r="Y565" s="12" t="s">
        <v>14</v>
      </c>
      <c r="Z565" s="13" t="s">
        <v>261</v>
      </c>
    </row>
    <row r="566" spans="1:26" ht="19.95" customHeight="1" x14ac:dyDescent="0.3">
      <c r="A566" s="6">
        <v>45708</v>
      </c>
      <c r="B566" s="7" t="s">
        <v>254</v>
      </c>
      <c r="C566" s="8" t="s">
        <v>1530</v>
      </c>
      <c r="D566" s="8" t="s">
        <v>414</v>
      </c>
      <c r="E566" s="8" t="s">
        <v>1531</v>
      </c>
      <c r="F566" s="9" t="s">
        <v>1532</v>
      </c>
      <c r="G566" s="9" t="s">
        <v>659</v>
      </c>
      <c r="H566" s="9" t="s">
        <v>1533</v>
      </c>
      <c r="I566" s="9" t="s">
        <v>65</v>
      </c>
      <c r="J566" s="10" t="s">
        <v>15</v>
      </c>
      <c r="K566" s="15" t="str">
        <f>VLOOKUP(J566,DADOS!$A$3:$B$100,2,FALSE)</f>
        <v>EE-GI-001-002</v>
      </c>
      <c r="L566" s="15" t="s">
        <v>260</v>
      </c>
      <c r="M566" s="18" t="b">
        <v>1</v>
      </c>
      <c r="N566" s="17" t="b">
        <v>1</v>
      </c>
      <c r="O566" s="17" t="b">
        <v>1</v>
      </c>
      <c r="P566" s="17" t="b">
        <v>1</v>
      </c>
      <c r="Q566" s="17" t="b">
        <v>0</v>
      </c>
      <c r="R566" s="17" t="b">
        <v>1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 t="s">
        <v>414</v>
      </c>
      <c r="X566" s="12" t="s">
        <v>14</v>
      </c>
      <c r="Y566" s="12" t="s">
        <v>14</v>
      </c>
      <c r="Z566" s="13" t="s">
        <v>261</v>
      </c>
    </row>
    <row r="567" spans="1:26" ht="19.95" customHeight="1" x14ac:dyDescent="0.3">
      <c r="A567" s="6">
        <v>45708</v>
      </c>
      <c r="B567" s="7" t="s">
        <v>254</v>
      </c>
      <c r="C567" s="8" t="s">
        <v>255</v>
      </c>
      <c r="D567" s="8" t="s">
        <v>269</v>
      </c>
      <c r="E567" s="8" t="s">
        <v>1536</v>
      </c>
      <c r="F567" s="9" t="s">
        <v>1535</v>
      </c>
      <c r="G567" s="9" t="s">
        <v>258</v>
      </c>
      <c r="H567" s="9" t="s">
        <v>1534</v>
      </c>
      <c r="I567" s="9" t="s">
        <v>66</v>
      </c>
      <c r="J567" s="10" t="s">
        <v>15</v>
      </c>
      <c r="K567" s="15" t="str">
        <f>VLOOKUP(J567,DADOS!$A$3:$B$100,2,FALSE)</f>
        <v>EE-GI-001-002</v>
      </c>
      <c r="L567" s="15" t="s">
        <v>260</v>
      </c>
      <c r="M567" s="18" t="b">
        <v>1</v>
      </c>
      <c r="N567" s="17" t="b">
        <v>1</v>
      </c>
      <c r="O567" s="17" t="b">
        <v>1</v>
      </c>
      <c r="P567" s="17" t="b">
        <v>1</v>
      </c>
      <c r="Q567" s="17" t="b">
        <v>0</v>
      </c>
      <c r="R567" s="17" t="b">
        <v>1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 t="s">
        <v>269</v>
      </c>
      <c r="X567" s="12" t="s">
        <v>14</v>
      </c>
      <c r="Y567" s="12" t="s">
        <v>14</v>
      </c>
      <c r="Z567" s="13" t="s">
        <v>261</v>
      </c>
    </row>
    <row r="568" spans="1:26" ht="19.95" customHeight="1" x14ac:dyDescent="0.3">
      <c r="A568" s="6">
        <v>45708</v>
      </c>
      <c r="B568" s="7" t="s">
        <v>748</v>
      </c>
      <c r="C568" s="8" t="s">
        <v>1896</v>
      </c>
      <c r="D568" s="8" t="s">
        <v>373</v>
      </c>
      <c r="E568" s="8" t="s">
        <v>1897</v>
      </c>
      <c r="F568" s="9" t="s">
        <v>1898</v>
      </c>
      <c r="G568" s="9" t="s">
        <v>1839</v>
      </c>
      <c r="H568" s="9" t="s">
        <v>1899</v>
      </c>
      <c r="I568" s="9" t="s">
        <v>66</v>
      </c>
      <c r="J568" s="10" t="s">
        <v>20</v>
      </c>
      <c r="K568" s="15" t="str">
        <f>VLOOKUP(J568,DADOS!$A$3:$B$100,2,FALSE)</f>
        <v>EE-GI-221-034</v>
      </c>
      <c r="L568" s="15" t="s">
        <v>754</v>
      </c>
      <c r="M568" s="18" t="b">
        <v>1</v>
      </c>
      <c r="N568" s="17" t="b">
        <v>1</v>
      </c>
      <c r="O568" s="17" t="b">
        <v>1</v>
      </c>
      <c r="P568" s="17" t="b">
        <v>1</v>
      </c>
      <c r="Q568" s="17" t="b">
        <v>1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 t="s">
        <v>373</v>
      </c>
      <c r="X568" s="12" t="s">
        <v>14</v>
      </c>
      <c r="Y568" s="12" t="s">
        <v>14</v>
      </c>
      <c r="Z568" s="13" t="s">
        <v>355</v>
      </c>
    </row>
    <row r="569" spans="1:26" ht="19.95" customHeight="1" x14ac:dyDescent="0.3">
      <c r="A569" s="6">
        <v>45708</v>
      </c>
      <c r="B569" s="7" t="s">
        <v>748</v>
      </c>
      <c r="C569" s="8" t="s">
        <v>1625</v>
      </c>
      <c r="D569" s="8" t="s">
        <v>269</v>
      </c>
      <c r="E569" s="8" t="s">
        <v>1897</v>
      </c>
      <c r="F569" s="9" t="s">
        <v>1627</v>
      </c>
      <c r="G569" s="9" t="s">
        <v>1628</v>
      </c>
      <c r="H569" s="9" t="s">
        <v>1900</v>
      </c>
      <c r="I569" s="9" t="s">
        <v>68</v>
      </c>
      <c r="J569" s="10" t="s">
        <v>26</v>
      </c>
      <c r="K569" s="15" t="str">
        <f>VLOOKUP(J569,DADOS!$A$3:$B$100,2,FALSE)</f>
        <v>EE-GI-221-039</v>
      </c>
      <c r="L569" s="15" t="s">
        <v>754</v>
      </c>
      <c r="M569" s="18" t="b">
        <v>1</v>
      </c>
      <c r="N569" s="17" t="b">
        <v>1</v>
      </c>
      <c r="O569" s="17" t="b">
        <v>1</v>
      </c>
      <c r="P569" s="17" t="b">
        <v>1</v>
      </c>
      <c r="Q569" s="17" t="b">
        <v>1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 t="s">
        <v>269</v>
      </c>
      <c r="X569" s="12" t="s">
        <v>14</v>
      </c>
      <c r="Y569" s="12" t="s">
        <v>14</v>
      </c>
      <c r="Z569" s="13" t="s">
        <v>355</v>
      </c>
    </row>
    <row r="570" spans="1:26" ht="19.95" customHeight="1" x14ac:dyDescent="0.3">
      <c r="A570" s="6">
        <v>45708</v>
      </c>
      <c r="B570" s="7" t="s">
        <v>748</v>
      </c>
      <c r="C570" s="8" t="s">
        <v>1901</v>
      </c>
      <c r="D570" s="8" t="s">
        <v>269</v>
      </c>
      <c r="E570" s="8" t="s">
        <v>1897</v>
      </c>
      <c r="F570" s="9" t="s">
        <v>1902</v>
      </c>
      <c r="G570" s="9" t="s">
        <v>1839</v>
      </c>
      <c r="H570" s="9" t="s">
        <v>1903</v>
      </c>
      <c r="I570" s="9" t="s">
        <v>68</v>
      </c>
      <c r="J570" s="10" t="s">
        <v>20</v>
      </c>
      <c r="K570" s="15" t="str">
        <f>VLOOKUP(J570,DADOS!$A$3:$B$100,2,FALSE)</f>
        <v>EE-GI-221-034</v>
      </c>
      <c r="L570" s="15" t="s">
        <v>754</v>
      </c>
      <c r="M570" s="18" t="b">
        <v>1</v>
      </c>
      <c r="N570" s="17" t="b">
        <v>1</v>
      </c>
      <c r="O570" s="17" t="b">
        <v>1</v>
      </c>
      <c r="P570" s="17" t="b">
        <v>1</v>
      </c>
      <c r="Q570" s="17" t="b">
        <v>1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0</v>
      </c>
      <c r="W570" s="11" t="s">
        <v>269</v>
      </c>
      <c r="X570" s="12" t="s">
        <v>14</v>
      </c>
      <c r="Y570" s="12" t="s">
        <v>14</v>
      </c>
      <c r="Z570" s="13" t="s">
        <v>355</v>
      </c>
    </row>
    <row r="571" spans="1:26" ht="19.95" customHeight="1" x14ac:dyDescent="0.3">
      <c r="A571" s="6">
        <v>45708</v>
      </c>
      <c r="B571" s="7" t="s">
        <v>748</v>
      </c>
      <c r="C571" s="8" t="s">
        <v>1901</v>
      </c>
      <c r="D571" s="8" t="s">
        <v>269</v>
      </c>
      <c r="E571" s="8" t="s">
        <v>1897</v>
      </c>
      <c r="F571" s="9" t="s">
        <v>1904</v>
      </c>
      <c r="G571" s="9" t="s">
        <v>1839</v>
      </c>
      <c r="H571" s="9" t="s">
        <v>1903</v>
      </c>
      <c r="I571" s="9" t="s">
        <v>68</v>
      </c>
      <c r="J571" s="10" t="s">
        <v>20</v>
      </c>
      <c r="K571" s="15" t="str">
        <f>VLOOKUP(J571,DADOS!$A$3:$B$100,2,FALSE)</f>
        <v>EE-GI-221-034</v>
      </c>
      <c r="L571" s="15" t="s">
        <v>754</v>
      </c>
      <c r="M571" s="18" t="b">
        <v>1</v>
      </c>
      <c r="N571" s="17" t="b">
        <v>1</v>
      </c>
      <c r="O571" s="17" t="b">
        <v>1</v>
      </c>
      <c r="P571" s="17" t="b">
        <v>1</v>
      </c>
      <c r="Q571" s="17" t="b">
        <v>1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 t="s">
        <v>269</v>
      </c>
      <c r="X571" s="12" t="s">
        <v>14</v>
      </c>
      <c r="Y571" s="12" t="s">
        <v>14</v>
      </c>
      <c r="Z571" s="13" t="s">
        <v>355</v>
      </c>
    </row>
    <row r="572" spans="1:26" ht="19.95" customHeight="1" x14ac:dyDescent="0.3">
      <c r="A572" s="6">
        <v>45708</v>
      </c>
      <c r="B572" s="7" t="s">
        <v>748</v>
      </c>
      <c r="C572" s="8" t="s">
        <v>1901</v>
      </c>
      <c r="D572" s="8" t="s">
        <v>269</v>
      </c>
      <c r="E572" s="8" t="s">
        <v>1897</v>
      </c>
      <c r="F572" s="9" t="s">
        <v>1905</v>
      </c>
      <c r="G572" s="9" t="s">
        <v>1839</v>
      </c>
      <c r="H572" s="9" t="s">
        <v>1903</v>
      </c>
      <c r="I572" s="9" t="s">
        <v>68</v>
      </c>
      <c r="J572" s="10" t="s">
        <v>20</v>
      </c>
      <c r="K572" s="15" t="str">
        <f>VLOOKUP(J572,DADOS!$A$3:$B$100,2,FALSE)</f>
        <v>EE-GI-221-034</v>
      </c>
      <c r="L572" s="15" t="s">
        <v>754</v>
      </c>
      <c r="M572" s="18" t="b">
        <v>1</v>
      </c>
      <c r="N572" s="17" t="b">
        <v>1</v>
      </c>
      <c r="O572" s="17" t="b">
        <v>1</v>
      </c>
      <c r="P572" s="17" t="b">
        <v>1</v>
      </c>
      <c r="Q572" s="17" t="b">
        <v>1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 t="s">
        <v>269</v>
      </c>
      <c r="X572" s="12" t="s">
        <v>14</v>
      </c>
      <c r="Y572" s="12" t="s">
        <v>14</v>
      </c>
      <c r="Z572" s="13" t="s">
        <v>355</v>
      </c>
    </row>
    <row r="573" spans="1:26" ht="19.95" customHeight="1" x14ac:dyDescent="0.3">
      <c r="A573" s="6">
        <v>45708</v>
      </c>
      <c r="B573" s="7" t="s">
        <v>748</v>
      </c>
      <c r="C573" s="8" t="s">
        <v>1906</v>
      </c>
      <c r="D573" s="8" t="s">
        <v>269</v>
      </c>
      <c r="E573" s="8" t="s">
        <v>1907</v>
      </c>
      <c r="F573" s="9" t="s">
        <v>1908</v>
      </c>
      <c r="G573" s="9" t="s">
        <v>1909</v>
      </c>
      <c r="H573" s="9" t="s">
        <v>1910</v>
      </c>
      <c r="I573" s="9" t="s">
        <v>66</v>
      </c>
      <c r="J573" s="10" t="s">
        <v>233</v>
      </c>
      <c r="K573" s="15" t="str">
        <f>VLOOKUP(J573,DADOS!$A$3:$B$100,2,FALSE)</f>
        <v>EE-GI-221-031</v>
      </c>
      <c r="L573" s="15" t="s">
        <v>754</v>
      </c>
      <c r="M573" s="18" t="b">
        <v>1</v>
      </c>
      <c r="N573" s="17" t="b">
        <v>1</v>
      </c>
      <c r="O573" s="17" t="b">
        <v>1</v>
      </c>
      <c r="P573" s="17" t="b">
        <v>1</v>
      </c>
      <c r="Q573" s="17" t="b">
        <v>1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 t="s">
        <v>269</v>
      </c>
      <c r="X573" s="12" t="s">
        <v>14</v>
      </c>
      <c r="Y573" s="12" t="s">
        <v>14</v>
      </c>
      <c r="Z573" s="13" t="s">
        <v>355</v>
      </c>
    </row>
    <row r="574" spans="1:26" ht="19.95" customHeight="1" x14ac:dyDescent="0.3">
      <c r="A574" s="6">
        <v>45708</v>
      </c>
      <c r="B574" s="7" t="s">
        <v>748</v>
      </c>
      <c r="C574" s="8" t="s">
        <v>1911</v>
      </c>
      <c r="D574" s="8" t="s">
        <v>269</v>
      </c>
      <c r="E574" s="8" t="s">
        <v>1907</v>
      </c>
      <c r="F574" s="9" t="s">
        <v>1912</v>
      </c>
      <c r="G574" s="9" t="s">
        <v>1913</v>
      </c>
      <c r="H574" s="9" t="s">
        <v>1914</v>
      </c>
      <c r="I574" s="9" t="s">
        <v>68</v>
      </c>
      <c r="J574" s="10" t="s">
        <v>19</v>
      </c>
      <c r="K574" s="15" t="str">
        <f>VLOOKUP(J574,DADOS!$A$3:$B$100,2,FALSE)</f>
        <v>EE-GI-221-033</v>
      </c>
      <c r="L574" s="15" t="s">
        <v>754</v>
      </c>
      <c r="M574" s="18" t="b">
        <v>1</v>
      </c>
      <c r="N574" s="17" t="b">
        <v>1</v>
      </c>
      <c r="O574" s="17" t="b">
        <v>1</v>
      </c>
      <c r="P574" s="17" t="b">
        <v>1</v>
      </c>
      <c r="Q574" s="17" t="b">
        <v>1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 t="s">
        <v>269</v>
      </c>
      <c r="X574" s="12" t="s">
        <v>14</v>
      </c>
      <c r="Y574" s="12" t="s">
        <v>14</v>
      </c>
      <c r="Z574" s="13" t="s">
        <v>355</v>
      </c>
    </row>
    <row r="575" spans="1:26" ht="19.95" customHeight="1" x14ac:dyDescent="0.3">
      <c r="A575" s="6">
        <v>45708</v>
      </c>
      <c r="B575" s="7" t="s">
        <v>748</v>
      </c>
      <c r="C575" s="8" t="s">
        <v>1915</v>
      </c>
      <c r="D575" s="8" t="s">
        <v>269</v>
      </c>
      <c r="E575" s="8" t="s">
        <v>1916</v>
      </c>
      <c r="F575" s="9" t="s">
        <v>1917</v>
      </c>
      <c r="G575" s="9" t="s">
        <v>1918</v>
      </c>
      <c r="H575" s="9" t="s">
        <v>1919</v>
      </c>
      <c r="I575" s="9" t="s">
        <v>66</v>
      </c>
      <c r="J575" s="10" t="s">
        <v>236</v>
      </c>
      <c r="K575" s="15" t="str">
        <f>VLOOKUP(J575,DADOS!$A$3:$B$100,2,FALSE)</f>
        <v>EE-GI-221-036</v>
      </c>
      <c r="L575" s="15" t="s">
        <v>754</v>
      </c>
      <c r="M575" s="18" t="b">
        <v>1</v>
      </c>
      <c r="N575" s="17" t="b">
        <v>1</v>
      </c>
      <c r="O575" s="17" t="b">
        <v>1</v>
      </c>
      <c r="P575" s="17" t="b">
        <v>1</v>
      </c>
      <c r="Q575" s="17" t="b">
        <v>1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 t="s">
        <v>269</v>
      </c>
      <c r="X575" s="12" t="s">
        <v>14</v>
      </c>
      <c r="Y575" s="12" t="s">
        <v>14</v>
      </c>
      <c r="Z575" s="13" t="s">
        <v>355</v>
      </c>
    </row>
    <row r="576" spans="1:26" ht="19.95" customHeight="1" x14ac:dyDescent="0.3">
      <c r="A576" s="6">
        <v>45708</v>
      </c>
      <c r="B576" s="7" t="s">
        <v>748</v>
      </c>
      <c r="C576" s="8" t="s">
        <v>1920</v>
      </c>
      <c r="D576" s="8" t="s">
        <v>364</v>
      </c>
      <c r="E576" s="8" t="s">
        <v>1921</v>
      </c>
      <c r="F576" s="9" t="s">
        <v>1922</v>
      </c>
      <c r="G576" s="9" t="s">
        <v>1222</v>
      </c>
      <c r="H576" s="9" t="s">
        <v>1923</v>
      </c>
      <c r="I576" s="9" t="s">
        <v>68</v>
      </c>
      <c r="J576" s="10" t="s">
        <v>29</v>
      </c>
      <c r="K576" s="15" t="str">
        <f>VLOOKUP(J576,DADOS!$A$3:$B$100,2,FALSE)</f>
        <v>EE-GI-221-058</v>
      </c>
      <c r="L576" s="15" t="s">
        <v>754</v>
      </c>
      <c r="M576" s="18" t="b">
        <v>1</v>
      </c>
      <c r="N576" s="17" t="b">
        <v>1</v>
      </c>
      <c r="O576" s="17" t="b">
        <v>1</v>
      </c>
      <c r="P576" s="17" t="b">
        <v>1</v>
      </c>
      <c r="Q576" s="17" t="b">
        <v>1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 t="s">
        <v>364</v>
      </c>
      <c r="X576" s="12" t="s">
        <v>14</v>
      </c>
      <c r="Y576" s="12" t="s">
        <v>14</v>
      </c>
      <c r="Z576" s="13" t="s">
        <v>355</v>
      </c>
    </row>
    <row r="577" spans="1:26" ht="19.95" customHeight="1" x14ac:dyDescent="0.3">
      <c r="A577" s="6">
        <v>45708</v>
      </c>
      <c r="B577" s="7" t="s">
        <v>748</v>
      </c>
      <c r="C577" s="8" t="s">
        <v>1924</v>
      </c>
      <c r="D577" s="8" t="s">
        <v>287</v>
      </c>
      <c r="E577" s="8" t="s">
        <v>1925</v>
      </c>
      <c r="F577" s="9" t="s">
        <v>1221</v>
      </c>
      <c r="G577" s="9" t="s">
        <v>1222</v>
      </c>
      <c r="H577" s="9" t="s">
        <v>1926</v>
      </c>
      <c r="I577" s="9" t="s">
        <v>66</v>
      </c>
      <c r="J577" s="10" t="s">
        <v>29</v>
      </c>
      <c r="K577" s="15" t="str">
        <f>VLOOKUP(J577,DADOS!$A$3:$B$100,2,FALSE)</f>
        <v>EE-GI-221-058</v>
      </c>
      <c r="L577" s="15" t="s">
        <v>754</v>
      </c>
      <c r="M577" s="18" t="b">
        <v>1</v>
      </c>
      <c r="N577" s="17" t="b">
        <v>1</v>
      </c>
      <c r="O577" s="17" t="b">
        <v>1</v>
      </c>
      <c r="P577" s="17" t="b">
        <v>1</v>
      </c>
      <c r="Q577" s="17" t="b">
        <v>1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 t="s">
        <v>287</v>
      </c>
      <c r="X577" s="12" t="s">
        <v>14</v>
      </c>
      <c r="Y577" s="12" t="s">
        <v>14</v>
      </c>
      <c r="Z577" s="13" t="s">
        <v>355</v>
      </c>
    </row>
    <row r="578" spans="1:26" ht="19.95" customHeight="1" x14ac:dyDescent="0.3">
      <c r="A578" s="6">
        <v>45708</v>
      </c>
      <c r="B578" s="7" t="s">
        <v>748</v>
      </c>
      <c r="C578" s="8" t="s">
        <v>1927</v>
      </c>
      <c r="D578" s="8" t="s">
        <v>287</v>
      </c>
      <c r="E578" s="8" t="s">
        <v>1921</v>
      </c>
      <c r="F578" s="9" t="s">
        <v>1928</v>
      </c>
      <c r="G578" s="9" t="s">
        <v>1222</v>
      </c>
      <c r="H578" s="9" t="s">
        <v>1929</v>
      </c>
      <c r="I578" s="9" t="s">
        <v>68</v>
      </c>
      <c r="J578" s="10" t="s">
        <v>29</v>
      </c>
      <c r="K578" s="15" t="str">
        <f>VLOOKUP(J578,DADOS!$A$3:$B$100,2,FALSE)</f>
        <v>EE-GI-221-058</v>
      </c>
      <c r="L578" s="15" t="s">
        <v>754</v>
      </c>
      <c r="M578" s="18" t="b">
        <v>1</v>
      </c>
      <c r="N578" s="17" t="b">
        <v>1</v>
      </c>
      <c r="O578" s="17" t="b">
        <v>1</v>
      </c>
      <c r="P578" s="17" t="b">
        <v>1</v>
      </c>
      <c r="Q578" s="17" t="b">
        <v>1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 t="s">
        <v>287</v>
      </c>
      <c r="X578" s="12" t="s">
        <v>14</v>
      </c>
      <c r="Y578" s="12" t="s">
        <v>14</v>
      </c>
      <c r="Z578" s="13" t="s">
        <v>355</v>
      </c>
    </row>
    <row r="579" spans="1:26" ht="19.95" customHeight="1" x14ac:dyDescent="0.3">
      <c r="A579" s="6">
        <v>45708</v>
      </c>
      <c r="B579" s="7" t="s">
        <v>748</v>
      </c>
      <c r="C579" s="8" t="s">
        <v>1930</v>
      </c>
      <c r="D579" s="8" t="s">
        <v>279</v>
      </c>
      <c r="E579" s="8" t="s">
        <v>1916</v>
      </c>
      <c r="F579" s="9" t="s">
        <v>1931</v>
      </c>
      <c r="G579" s="9" t="s">
        <v>1932</v>
      </c>
      <c r="H579" s="9" t="s">
        <v>1933</v>
      </c>
      <c r="I579" s="9" t="s">
        <v>66</v>
      </c>
      <c r="J579" s="10" t="s">
        <v>237</v>
      </c>
      <c r="K579" s="15" t="str">
        <f>VLOOKUP(J579,DADOS!$A$3:$B$100,2,FALSE)</f>
        <v>EE-GI-221-037</v>
      </c>
      <c r="L579" s="15" t="s">
        <v>754</v>
      </c>
      <c r="M579" s="18" t="b">
        <v>1</v>
      </c>
      <c r="N579" s="17" t="b">
        <v>1</v>
      </c>
      <c r="O579" s="17" t="b">
        <v>1</v>
      </c>
      <c r="P579" s="17" t="b">
        <v>1</v>
      </c>
      <c r="Q579" s="17" t="b">
        <v>1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 t="s">
        <v>279</v>
      </c>
      <c r="X579" s="12" t="s">
        <v>14</v>
      </c>
      <c r="Y579" s="12" t="s">
        <v>14</v>
      </c>
      <c r="Z579" s="13" t="s">
        <v>355</v>
      </c>
    </row>
    <row r="580" spans="1:26" ht="19.95" customHeight="1" x14ac:dyDescent="0.3">
      <c r="A580" s="6">
        <v>45708</v>
      </c>
      <c r="B580" s="7" t="s">
        <v>748</v>
      </c>
      <c r="C580" s="8" t="s">
        <v>1934</v>
      </c>
      <c r="D580" s="8" t="s">
        <v>287</v>
      </c>
      <c r="E580" s="8" t="s">
        <v>1935</v>
      </c>
      <c r="F580" s="9" t="s">
        <v>1936</v>
      </c>
      <c r="G580" s="9" t="s">
        <v>1937</v>
      </c>
      <c r="H580" s="9" t="s">
        <v>1938</v>
      </c>
      <c r="I580" s="9" t="s">
        <v>66</v>
      </c>
      <c r="J580" s="10" t="s">
        <v>60</v>
      </c>
      <c r="K580" s="15" t="str">
        <f>VLOOKUP(J580,DADOS!$A$3:$B$100,2,FALSE)</f>
        <v>EE-GI-221-038</v>
      </c>
      <c r="L580" s="15" t="s">
        <v>754</v>
      </c>
      <c r="M580" s="18" t="b">
        <v>1</v>
      </c>
      <c r="N580" s="17" t="b">
        <v>1</v>
      </c>
      <c r="O580" s="17" t="b">
        <v>1</v>
      </c>
      <c r="P580" s="17" t="b">
        <v>1</v>
      </c>
      <c r="Q580" s="17" t="b">
        <v>1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 t="s">
        <v>287</v>
      </c>
      <c r="X580" s="12" t="s">
        <v>14</v>
      </c>
      <c r="Y580" s="12" t="s">
        <v>14</v>
      </c>
      <c r="Z580" s="13" t="s">
        <v>355</v>
      </c>
    </row>
    <row r="581" spans="1:26" ht="19.95" customHeight="1" x14ac:dyDescent="0.3">
      <c r="A581" s="6">
        <v>45708</v>
      </c>
      <c r="B581" s="7" t="s">
        <v>748</v>
      </c>
      <c r="C581" s="8" t="s">
        <v>1934</v>
      </c>
      <c r="D581" s="8" t="s">
        <v>287</v>
      </c>
      <c r="E581" s="8" t="s">
        <v>1935</v>
      </c>
      <c r="F581" s="9" t="s">
        <v>1939</v>
      </c>
      <c r="G581" s="9" t="s">
        <v>1937</v>
      </c>
      <c r="H581" s="9" t="s">
        <v>1938</v>
      </c>
      <c r="I581" s="9" t="s">
        <v>66</v>
      </c>
      <c r="J581" s="10" t="s">
        <v>60</v>
      </c>
      <c r="K581" s="15" t="str">
        <f>VLOOKUP(J581,DADOS!$A$3:$B$100,2,FALSE)</f>
        <v>EE-GI-221-038</v>
      </c>
      <c r="L581" s="15" t="s">
        <v>754</v>
      </c>
      <c r="M581" s="18" t="b">
        <v>1</v>
      </c>
      <c r="N581" s="17" t="b">
        <v>1</v>
      </c>
      <c r="O581" s="17" t="b">
        <v>1</v>
      </c>
      <c r="P581" s="17" t="b">
        <v>1</v>
      </c>
      <c r="Q581" s="17" t="b">
        <v>1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 t="s">
        <v>287</v>
      </c>
      <c r="X581" s="12" t="s">
        <v>14</v>
      </c>
      <c r="Y581" s="12" t="s">
        <v>14</v>
      </c>
      <c r="Z581" s="13" t="s">
        <v>355</v>
      </c>
    </row>
    <row r="582" spans="1:26" ht="19.95" customHeight="1" x14ac:dyDescent="0.3">
      <c r="A582" s="6">
        <v>45708</v>
      </c>
      <c r="B582" s="7" t="s">
        <v>748</v>
      </c>
      <c r="C582" s="8" t="s">
        <v>1934</v>
      </c>
      <c r="D582" s="8" t="s">
        <v>269</v>
      </c>
      <c r="E582" s="8" t="s">
        <v>1935</v>
      </c>
      <c r="F582" s="9" t="s">
        <v>1865</v>
      </c>
      <c r="G582" s="9" t="s">
        <v>1937</v>
      </c>
      <c r="H582" s="9" t="s">
        <v>1938</v>
      </c>
      <c r="I582" s="9" t="s">
        <v>66</v>
      </c>
      <c r="J582" s="10" t="s">
        <v>60</v>
      </c>
      <c r="K582" s="15" t="str">
        <f>VLOOKUP(J582,DADOS!$A$3:$B$100,2,FALSE)</f>
        <v>EE-GI-221-038</v>
      </c>
      <c r="L582" s="15" t="s">
        <v>754</v>
      </c>
      <c r="M582" s="18" t="b">
        <v>1</v>
      </c>
      <c r="N582" s="17" t="b">
        <v>1</v>
      </c>
      <c r="O582" s="17" t="b">
        <v>1</v>
      </c>
      <c r="P582" s="17" t="b">
        <v>1</v>
      </c>
      <c r="Q582" s="17" t="b">
        <v>1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 t="s">
        <v>269</v>
      </c>
      <c r="X582" s="12" t="s">
        <v>14</v>
      </c>
      <c r="Y582" s="12" t="s">
        <v>14</v>
      </c>
      <c r="Z582" s="13" t="s">
        <v>355</v>
      </c>
    </row>
    <row r="583" spans="1:26" ht="19.95" customHeight="1" x14ac:dyDescent="0.3">
      <c r="A583" s="6">
        <v>45708</v>
      </c>
      <c r="B583" s="7" t="s">
        <v>748</v>
      </c>
      <c r="C583" s="8" t="s">
        <v>1845</v>
      </c>
      <c r="D583" s="8" t="s">
        <v>2446</v>
      </c>
      <c r="E583" s="8" t="s">
        <v>1820</v>
      </c>
      <c r="F583" s="9" t="s">
        <v>1849</v>
      </c>
      <c r="G583" s="9" t="s">
        <v>1826</v>
      </c>
      <c r="H583" s="9" t="s">
        <v>2447</v>
      </c>
      <c r="I583" s="9" t="s">
        <v>66</v>
      </c>
      <c r="J583" s="10" t="s">
        <v>21</v>
      </c>
      <c r="K583" s="15" t="str">
        <f>VLOOKUP(J583,DADOS!$A$3:$B$100,2,FALSE)</f>
        <v>EE-GI-221-064</v>
      </c>
      <c r="L583" s="15" t="s">
        <v>754</v>
      </c>
      <c r="M583" s="18" t="b">
        <v>1</v>
      </c>
      <c r="N583" s="17" t="b">
        <v>1</v>
      </c>
      <c r="O583" s="17" t="b">
        <v>1</v>
      </c>
      <c r="P583" s="17" t="b">
        <v>1</v>
      </c>
      <c r="Q583" s="17" t="b">
        <v>1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 t="s">
        <v>2446</v>
      </c>
      <c r="X583" s="12" t="s">
        <v>14</v>
      </c>
      <c r="Y583" s="12" t="s">
        <v>14</v>
      </c>
      <c r="Z583" s="13" t="s">
        <v>355</v>
      </c>
    </row>
    <row r="584" spans="1:26" ht="19.95" customHeight="1" x14ac:dyDescent="0.3">
      <c r="A584" s="6">
        <v>45708</v>
      </c>
      <c r="B584" s="7" t="s">
        <v>748</v>
      </c>
      <c r="C584" s="8" t="s">
        <v>1247</v>
      </c>
      <c r="D584" s="8" t="s">
        <v>281</v>
      </c>
      <c r="E584" s="8" t="s">
        <v>1916</v>
      </c>
      <c r="F584" s="9" t="s">
        <v>1948</v>
      </c>
      <c r="G584" s="9" t="s">
        <v>1913</v>
      </c>
      <c r="H584" s="9" t="s">
        <v>2448</v>
      </c>
      <c r="I584" s="9" t="s">
        <v>66</v>
      </c>
      <c r="J584" s="10" t="s">
        <v>19</v>
      </c>
      <c r="K584" s="15" t="str">
        <f>VLOOKUP(J584,DADOS!$A$3:$B$100,2,FALSE)</f>
        <v>EE-GI-221-033</v>
      </c>
      <c r="L584" s="15" t="s">
        <v>754</v>
      </c>
      <c r="M584" s="18" t="b">
        <v>1</v>
      </c>
      <c r="N584" s="17" t="b">
        <v>1</v>
      </c>
      <c r="O584" s="17" t="b">
        <v>1</v>
      </c>
      <c r="P584" s="17" t="b">
        <v>1</v>
      </c>
      <c r="Q584" s="17" t="b">
        <v>1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 t="s">
        <v>281</v>
      </c>
      <c r="X584" s="12" t="s">
        <v>14</v>
      </c>
      <c r="Y584" s="12" t="s">
        <v>14</v>
      </c>
      <c r="Z584" s="13" t="s">
        <v>355</v>
      </c>
    </row>
    <row r="585" spans="1:26" ht="19.95" customHeight="1" x14ac:dyDescent="0.3">
      <c r="A585" s="6">
        <v>45708</v>
      </c>
      <c r="B585" s="7" t="s">
        <v>1568</v>
      </c>
      <c r="C585" s="8" t="s">
        <v>2101</v>
      </c>
      <c r="D585" s="8" t="s">
        <v>458</v>
      </c>
      <c r="E585" s="8" t="s">
        <v>2102</v>
      </c>
      <c r="F585" s="9" t="s">
        <v>2103</v>
      </c>
      <c r="G585" s="9" t="s">
        <v>2104</v>
      </c>
      <c r="H585" s="9" t="s">
        <v>2105</v>
      </c>
      <c r="I585" s="9" t="s">
        <v>69</v>
      </c>
      <c r="J585" s="10" t="s">
        <v>185</v>
      </c>
      <c r="K585" s="15" t="str">
        <f>VLOOKUP(J585,DADOS!$A$3:$B$100,2,FALSE)</f>
        <v>EE-GI-001-031</v>
      </c>
      <c r="L585" s="15" t="s">
        <v>260</v>
      </c>
      <c r="M585" s="18" t="b">
        <v>1</v>
      </c>
      <c r="N585" s="17" t="b">
        <v>1</v>
      </c>
      <c r="O585" s="17" t="b">
        <v>1</v>
      </c>
      <c r="P585" s="17" t="b">
        <v>1</v>
      </c>
      <c r="Q585" s="17" t="b">
        <v>0</v>
      </c>
      <c r="R585" s="17" t="b">
        <v>1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 t="s">
        <v>458</v>
      </c>
      <c r="X585" s="12" t="s">
        <v>14</v>
      </c>
      <c r="Y585" s="12" t="s">
        <v>14</v>
      </c>
      <c r="Z585" s="13" t="s">
        <v>355</v>
      </c>
    </row>
    <row r="586" spans="1:26" ht="19.95" customHeight="1" x14ac:dyDescent="0.3">
      <c r="A586" s="6">
        <v>45708</v>
      </c>
      <c r="B586" s="7" t="s">
        <v>1568</v>
      </c>
      <c r="C586" s="8" t="s">
        <v>2106</v>
      </c>
      <c r="D586" s="8" t="s">
        <v>281</v>
      </c>
      <c r="E586" s="8" t="s">
        <v>2102</v>
      </c>
      <c r="F586" s="9" t="s">
        <v>2107</v>
      </c>
      <c r="G586" s="9" t="s">
        <v>2108</v>
      </c>
      <c r="H586" s="9" t="s">
        <v>2109</v>
      </c>
      <c r="I586" s="9" t="s">
        <v>69</v>
      </c>
      <c r="J586" s="10" t="s">
        <v>210</v>
      </c>
      <c r="K586" s="15" t="str">
        <f>VLOOKUP(J586,DADOS!$A$3:$B$100,2,FALSE)</f>
        <v>EE-GI-021-008</v>
      </c>
      <c r="L586" s="15" t="s">
        <v>1955</v>
      </c>
      <c r="M586" s="18" t="b">
        <v>1</v>
      </c>
      <c r="N586" s="17" t="b">
        <v>1</v>
      </c>
      <c r="O586" s="17" t="b">
        <v>1</v>
      </c>
      <c r="P586" s="17" t="b">
        <v>1</v>
      </c>
      <c r="Q586" s="17" t="b">
        <v>0</v>
      </c>
      <c r="R586" s="17" t="b">
        <v>1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 t="s">
        <v>281</v>
      </c>
      <c r="X586" s="12" t="s">
        <v>14</v>
      </c>
      <c r="Y586" s="12" t="s">
        <v>14</v>
      </c>
      <c r="Z586" s="13" t="s">
        <v>355</v>
      </c>
    </row>
    <row r="587" spans="1:26" ht="19.95" customHeight="1" x14ac:dyDescent="0.3">
      <c r="A587" s="6">
        <v>45708</v>
      </c>
      <c r="B587" s="7" t="s">
        <v>2155</v>
      </c>
      <c r="C587" s="8" t="s">
        <v>2156</v>
      </c>
      <c r="D587" s="8" t="s">
        <v>277</v>
      </c>
      <c r="E587" s="8" t="s">
        <v>2157</v>
      </c>
      <c r="F587" s="9" t="s">
        <v>2158</v>
      </c>
      <c r="G587" s="9" t="s">
        <v>914</v>
      </c>
      <c r="H587" s="9" t="s">
        <v>2159</v>
      </c>
      <c r="I587" s="9" t="s">
        <v>66</v>
      </c>
      <c r="J587" s="10" t="s">
        <v>186</v>
      </c>
      <c r="K587" s="15" t="str">
        <f>VLOOKUP(J587,[3]DADOS!$A$3:$B$100,2,FALSE)</f>
        <v>EE-GI-001-008</v>
      </c>
      <c r="L587" s="15" t="s">
        <v>1955</v>
      </c>
      <c r="M587" s="18" t="b">
        <v>1</v>
      </c>
      <c r="N587" s="17" t="b">
        <v>1</v>
      </c>
      <c r="O587" s="17" t="b">
        <v>0</v>
      </c>
      <c r="P587" s="17" t="b">
        <v>1</v>
      </c>
      <c r="Q587" s="17" t="b">
        <v>0</v>
      </c>
      <c r="R587" s="17" t="b">
        <v>1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 t="s">
        <v>277</v>
      </c>
      <c r="X587" s="12" t="s">
        <v>14</v>
      </c>
      <c r="Y587" s="12" t="s">
        <v>14</v>
      </c>
      <c r="Z587" s="13" t="s">
        <v>355</v>
      </c>
    </row>
    <row r="588" spans="1:26" ht="19.95" customHeight="1" x14ac:dyDescent="0.3">
      <c r="A588" s="6">
        <v>45708</v>
      </c>
      <c r="B588" s="7" t="s">
        <v>2155</v>
      </c>
      <c r="C588" s="8" t="s">
        <v>2156</v>
      </c>
      <c r="D588" s="8" t="s">
        <v>373</v>
      </c>
      <c r="E588" s="8" t="s">
        <v>2157</v>
      </c>
      <c r="F588" s="9" t="s">
        <v>2160</v>
      </c>
      <c r="G588" s="9" t="s">
        <v>914</v>
      </c>
      <c r="H588" s="9" t="s">
        <v>2159</v>
      </c>
      <c r="I588" s="9" t="s">
        <v>66</v>
      </c>
      <c r="J588" s="10" t="s">
        <v>186</v>
      </c>
      <c r="K588" s="15" t="str">
        <f>VLOOKUP(J588,[3]DADOS!$A$3:$B$100,2,FALSE)</f>
        <v>EE-GI-001-008</v>
      </c>
      <c r="L588" s="15" t="s">
        <v>1955</v>
      </c>
      <c r="M588" s="18" t="b">
        <v>1</v>
      </c>
      <c r="N588" s="17" t="b">
        <v>1</v>
      </c>
      <c r="O588" s="17" t="b">
        <v>0</v>
      </c>
      <c r="P588" s="17" t="b">
        <v>1</v>
      </c>
      <c r="Q588" s="17" t="b">
        <v>0</v>
      </c>
      <c r="R588" s="17" t="b">
        <v>1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 t="s">
        <v>373</v>
      </c>
      <c r="X588" s="12" t="s">
        <v>14</v>
      </c>
      <c r="Y588" s="12" t="s">
        <v>14</v>
      </c>
      <c r="Z588" s="13" t="s">
        <v>355</v>
      </c>
    </row>
    <row r="589" spans="1:26" ht="19.95" customHeight="1" x14ac:dyDescent="0.3">
      <c r="A589" s="6">
        <v>45708</v>
      </c>
      <c r="B589" s="7" t="s">
        <v>2155</v>
      </c>
      <c r="C589" s="8" t="s">
        <v>2156</v>
      </c>
      <c r="D589" s="8" t="s">
        <v>1605</v>
      </c>
      <c r="E589" s="8" t="s">
        <v>2157</v>
      </c>
      <c r="F589" s="9" t="s">
        <v>2160</v>
      </c>
      <c r="G589" s="9" t="s">
        <v>914</v>
      </c>
      <c r="H589" s="9" t="s">
        <v>2159</v>
      </c>
      <c r="I589" s="9" t="s">
        <v>66</v>
      </c>
      <c r="J589" s="10" t="s">
        <v>186</v>
      </c>
      <c r="K589" s="15" t="str">
        <f>VLOOKUP(J589,[3]DADOS!$A$3:$B$100,2,FALSE)</f>
        <v>EE-GI-001-008</v>
      </c>
      <c r="L589" s="15" t="s">
        <v>1955</v>
      </c>
      <c r="M589" s="18" t="b">
        <v>1</v>
      </c>
      <c r="N589" s="17" t="b">
        <v>1</v>
      </c>
      <c r="O589" s="17" t="b">
        <v>1</v>
      </c>
      <c r="P589" s="17" t="b">
        <v>1</v>
      </c>
      <c r="Q589" s="17" t="b">
        <v>0</v>
      </c>
      <c r="R589" s="17" t="b">
        <v>1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 t="s">
        <v>1605</v>
      </c>
      <c r="X589" s="12" t="s">
        <v>14</v>
      </c>
      <c r="Y589" s="12" t="s">
        <v>14</v>
      </c>
      <c r="Z589" s="13" t="s">
        <v>355</v>
      </c>
    </row>
    <row r="590" spans="1:26" ht="19.95" customHeight="1" x14ac:dyDescent="0.3">
      <c r="A590" s="6">
        <v>45708</v>
      </c>
      <c r="B590" s="7" t="s">
        <v>2155</v>
      </c>
      <c r="C590" s="8" t="s">
        <v>2161</v>
      </c>
      <c r="D590" s="8" t="s">
        <v>277</v>
      </c>
      <c r="E590" s="8" t="s">
        <v>2157</v>
      </c>
      <c r="F590" s="9" t="s">
        <v>2162</v>
      </c>
      <c r="G590" s="9" t="s">
        <v>2163</v>
      </c>
      <c r="H590" s="9" t="s">
        <v>2164</v>
      </c>
      <c r="I590" s="9" t="s">
        <v>66</v>
      </c>
      <c r="J590" s="10" t="s">
        <v>186</v>
      </c>
      <c r="K590" s="15" t="str">
        <f>VLOOKUP(J590,DADOS!$A$3:$B$101,2,FALSE)</f>
        <v>EE-GI-001-008</v>
      </c>
      <c r="L590" s="15" t="s">
        <v>1955</v>
      </c>
      <c r="M590" s="18" t="b">
        <v>1</v>
      </c>
      <c r="N590" s="17" t="b">
        <v>1</v>
      </c>
      <c r="O590" s="17" t="b">
        <v>1</v>
      </c>
      <c r="P590" s="17" t="b">
        <v>1</v>
      </c>
      <c r="Q590" s="17" t="b">
        <v>0</v>
      </c>
      <c r="R590" s="17" t="b">
        <v>1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 t="s">
        <v>277</v>
      </c>
      <c r="X590" s="12" t="s">
        <v>14</v>
      </c>
      <c r="Y590" s="12" t="s">
        <v>14</v>
      </c>
      <c r="Z590" s="13" t="s">
        <v>355</v>
      </c>
    </row>
    <row r="591" spans="1:26" ht="19.95" customHeight="1" x14ac:dyDescent="0.3">
      <c r="A591" s="6">
        <v>45708</v>
      </c>
      <c r="B591" s="7" t="s">
        <v>2155</v>
      </c>
      <c r="C591" s="8" t="s">
        <v>2165</v>
      </c>
      <c r="D591" s="8" t="s">
        <v>414</v>
      </c>
      <c r="E591" s="8" t="s">
        <v>2157</v>
      </c>
      <c r="F591" s="9" t="s">
        <v>2166</v>
      </c>
      <c r="G591" s="9" t="s">
        <v>2167</v>
      </c>
      <c r="H591" s="9" t="s">
        <v>2169</v>
      </c>
      <c r="I591" s="9" t="s">
        <v>66</v>
      </c>
      <c r="J591" s="10" t="s">
        <v>186</v>
      </c>
      <c r="K591" s="15" t="str">
        <f>VLOOKUP(J591,DADOS!$A$3:$B$101,2,FALSE)</f>
        <v>EE-GI-001-008</v>
      </c>
      <c r="L591" s="15" t="s">
        <v>1955</v>
      </c>
      <c r="M591" s="18" t="b">
        <v>1</v>
      </c>
      <c r="N591" s="17" t="b">
        <v>1</v>
      </c>
      <c r="O591" s="17" t="b">
        <v>1</v>
      </c>
      <c r="P591" s="17" t="b">
        <v>1</v>
      </c>
      <c r="Q591" s="17" t="b">
        <v>0</v>
      </c>
      <c r="R591" s="17" t="b">
        <v>1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 t="s">
        <v>414</v>
      </c>
      <c r="X591" s="12" t="s">
        <v>14</v>
      </c>
      <c r="Y591" s="12" t="s">
        <v>14</v>
      </c>
      <c r="Z591" s="13" t="s">
        <v>355</v>
      </c>
    </row>
    <row r="592" spans="1:26" ht="19.95" customHeight="1" x14ac:dyDescent="0.3">
      <c r="A592" s="6">
        <v>45708</v>
      </c>
      <c r="B592" s="7" t="s">
        <v>2155</v>
      </c>
      <c r="C592" s="8" t="s">
        <v>2165</v>
      </c>
      <c r="D592" s="8" t="s">
        <v>269</v>
      </c>
      <c r="E592" s="8" t="s">
        <v>2157</v>
      </c>
      <c r="F592" s="9" t="s">
        <v>2170</v>
      </c>
      <c r="G592" s="9" t="s">
        <v>2171</v>
      </c>
      <c r="H592" s="9" t="s">
        <v>2168</v>
      </c>
      <c r="I592" s="9" t="s">
        <v>66</v>
      </c>
      <c r="J592" s="10" t="s">
        <v>186</v>
      </c>
      <c r="K592" s="15" t="str">
        <f>VLOOKUP(J592,DADOS!$A$3:$B$101,2,FALSE)</f>
        <v>EE-GI-001-008</v>
      </c>
      <c r="L592" s="15" t="s">
        <v>1955</v>
      </c>
      <c r="M592" s="18" t="b">
        <v>1</v>
      </c>
      <c r="N592" s="17" t="b">
        <v>1</v>
      </c>
      <c r="O592" s="17" t="b">
        <v>1</v>
      </c>
      <c r="P592" s="17" t="b">
        <v>1</v>
      </c>
      <c r="Q592" s="17" t="b">
        <v>0</v>
      </c>
      <c r="R592" s="17" t="b">
        <v>1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 t="s">
        <v>269</v>
      </c>
      <c r="X592" s="12" t="s">
        <v>14</v>
      </c>
      <c r="Y592" s="12" t="s">
        <v>14</v>
      </c>
      <c r="Z592" s="13" t="s">
        <v>355</v>
      </c>
    </row>
    <row r="593" spans="1:26" ht="19.95" customHeight="1" x14ac:dyDescent="0.3">
      <c r="A593" s="6">
        <v>45708</v>
      </c>
      <c r="B593" s="7" t="s">
        <v>2155</v>
      </c>
      <c r="C593" s="8" t="s">
        <v>2172</v>
      </c>
      <c r="D593" s="8" t="s">
        <v>2173</v>
      </c>
      <c r="E593" s="8" t="s">
        <v>2157</v>
      </c>
      <c r="F593" s="9" t="s">
        <v>2174</v>
      </c>
      <c r="G593" s="9" t="s">
        <v>2176</v>
      </c>
      <c r="H593" s="9" t="s">
        <v>2175</v>
      </c>
      <c r="I593" s="9" t="s">
        <v>66</v>
      </c>
      <c r="J593" s="10" t="s">
        <v>186</v>
      </c>
      <c r="K593" s="15" t="str">
        <f>VLOOKUP(J593,DADOS!$A$3:$B$101,2,FALSE)</f>
        <v>EE-GI-001-008</v>
      </c>
      <c r="L593" s="15" t="s">
        <v>260</v>
      </c>
      <c r="M593" s="18" t="b">
        <v>1</v>
      </c>
      <c r="N593" s="17" t="b">
        <v>1</v>
      </c>
      <c r="O593" s="17" t="b">
        <v>1</v>
      </c>
      <c r="P593" s="17" t="b">
        <v>1</v>
      </c>
      <c r="Q593" s="17" t="b">
        <v>0</v>
      </c>
      <c r="R593" s="17" t="b">
        <v>1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 t="s">
        <v>2173</v>
      </c>
      <c r="X593" s="12" t="s">
        <v>14</v>
      </c>
      <c r="Y593" s="12" t="s">
        <v>14</v>
      </c>
      <c r="Z593" s="13" t="s">
        <v>355</v>
      </c>
    </row>
    <row r="594" spans="1:26" ht="19.95" customHeight="1" x14ac:dyDescent="0.3">
      <c r="A594" s="6">
        <v>45708</v>
      </c>
      <c r="B594" s="7" t="s">
        <v>930</v>
      </c>
      <c r="C594" s="8" t="s">
        <v>2682</v>
      </c>
      <c r="D594" s="8" t="s">
        <v>414</v>
      </c>
      <c r="E594" s="8" t="s">
        <v>933</v>
      </c>
      <c r="F594" s="9" t="s">
        <v>2683</v>
      </c>
      <c r="G594" s="9" t="s">
        <v>1285</v>
      </c>
      <c r="H594" s="9" t="s">
        <v>2581</v>
      </c>
      <c r="I594" s="9" t="s">
        <v>68</v>
      </c>
      <c r="J594" s="10" t="s">
        <v>174</v>
      </c>
      <c r="K594" s="15" t="str">
        <f>VLOOKUP(J594,DADOS!$A$3:$B$101,2,FALSE)</f>
        <v>EE-GI-001-007</v>
      </c>
      <c r="L594" s="15" t="s">
        <v>260</v>
      </c>
      <c r="M594" s="18" t="b">
        <v>1</v>
      </c>
      <c r="N594" s="17" t="b">
        <v>1</v>
      </c>
      <c r="O594" s="17" t="b">
        <v>1</v>
      </c>
      <c r="P594" s="17" t="b">
        <v>1</v>
      </c>
      <c r="Q594" s="17" t="b">
        <v>0</v>
      </c>
      <c r="R594" s="17" t="b">
        <v>1</v>
      </c>
      <c r="S594" s="17" t="b">
        <v>0</v>
      </c>
      <c r="T594" s="17" t="b">
        <v>0</v>
      </c>
      <c r="U594" s="17" t="b">
        <v>0</v>
      </c>
      <c r="V594" s="17" t="b">
        <v>1</v>
      </c>
      <c r="W594" s="11" t="s">
        <v>414</v>
      </c>
      <c r="X594" s="12" t="s">
        <v>14</v>
      </c>
      <c r="Y594" s="12" t="s">
        <v>14</v>
      </c>
      <c r="Z594" s="13" t="s">
        <v>2536</v>
      </c>
    </row>
    <row r="595" spans="1:26" ht="19.95" customHeight="1" x14ac:dyDescent="0.3">
      <c r="A595" s="6">
        <v>45708</v>
      </c>
      <c r="B595" s="7" t="s">
        <v>930</v>
      </c>
      <c r="C595" s="8" t="s">
        <v>2686</v>
      </c>
      <c r="D595" s="8" t="s">
        <v>269</v>
      </c>
      <c r="E595" s="8" t="s">
        <v>933</v>
      </c>
      <c r="F595" s="9" t="s">
        <v>2687</v>
      </c>
      <c r="G595" s="9" t="s">
        <v>2688</v>
      </c>
      <c r="H595" s="9" t="s">
        <v>2581</v>
      </c>
      <c r="I595" s="9" t="s">
        <v>69</v>
      </c>
      <c r="J595" s="10" t="s">
        <v>17</v>
      </c>
      <c r="K595" s="15" t="str">
        <f>VLOOKUP(J595,DADOS!$A$3:$B$101,2,FALSE)</f>
        <v>EE-GI-001-001</v>
      </c>
      <c r="L595" s="15" t="s">
        <v>260</v>
      </c>
      <c r="M595" s="18" t="b">
        <v>1</v>
      </c>
      <c r="N595" s="17" t="b">
        <v>1</v>
      </c>
      <c r="O595" s="17" t="b">
        <v>1</v>
      </c>
      <c r="P595" s="17" t="b">
        <v>1</v>
      </c>
      <c r="Q595" s="17" t="b">
        <v>0</v>
      </c>
      <c r="R595" s="17" t="b">
        <v>1</v>
      </c>
      <c r="S595" s="17" t="b">
        <v>0</v>
      </c>
      <c r="T595" s="17" t="b">
        <v>0</v>
      </c>
      <c r="U595" s="17" t="b">
        <v>0</v>
      </c>
      <c r="V595" s="17" t="b">
        <v>1</v>
      </c>
      <c r="W595" s="11" t="s">
        <v>269</v>
      </c>
      <c r="X595" s="12" t="s">
        <v>14</v>
      </c>
      <c r="Y595" s="12" t="s">
        <v>14</v>
      </c>
      <c r="Z595" s="13" t="s">
        <v>2536</v>
      </c>
    </row>
    <row r="596" spans="1:26" ht="19.95" customHeight="1" x14ac:dyDescent="0.3">
      <c r="A596" s="6">
        <v>45709</v>
      </c>
      <c r="B596" s="7" t="s">
        <v>948</v>
      </c>
      <c r="C596" s="8" t="s">
        <v>952</v>
      </c>
      <c r="D596" s="8" t="s">
        <v>269</v>
      </c>
      <c r="E596" s="8" t="s">
        <v>953</v>
      </c>
      <c r="F596" s="9" t="s">
        <v>954</v>
      </c>
      <c r="G596" s="9" t="s">
        <v>367</v>
      </c>
      <c r="H596" s="9" t="s">
        <v>14</v>
      </c>
      <c r="I596" s="9" t="s">
        <v>70</v>
      </c>
      <c r="J596" s="10" t="s">
        <v>14</v>
      </c>
      <c r="K596" s="15" t="e">
        <f>VLOOKUP(J596,DADOS!$A$3:$B$100,2,FALSE)</f>
        <v>#N/A</v>
      </c>
      <c r="L596" s="15" t="s">
        <v>260</v>
      </c>
      <c r="M596" s="18" t="b">
        <v>1</v>
      </c>
      <c r="N596" s="17" t="b">
        <v>1</v>
      </c>
      <c r="O596" s="17" t="b">
        <v>1</v>
      </c>
      <c r="P596" s="17" t="b">
        <v>1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1</v>
      </c>
      <c r="W596" s="11" t="s">
        <v>269</v>
      </c>
      <c r="X596" s="12" t="s">
        <v>14</v>
      </c>
      <c r="Y596" s="12" t="s">
        <v>14</v>
      </c>
      <c r="Z596" s="13" t="s">
        <v>261</v>
      </c>
    </row>
    <row r="597" spans="1:26" ht="19.95" customHeight="1" x14ac:dyDescent="0.3">
      <c r="A597" s="6">
        <v>45709</v>
      </c>
      <c r="B597" s="7" t="s">
        <v>948</v>
      </c>
      <c r="C597" s="8" t="s">
        <v>932</v>
      </c>
      <c r="D597" s="8" t="s">
        <v>281</v>
      </c>
      <c r="E597" s="8" t="s">
        <v>953</v>
      </c>
      <c r="F597" s="9" t="s">
        <v>955</v>
      </c>
      <c r="G597" s="9" t="s">
        <v>367</v>
      </c>
      <c r="H597" s="9" t="s">
        <v>14</v>
      </c>
      <c r="I597" s="9" t="s">
        <v>70</v>
      </c>
      <c r="J597" s="10" t="s">
        <v>14</v>
      </c>
      <c r="K597" s="15" t="e">
        <f>VLOOKUP(J597,DADOS!$A$3:$B$100,2,FALSE)</f>
        <v>#N/A</v>
      </c>
      <c r="L597" s="15" t="s">
        <v>260</v>
      </c>
      <c r="M597" s="18" t="b">
        <v>1</v>
      </c>
      <c r="N597" s="17" t="b">
        <v>1</v>
      </c>
      <c r="O597" s="17" t="b">
        <v>1</v>
      </c>
      <c r="P597" s="17" t="b">
        <v>1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1</v>
      </c>
      <c r="W597" s="11" t="s">
        <v>281</v>
      </c>
      <c r="X597" s="12" t="s">
        <v>14</v>
      </c>
      <c r="Y597" s="12" t="s">
        <v>14</v>
      </c>
      <c r="Z597" s="13" t="s">
        <v>261</v>
      </c>
    </row>
    <row r="598" spans="1:26" ht="19.95" customHeight="1" x14ac:dyDescent="0.3">
      <c r="A598" s="6">
        <v>45709</v>
      </c>
      <c r="B598" s="7" t="s">
        <v>377</v>
      </c>
      <c r="C598" s="8" t="s">
        <v>1148</v>
      </c>
      <c r="D598" s="8" t="s">
        <v>434</v>
      </c>
      <c r="E598" s="8" t="s">
        <v>1142</v>
      </c>
      <c r="F598" s="9" t="s">
        <v>1145</v>
      </c>
      <c r="G598" s="9" t="s">
        <v>367</v>
      </c>
      <c r="H598" s="9" t="s">
        <v>1149</v>
      </c>
      <c r="I598" s="9" t="s">
        <v>14</v>
      </c>
      <c r="J598" s="10" t="s">
        <v>173</v>
      </c>
      <c r="K598" s="15" t="str">
        <f>VLOOKUP(J598,DADOS!$A$3:$B$100,2,FALSE)</f>
        <v>EE-GI-001-006</v>
      </c>
      <c r="L598" s="37" t="s">
        <v>1155</v>
      </c>
      <c r="M598" s="18" t="b">
        <v>1</v>
      </c>
      <c r="N598" s="17" t="b">
        <v>1</v>
      </c>
      <c r="O598" s="17" t="b">
        <v>1</v>
      </c>
      <c r="P598" s="17" t="b">
        <v>1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1</v>
      </c>
      <c r="W598" s="11" t="s">
        <v>14</v>
      </c>
      <c r="X598" s="12" t="s">
        <v>434</v>
      </c>
      <c r="Y598" s="12" t="s">
        <v>1150</v>
      </c>
      <c r="Z598" s="12" t="s">
        <v>1151</v>
      </c>
    </row>
    <row r="599" spans="1:26" ht="19.95" customHeight="1" x14ac:dyDescent="0.3">
      <c r="A599" s="6">
        <v>45709</v>
      </c>
      <c r="B599" s="7" t="s">
        <v>845</v>
      </c>
      <c r="C599" s="8" t="s">
        <v>1225</v>
      </c>
      <c r="D599" s="8" t="s">
        <v>269</v>
      </c>
      <c r="E599" s="8" t="s">
        <v>1226</v>
      </c>
      <c r="F599" s="9" t="s">
        <v>1227</v>
      </c>
      <c r="G599" s="9" t="s">
        <v>1228</v>
      </c>
      <c r="H599" s="9" t="s">
        <v>1229</v>
      </c>
      <c r="I599" s="9" t="s">
        <v>70</v>
      </c>
      <c r="J599" s="10" t="s">
        <v>17</v>
      </c>
      <c r="K599" s="15" t="str">
        <f>VLOOKUP(J599,DADOS!$A$3:$B$100,2,FALSE)</f>
        <v>EE-GI-001-001</v>
      </c>
      <c r="L599" s="37" t="s">
        <v>303</v>
      </c>
      <c r="M599" s="18" t="b">
        <v>1</v>
      </c>
      <c r="N599" s="17" t="b">
        <v>1</v>
      </c>
      <c r="O599" s="17" t="b">
        <v>1</v>
      </c>
      <c r="P599" s="17" t="b">
        <v>1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 t="s">
        <v>269</v>
      </c>
      <c r="X599" s="12" t="s">
        <v>14</v>
      </c>
      <c r="Y599" s="12" t="s">
        <v>14</v>
      </c>
      <c r="Z599" s="13" t="s">
        <v>261</v>
      </c>
    </row>
    <row r="600" spans="1:26" ht="19.95" customHeight="1" x14ac:dyDescent="0.3">
      <c r="A600" s="6">
        <v>45709</v>
      </c>
      <c r="B600" s="7" t="s">
        <v>845</v>
      </c>
      <c r="C600" s="8" t="s">
        <v>1230</v>
      </c>
      <c r="D600" s="8" t="s">
        <v>281</v>
      </c>
      <c r="E600" s="8" t="s">
        <v>1231</v>
      </c>
      <c r="F600" s="9" t="s">
        <v>1232</v>
      </c>
      <c r="G600" s="9" t="s">
        <v>1233</v>
      </c>
      <c r="H600" s="9" t="s">
        <v>1234</v>
      </c>
      <c r="I600" s="9" t="s">
        <v>69</v>
      </c>
      <c r="J600" s="10" t="s">
        <v>17</v>
      </c>
      <c r="K600" s="15" t="str">
        <f>VLOOKUP(J600,DADOS!$A$3:$B$100,2,FALSE)</f>
        <v>EE-GI-001-001</v>
      </c>
      <c r="L600" s="37" t="s">
        <v>303</v>
      </c>
      <c r="M600" s="18" t="b">
        <v>1</v>
      </c>
      <c r="N600" s="17" t="b">
        <v>1</v>
      </c>
      <c r="O600" s="17" t="b">
        <v>1</v>
      </c>
      <c r="P600" s="17" t="b">
        <v>1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 t="s">
        <v>281</v>
      </c>
      <c r="X600" s="12" t="s">
        <v>14</v>
      </c>
      <c r="Y600" s="12" t="s">
        <v>14</v>
      </c>
      <c r="Z600" s="13" t="s">
        <v>261</v>
      </c>
    </row>
    <row r="601" spans="1:26" ht="19.95" customHeight="1" x14ac:dyDescent="0.3">
      <c r="A601" s="6">
        <v>45709</v>
      </c>
      <c r="B601" s="7" t="s">
        <v>362</v>
      </c>
      <c r="C601" s="8" t="s">
        <v>1317</v>
      </c>
      <c r="D601" s="8" t="s">
        <v>269</v>
      </c>
      <c r="E601" s="8" t="s">
        <v>1318</v>
      </c>
      <c r="F601" s="9" t="s">
        <v>1319</v>
      </c>
      <c r="G601" s="9" t="s">
        <v>821</v>
      </c>
      <c r="H601" s="9" t="s">
        <v>1320</v>
      </c>
      <c r="I601" s="9" t="s">
        <v>69</v>
      </c>
      <c r="J601" s="10" t="s">
        <v>173</v>
      </c>
      <c r="K601" s="15" t="str">
        <f>VLOOKUP(J601,DADOS!$A$3:$B$100,2,FALSE)</f>
        <v>EE-GI-001-006</v>
      </c>
      <c r="L601" s="37" t="s">
        <v>260</v>
      </c>
      <c r="M601" s="18" t="b">
        <v>1</v>
      </c>
      <c r="N601" s="17" t="b">
        <v>1</v>
      </c>
      <c r="O601" s="17" t="b">
        <v>1</v>
      </c>
      <c r="P601" s="17" t="b">
        <v>1</v>
      </c>
      <c r="Q601" s="17" t="b">
        <v>0</v>
      </c>
      <c r="R601" s="17" t="b">
        <v>0</v>
      </c>
      <c r="S601" s="17" t="b">
        <v>0</v>
      </c>
      <c r="T601" s="17" t="b">
        <v>1</v>
      </c>
      <c r="U601" s="17" t="b">
        <v>1</v>
      </c>
      <c r="V601" s="17" t="b">
        <v>1</v>
      </c>
      <c r="W601" s="11" t="s">
        <v>269</v>
      </c>
      <c r="X601" s="12" t="s">
        <v>14</v>
      </c>
      <c r="Y601" s="12" t="s">
        <v>14</v>
      </c>
      <c r="Z601" s="13" t="s">
        <v>261</v>
      </c>
    </row>
    <row r="602" spans="1:26" ht="19.95" customHeight="1" x14ac:dyDescent="0.3">
      <c r="A602" s="6">
        <v>45709</v>
      </c>
      <c r="B602" s="7" t="s">
        <v>362</v>
      </c>
      <c r="C602" s="8" t="s">
        <v>2754</v>
      </c>
      <c r="D602" s="8" t="s">
        <v>364</v>
      </c>
      <c r="E602" s="8" t="s">
        <v>2755</v>
      </c>
      <c r="F602" s="9" t="s">
        <v>2756</v>
      </c>
      <c r="G602" s="9" t="s">
        <v>2757</v>
      </c>
      <c r="H602" s="9" t="s">
        <v>2758</v>
      </c>
      <c r="I602" s="9" t="s">
        <v>69</v>
      </c>
      <c r="J602" s="10" t="s">
        <v>174</v>
      </c>
      <c r="K602" s="15" t="str">
        <f>VLOOKUP(J602,DADOS!$A$3:$B$100,2,FALSE)</f>
        <v>EE-GI-001-007</v>
      </c>
      <c r="L602" s="37" t="s">
        <v>260</v>
      </c>
      <c r="M602" s="18" t="b">
        <v>1</v>
      </c>
      <c r="N602" s="17" t="b">
        <v>1</v>
      </c>
      <c r="O602" s="17" t="b">
        <v>1</v>
      </c>
      <c r="P602" s="17" t="b">
        <v>1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1</v>
      </c>
      <c r="W602" s="11" t="s">
        <v>364</v>
      </c>
      <c r="X602" s="12" t="s">
        <v>14</v>
      </c>
      <c r="Y602" s="12" t="s">
        <v>14</v>
      </c>
      <c r="Z602" s="13" t="s">
        <v>2536</v>
      </c>
    </row>
    <row r="603" spans="1:26" ht="19.95" customHeight="1" x14ac:dyDescent="0.3">
      <c r="A603" s="6">
        <v>45709</v>
      </c>
      <c r="B603" s="7" t="s">
        <v>362</v>
      </c>
      <c r="C603" s="8" t="s">
        <v>2759</v>
      </c>
      <c r="D603" s="8" t="s">
        <v>364</v>
      </c>
      <c r="E603" s="8" t="s">
        <v>2760</v>
      </c>
      <c r="F603" s="9" t="s">
        <v>2761</v>
      </c>
      <c r="G603" s="9" t="s">
        <v>2757</v>
      </c>
      <c r="H603" s="9" t="s">
        <v>2762</v>
      </c>
      <c r="I603" s="9" t="s">
        <v>69</v>
      </c>
      <c r="J603" s="10" t="s">
        <v>174</v>
      </c>
      <c r="K603" s="15" t="str">
        <f>VLOOKUP(J603,DADOS!$A$3:$B$100,2,FALSE)</f>
        <v>EE-GI-001-007</v>
      </c>
      <c r="L603" s="37" t="s">
        <v>260</v>
      </c>
      <c r="M603" s="18" t="b">
        <v>1</v>
      </c>
      <c r="N603" s="17" t="b">
        <v>1</v>
      </c>
      <c r="O603" s="17" t="b">
        <v>1</v>
      </c>
      <c r="P603" s="17" t="b">
        <v>1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1</v>
      </c>
      <c r="W603" s="11" t="s">
        <v>364</v>
      </c>
      <c r="X603" s="12" t="s">
        <v>14</v>
      </c>
      <c r="Y603" s="12" t="s">
        <v>14</v>
      </c>
      <c r="Z603" s="13" t="s">
        <v>2536</v>
      </c>
    </row>
    <row r="604" spans="1:26" ht="19.95" customHeight="1" x14ac:dyDescent="0.3">
      <c r="A604" s="6">
        <v>45709</v>
      </c>
      <c r="B604" s="7" t="s">
        <v>362</v>
      </c>
      <c r="C604" s="8" t="s">
        <v>2763</v>
      </c>
      <c r="D604" s="8" t="s">
        <v>279</v>
      </c>
      <c r="E604" s="8" t="s">
        <v>2764</v>
      </c>
      <c r="F604" s="9" t="s">
        <v>2765</v>
      </c>
      <c r="G604" s="34"/>
      <c r="H604" s="9" t="s">
        <v>2766</v>
      </c>
      <c r="I604" s="9" t="s">
        <v>65</v>
      </c>
      <c r="J604" s="10" t="s">
        <v>181</v>
      </c>
      <c r="K604" s="15" t="str">
        <f>VLOOKUP(J604,DADOS!$A$3:$B$100,2,FALSE)</f>
        <v>EE-GI-001-023</v>
      </c>
      <c r="L604" s="37" t="s">
        <v>260</v>
      </c>
      <c r="M604" s="18" t="b">
        <v>1</v>
      </c>
      <c r="N604" s="17" t="b">
        <v>1</v>
      </c>
      <c r="O604" s="17" t="b">
        <v>1</v>
      </c>
      <c r="P604" s="17" t="b">
        <v>1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1</v>
      </c>
      <c r="W604" s="11" t="s">
        <v>279</v>
      </c>
      <c r="X604" s="12" t="s">
        <v>14</v>
      </c>
      <c r="Y604" s="12" t="s">
        <v>14</v>
      </c>
      <c r="Z604" s="13" t="s">
        <v>2536</v>
      </c>
    </row>
    <row r="605" spans="1:26" ht="19.95" customHeight="1" x14ac:dyDescent="0.3">
      <c r="A605" s="6">
        <v>45709</v>
      </c>
      <c r="B605" s="7" t="s">
        <v>339</v>
      </c>
      <c r="C605" s="8" t="s">
        <v>1593</v>
      </c>
      <c r="D605" s="8" t="s">
        <v>281</v>
      </c>
      <c r="E605" s="8" t="s">
        <v>1594</v>
      </c>
      <c r="F605" s="8" t="s">
        <v>1595</v>
      </c>
      <c r="G605" s="9" t="s">
        <v>1596</v>
      </c>
      <c r="H605" s="9" t="s">
        <v>14</v>
      </c>
      <c r="I605" s="9" t="s">
        <v>66</v>
      </c>
      <c r="J605" s="10" t="s">
        <v>185</v>
      </c>
      <c r="K605" s="15" t="str">
        <f>VLOOKUP(J605,DADOS!$A$3:$B$100,2,FALSE)</f>
        <v>EE-GI-001-031</v>
      </c>
      <c r="L605" s="15" t="s">
        <v>260</v>
      </c>
      <c r="M605" s="18" t="b">
        <v>1</v>
      </c>
      <c r="N605" s="17" t="b">
        <v>1</v>
      </c>
      <c r="O605" s="17" t="b">
        <v>1</v>
      </c>
      <c r="P605" s="17" t="b">
        <v>1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1</v>
      </c>
      <c r="W605" s="11" t="s">
        <v>281</v>
      </c>
      <c r="X605" s="12" t="s">
        <v>14</v>
      </c>
      <c r="Y605" s="12" t="s">
        <v>14</v>
      </c>
      <c r="Z605" s="13" t="s">
        <v>355</v>
      </c>
    </row>
    <row r="606" spans="1:26" ht="19.95" customHeight="1" x14ac:dyDescent="0.3">
      <c r="A606" s="6">
        <v>45709</v>
      </c>
      <c r="B606" s="7" t="s">
        <v>339</v>
      </c>
      <c r="C606" s="8" t="s">
        <v>1593</v>
      </c>
      <c r="D606" s="8" t="s">
        <v>373</v>
      </c>
      <c r="E606" s="8" t="s">
        <v>1594</v>
      </c>
      <c r="F606" s="9" t="s">
        <v>1597</v>
      </c>
      <c r="G606" s="9" t="s">
        <v>1603</v>
      </c>
      <c r="H606" s="9" t="s">
        <v>14</v>
      </c>
      <c r="I606" s="9" t="s">
        <v>66</v>
      </c>
      <c r="J606" s="10" t="s">
        <v>185</v>
      </c>
      <c r="K606" s="15" t="str">
        <f>VLOOKUP(J606,DADOS!$A$3:$B$100,2,FALSE)</f>
        <v>EE-GI-001-031</v>
      </c>
      <c r="L606" s="15" t="s">
        <v>260</v>
      </c>
      <c r="M606" s="18" t="b">
        <v>1</v>
      </c>
      <c r="N606" s="17" t="b">
        <v>1</v>
      </c>
      <c r="O606" s="17" t="b">
        <v>1</v>
      </c>
      <c r="P606" s="17" t="b">
        <v>1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1</v>
      </c>
      <c r="W606" s="11" t="s">
        <v>373</v>
      </c>
      <c r="X606" s="12" t="s">
        <v>14</v>
      </c>
      <c r="Y606" s="12" t="s">
        <v>14</v>
      </c>
      <c r="Z606" s="13" t="s">
        <v>355</v>
      </c>
    </row>
    <row r="607" spans="1:26" ht="19.95" customHeight="1" x14ac:dyDescent="0.3">
      <c r="A607" s="6">
        <v>45709</v>
      </c>
      <c r="B607" s="7" t="s">
        <v>339</v>
      </c>
      <c r="C607" s="8" t="s">
        <v>1598</v>
      </c>
      <c r="D607" s="8" t="s">
        <v>287</v>
      </c>
      <c r="E607" s="8" t="s">
        <v>1594</v>
      </c>
      <c r="F607" s="9" t="s">
        <v>1599</v>
      </c>
      <c r="G607" s="9" t="s">
        <v>1600</v>
      </c>
      <c r="H607" s="9" t="s">
        <v>14</v>
      </c>
      <c r="I607" s="9" t="s">
        <v>66</v>
      </c>
      <c r="J607" s="10" t="s">
        <v>185</v>
      </c>
      <c r="K607" s="15" t="str">
        <f>VLOOKUP(J607,DADOS!$A$3:$B$100,2,FALSE)</f>
        <v>EE-GI-001-031</v>
      </c>
      <c r="L607" s="15" t="s">
        <v>260</v>
      </c>
      <c r="M607" s="18" t="b">
        <v>1</v>
      </c>
      <c r="N607" s="17" t="b">
        <v>1</v>
      </c>
      <c r="O607" s="17" t="b">
        <v>1</v>
      </c>
      <c r="P607" s="17" t="b">
        <v>1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1</v>
      </c>
      <c r="W607" s="11" t="s">
        <v>287</v>
      </c>
      <c r="X607" s="12" t="s">
        <v>14</v>
      </c>
      <c r="Y607" s="12" t="s">
        <v>14</v>
      </c>
      <c r="Z607" s="13" t="s">
        <v>355</v>
      </c>
    </row>
    <row r="608" spans="1:26" ht="19.95" customHeight="1" x14ac:dyDescent="0.3">
      <c r="A608" s="6">
        <v>45709</v>
      </c>
      <c r="B608" s="7" t="s">
        <v>339</v>
      </c>
      <c r="C608" s="8" t="s">
        <v>1601</v>
      </c>
      <c r="D608" s="8" t="s">
        <v>444</v>
      </c>
      <c r="E608" s="8" t="s">
        <v>1602</v>
      </c>
      <c r="F608" s="9" t="s">
        <v>1558</v>
      </c>
      <c r="G608" s="9" t="s">
        <v>773</v>
      </c>
      <c r="H608" s="9" t="s">
        <v>14</v>
      </c>
      <c r="I608" s="9" t="s">
        <v>66</v>
      </c>
      <c r="J608" s="10" t="s">
        <v>15</v>
      </c>
      <c r="K608" s="15" t="str">
        <f>VLOOKUP(J608,DADOS!$A$3:$B$100,2,FALSE)</f>
        <v>EE-GI-001-002</v>
      </c>
      <c r="L608" s="15" t="s">
        <v>260</v>
      </c>
      <c r="M608" s="18" t="b">
        <v>1</v>
      </c>
      <c r="N608" s="17" t="b">
        <v>1</v>
      </c>
      <c r="O608" s="17" t="b">
        <v>1</v>
      </c>
      <c r="P608" s="17" t="b">
        <v>1</v>
      </c>
      <c r="Q608" s="17" t="b">
        <v>0</v>
      </c>
      <c r="R608" s="17" t="b">
        <v>1</v>
      </c>
      <c r="S608" s="17" t="b">
        <v>0</v>
      </c>
      <c r="T608" s="17" t="b">
        <v>0</v>
      </c>
      <c r="U608" s="17" t="b">
        <v>0</v>
      </c>
      <c r="V608" s="17" t="b">
        <v>1</v>
      </c>
      <c r="W608" s="11" t="s">
        <v>444</v>
      </c>
      <c r="X608" s="12" t="s">
        <v>14</v>
      </c>
      <c r="Y608" s="12" t="s">
        <v>14</v>
      </c>
      <c r="Z608" s="13" t="s">
        <v>355</v>
      </c>
    </row>
    <row r="609" spans="1:26" ht="19.95" customHeight="1" x14ac:dyDescent="0.3">
      <c r="A609" s="6">
        <v>45709</v>
      </c>
      <c r="B609" s="7" t="s">
        <v>339</v>
      </c>
      <c r="C609" s="8" t="s">
        <v>1604</v>
      </c>
      <c r="D609" s="8" t="s">
        <v>1605</v>
      </c>
      <c r="E609" s="8" t="s">
        <v>1606</v>
      </c>
      <c r="F609" s="9" t="s">
        <v>1607</v>
      </c>
      <c r="G609" s="9" t="s">
        <v>1608</v>
      </c>
      <c r="H609" s="9" t="s">
        <v>14</v>
      </c>
      <c r="I609" s="9" t="s">
        <v>68</v>
      </c>
      <c r="J609" s="10" t="s">
        <v>174</v>
      </c>
      <c r="K609" s="15" t="str">
        <f>VLOOKUP(J609,DADOS!$A$3:$B$100,2,FALSE)</f>
        <v>EE-GI-001-007</v>
      </c>
      <c r="L609" s="15" t="s">
        <v>260</v>
      </c>
      <c r="M609" s="18" t="b">
        <v>1</v>
      </c>
      <c r="N609" s="17" t="b">
        <v>1</v>
      </c>
      <c r="O609" s="17" t="b">
        <v>1</v>
      </c>
      <c r="P609" s="17" t="b">
        <v>1</v>
      </c>
      <c r="Q609" s="17" t="b">
        <v>0</v>
      </c>
      <c r="R609" s="17" t="b">
        <v>1</v>
      </c>
      <c r="S609" s="17" t="b">
        <v>0</v>
      </c>
      <c r="T609" s="17" t="b">
        <v>0</v>
      </c>
      <c r="U609" s="17" t="b">
        <v>0</v>
      </c>
      <c r="V609" s="17" t="b">
        <v>1</v>
      </c>
      <c r="W609" s="11" t="s">
        <v>1605</v>
      </c>
      <c r="X609" s="12" t="s">
        <v>14</v>
      </c>
      <c r="Y609" s="12" t="s">
        <v>14</v>
      </c>
      <c r="Z609" s="13" t="s">
        <v>355</v>
      </c>
    </row>
    <row r="610" spans="1:26" ht="19.95" customHeight="1" x14ac:dyDescent="0.3">
      <c r="A610" s="6">
        <v>45709</v>
      </c>
      <c r="B610" s="7" t="s">
        <v>339</v>
      </c>
      <c r="C610" s="8" t="s">
        <v>1609</v>
      </c>
      <c r="D610" s="8" t="s">
        <v>287</v>
      </c>
      <c r="E610" s="8" t="s">
        <v>1606</v>
      </c>
      <c r="F610" s="9" t="s">
        <v>1610</v>
      </c>
      <c r="G610" s="9" t="s">
        <v>1611</v>
      </c>
      <c r="H610" s="9" t="s">
        <v>14</v>
      </c>
      <c r="I610" s="9" t="s">
        <v>69</v>
      </c>
      <c r="J610" s="10" t="s">
        <v>251</v>
      </c>
      <c r="K610" s="15" t="str">
        <f>VLOOKUP(J610,DADOS!$A$3:$B$100,2,FALSE)</f>
        <v>EE-GI-001-030</v>
      </c>
      <c r="L610" s="15" t="s">
        <v>260</v>
      </c>
      <c r="M610" s="18" t="b">
        <v>1</v>
      </c>
      <c r="N610" s="17" t="b">
        <v>1</v>
      </c>
      <c r="O610" s="17" t="b">
        <v>1</v>
      </c>
      <c r="P610" s="17" t="b">
        <v>1</v>
      </c>
      <c r="Q610" s="17" t="b">
        <v>0</v>
      </c>
      <c r="R610" s="17" t="b">
        <v>1</v>
      </c>
      <c r="S610" s="17" t="b">
        <v>0</v>
      </c>
      <c r="T610" s="17" t="b">
        <v>0</v>
      </c>
      <c r="U610" s="17" t="b">
        <v>0</v>
      </c>
      <c r="V610" s="17" t="b">
        <v>1</v>
      </c>
      <c r="W610" s="11" t="s">
        <v>287</v>
      </c>
      <c r="X610" s="12" t="s">
        <v>14</v>
      </c>
      <c r="Y610" s="12" t="s">
        <v>14</v>
      </c>
      <c r="Z610" s="13" t="s">
        <v>355</v>
      </c>
    </row>
    <row r="611" spans="1:26" ht="19.95" customHeight="1" x14ac:dyDescent="0.3">
      <c r="A611" s="6">
        <v>45709</v>
      </c>
      <c r="B611" s="7" t="s">
        <v>339</v>
      </c>
      <c r="C611" s="8" t="s">
        <v>1612</v>
      </c>
      <c r="D611" s="8" t="s">
        <v>269</v>
      </c>
      <c r="E611" s="8" t="s">
        <v>1606</v>
      </c>
      <c r="F611" s="9" t="s">
        <v>1613</v>
      </c>
      <c r="G611" s="9" t="s">
        <v>1614</v>
      </c>
      <c r="H611" s="9" t="s">
        <v>14</v>
      </c>
      <c r="I611" s="9" t="s">
        <v>69</v>
      </c>
      <c r="J611" s="10" t="s">
        <v>251</v>
      </c>
      <c r="K611" s="15" t="str">
        <f>VLOOKUP(J611,DADOS!$A$3:$B$100,2,FALSE)</f>
        <v>EE-GI-001-030</v>
      </c>
      <c r="L611" s="15" t="s">
        <v>260</v>
      </c>
      <c r="M611" s="18" t="b">
        <v>1</v>
      </c>
      <c r="N611" s="17" t="b">
        <v>1</v>
      </c>
      <c r="O611" s="17" t="b">
        <v>1</v>
      </c>
      <c r="P611" s="17" t="b">
        <v>1</v>
      </c>
      <c r="Q611" s="17" t="b">
        <v>0</v>
      </c>
      <c r="R611" s="17" t="b">
        <v>1</v>
      </c>
      <c r="S611" s="17" t="b">
        <v>0</v>
      </c>
      <c r="T611" s="17" t="b">
        <v>0</v>
      </c>
      <c r="U611" s="17" t="b">
        <v>0</v>
      </c>
      <c r="V611" s="17" t="b">
        <v>1</v>
      </c>
      <c r="W611" s="11" t="s">
        <v>269</v>
      </c>
      <c r="X611" s="12" t="s">
        <v>14</v>
      </c>
      <c r="Y611" s="12" t="s">
        <v>14</v>
      </c>
      <c r="Z611" s="13" t="s">
        <v>355</v>
      </c>
    </row>
    <row r="612" spans="1:26" ht="19.95" customHeight="1" x14ac:dyDescent="0.3">
      <c r="A612" s="6">
        <v>45709</v>
      </c>
      <c r="B612" s="7" t="s">
        <v>339</v>
      </c>
      <c r="C612" s="8" t="s">
        <v>1612</v>
      </c>
      <c r="D612" s="8" t="s">
        <v>269</v>
      </c>
      <c r="E612" s="8" t="s">
        <v>1606</v>
      </c>
      <c r="F612" s="9" t="s">
        <v>1616</v>
      </c>
      <c r="G612" s="9" t="s">
        <v>1614</v>
      </c>
      <c r="H612" s="9" t="s">
        <v>14</v>
      </c>
      <c r="I612" s="9" t="s">
        <v>69</v>
      </c>
      <c r="J612" s="10" t="s">
        <v>251</v>
      </c>
      <c r="K612" s="15" t="str">
        <f>VLOOKUP(J612,DADOS!$A$3:$B$100,2,FALSE)</f>
        <v>EE-GI-001-030</v>
      </c>
      <c r="L612" s="15" t="s">
        <v>260</v>
      </c>
      <c r="M612" s="18" t="b">
        <v>1</v>
      </c>
      <c r="N612" s="17" t="b">
        <v>1</v>
      </c>
      <c r="O612" s="17" t="b">
        <v>1</v>
      </c>
      <c r="P612" s="17" t="b">
        <v>1</v>
      </c>
      <c r="Q612" s="17" t="b">
        <v>0</v>
      </c>
      <c r="R612" s="17" t="b">
        <v>1</v>
      </c>
      <c r="S612" s="17" t="b">
        <v>0</v>
      </c>
      <c r="T612" s="17" t="b">
        <v>0</v>
      </c>
      <c r="U612" s="17" t="b">
        <v>0</v>
      </c>
      <c r="V612" s="17" t="b">
        <v>1</v>
      </c>
      <c r="W612" s="11" t="s">
        <v>269</v>
      </c>
      <c r="X612" s="12" t="s">
        <v>14</v>
      </c>
      <c r="Y612" s="12" t="s">
        <v>14</v>
      </c>
      <c r="Z612" s="13" t="s">
        <v>355</v>
      </c>
    </row>
    <row r="613" spans="1:26" ht="19.95" customHeight="1" x14ac:dyDescent="0.3">
      <c r="A613" s="6">
        <v>45709</v>
      </c>
      <c r="B613" s="7" t="s">
        <v>339</v>
      </c>
      <c r="C613" s="8" t="s">
        <v>1612</v>
      </c>
      <c r="D613" s="8" t="s">
        <v>287</v>
      </c>
      <c r="E613" s="8" t="s">
        <v>1606</v>
      </c>
      <c r="F613" s="9" t="s">
        <v>1617</v>
      </c>
      <c r="G613" s="9" t="s">
        <v>1614</v>
      </c>
      <c r="H613" s="9" t="s">
        <v>14</v>
      </c>
      <c r="I613" s="9" t="s">
        <v>69</v>
      </c>
      <c r="J613" s="10" t="s">
        <v>251</v>
      </c>
      <c r="K613" s="15" t="str">
        <f>VLOOKUP(J613,DADOS!$A$3:$B$100,2,FALSE)</f>
        <v>EE-GI-001-030</v>
      </c>
      <c r="L613" s="15" t="s">
        <v>260</v>
      </c>
      <c r="M613" s="18" t="b">
        <v>1</v>
      </c>
      <c r="N613" s="17" t="b">
        <v>1</v>
      </c>
      <c r="O613" s="17" t="b">
        <v>1</v>
      </c>
      <c r="P613" s="17" t="b">
        <v>1</v>
      </c>
      <c r="Q613" s="17" t="b">
        <v>0</v>
      </c>
      <c r="R613" s="17" t="b">
        <v>1</v>
      </c>
      <c r="S613" s="17" t="b">
        <v>0</v>
      </c>
      <c r="T613" s="17" t="b">
        <v>0</v>
      </c>
      <c r="U613" s="17" t="b">
        <v>0</v>
      </c>
      <c r="V613" s="17" t="b">
        <v>1</v>
      </c>
      <c r="W613" s="11" t="s">
        <v>287</v>
      </c>
      <c r="X613" s="12" t="s">
        <v>14</v>
      </c>
      <c r="Y613" s="12" t="s">
        <v>14</v>
      </c>
      <c r="Z613" s="13" t="s">
        <v>355</v>
      </c>
    </row>
    <row r="614" spans="1:26" ht="19.95" customHeight="1" x14ac:dyDescent="0.3">
      <c r="A614" s="6">
        <v>45709</v>
      </c>
      <c r="B614" s="7" t="s">
        <v>339</v>
      </c>
      <c r="C614" s="8" t="s">
        <v>1612</v>
      </c>
      <c r="D614" s="8" t="s">
        <v>287</v>
      </c>
      <c r="E614" s="8" t="s">
        <v>1606</v>
      </c>
      <c r="F614" s="9" t="s">
        <v>1618</v>
      </c>
      <c r="G614" s="9" t="s">
        <v>1615</v>
      </c>
      <c r="H614" s="9" t="s">
        <v>14</v>
      </c>
      <c r="I614" s="9" t="s">
        <v>69</v>
      </c>
      <c r="J614" s="10" t="s">
        <v>251</v>
      </c>
      <c r="K614" s="15" t="str">
        <f>VLOOKUP(J614,DADOS!$A$3:$B$100,2,FALSE)</f>
        <v>EE-GI-001-030</v>
      </c>
      <c r="L614" s="15" t="s">
        <v>260</v>
      </c>
      <c r="M614" s="18" t="b">
        <v>1</v>
      </c>
      <c r="N614" s="17" t="b">
        <v>1</v>
      </c>
      <c r="O614" s="17" t="b">
        <v>1</v>
      </c>
      <c r="P614" s="17" t="b">
        <v>1</v>
      </c>
      <c r="Q614" s="17" t="b">
        <v>0</v>
      </c>
      <c r="R614" s="17" t="b">
        <v>1</v>
      </c>
      <c r="S614" s="17" t="b">
        <v>0</v>
      </c>
      <c r="T614" s="17" t="b">
        <v>0</v>
      </c>
      <c r="U614" s="17" t="b">
        <v>0</v>
      </c>
      <c r="V614" s="17" t="b">
        <v>1</v>
      </c>
      <c r="W614" s="11" t="s">
        <v>287</v>
      </c>
      <c r="X614" s="12" t="s">
        <v>14</v>
      </c>
      <c r="Y614" s="12" t="s">
        <v>14</v>
      </c>
      <c r="Z614" s="13" t="s">
        <v>355</v>
      </c>
    </row>
    <row r="615" spans="1:26" ht="19.95" customHeight="1" x14ac:dyDescent="0.3">
      <c r="A615" s="6">
        <v>45709</v>
      </c>
      <c r="B615" s="7" t="s">
        <v>339</v>
      </c>
      <c r="C615" s="8" t="s">
        <v>1619</v>
      </c>
      <c r="D615" s="8" t="s">
        <v>268</v>
      </c>
      <c r="E615" s="8" t="s">
        <v>1606</v>
      </c>
      <c r="F615" s="9" t="s">
        <v>464</v>
      </c>
      <c r="G615" s="9" t="s">
        <v>663</v>
      </c>
      <c r="H615" s="9" t="s">
        <v>14</v>
      </c>
      <c r="I615" s="9" t="s">
        <v>66</v>
      </c>
      <c r="J615" s="10" t="s">
        <v>15</v>
      </c>
      <c r="K615" s="15" t="str">
        <f>VLOOKUP(J615,DADOS!$A$3:$B$100,2,FALSE)</f>
        <v>EE-GI-001-002</v>
      </c>
      <c r="L615" s="15" t="s">
        <v>260</v>
      </c>
      <c r="M615" s="18" t="b">
        <v>1</v>
      </c>
      <c r="N615" s="17" t="b">
        <v>1</v>
      </c>
      <c r="O615" s="17" t="b">
        <v>1</v>
      </c>
      <c r="P615" s="17" t="b">
        <v>1</v>
      </c>
      <c r="Q615" s="17" t="b">
        <v>0</v>
      </c>
      <c r="R615" s="17" t="b">
        <v>1</v>
      </c>
      <c r="S615" s="17" t="b">
        <v>0</v>
      </c>
      <c r="T615" s="17" t="b">
        <v>0</v>
      </c>
      <c r="U615" s="17" t="b">
        <v>0</v>
      </c>
      <c r="V615" s="17" t="b">
        <v>1</v>
      </c>
      <c r="W615" s="11" t="s">
        <v>268</v>
      </c>
      <c r="X615" s="12" t="s">
        <v>14</v>
      </c>
      <c r="Y615" s="12" t="s">
        <v>14</v>
      </c>
      <c r="Z615" s="13" t="s">
        <v>355</v>
      </c>
    </row>
    <row r="616" spans="1:26" ht="19.95" customHeight="1" x14ac:dyDescent="0.3">
      <c r="A616" s="6">
        <v>45709</v>
      </c>
      <c r="B616" s="7" t="s">
        <v>339</v>
      </c>
      <c r="C616" s="8" t="s">
        <v>2400</v>
      </c>
      <c r="D616" s="8" t="s">
        <v>269</v>
      </c>
      <c r="E616" s="8" t="s">
        <v>1594</v>
      </c>
      <c r="F616" s="9" t="s">
        <v>2401</v>
      </c>
      <c r="G616" s="9" t="s">
        <v>2402</v>
      </c>
      <c r="H616" s="9" t="s">
        <v>14</v>
      </c>
      <c r="I616" s="9" t="s">
        <v>68</v>
      </c>
      <c r="J616" s="10" t="s">
        <v>15</v>
      </c>
      <c r="K616" s="15" t="str">
        <f>VLOOKUP(J616,DADOS!$A$3:$B$100,2,FALSE)</f>
        <v>EE-GI-001-002</v>
      </c>
      <c r="L616" s="15" t="s">
        <v>1955</v>
      </c>
      <c r="M616" s="18" t="b">
        <v>1</v>
      </c>
      <c r="N616" s="17" t="b">
        <v>1</v>
      </c>
      <c r="O616" s="17" t="b">
        <v>1</v>
      </c>
      <c r="P616" s="17" t="b">
        <v>1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1</v>
      </c>
      <c r="W616" s="11" t="s">
        <v>269</v>
      </c>
      <c r="X616" s="12" t="s">
        <v>14</v>
      </c>
      <c r="Y616" s="12" t="s">
        <v>14</v>
      </c>
      <c r="Z616" s="13" t="s">
        <v>355</v>
      </c>
    </row>
    <row r="617" spans="1:26" ht="19.95" customHeight="1" x14ac:dyDescent="0.3">
      <c r="A617" s="6">
        <v>45709</v>
      </c>
      <c r="B617" s="7" t="s">
        <v>339</v>
      </c>
      <c r="C617" s="8" t="s">
        <v>2379</v>
      </c>
      <c r="D617" s="8" t="s">
        <v>1605</v>
      </c>
      <c r="E617" s="8" t="s">
        <v>1594</v>
      </c>
      <c r="F617" s="9" t="s">
        <v>2403</v>
      </c>
      <c r="G617" s="9" t="s">
        <v>1182</v>
      </c>
      <c r="H617" s="9" t="s">
        <v>14</v>
      </c>
      <c r="I617" s="9" t="s">
        <v>66</v>
      </c>
      <c r="J617" s="10" t="s">
        <v>186</v>
      </c>
      <c r="K617" s="15" t="str">
        <f>VLOOKUP(J617,DADOS!$A$3:$B$100,2,FALSE)</f>
        <v>EE-GI-001-008</v>
      </c>
      <c r="L617" s="15" t="s">
        <v>260</v>
      </c>
      <c r="M617" s="18" t="b">
        <v>1</v>
      </c>
      <c r="N617" s="17" t="b">
        <v>1</v>
      </c>
      <c r="O617" s="17" t="b">
        <v>1</v>
      </c>
      <c r="P617" s="17" t="b">
        <v>1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1</v>
      </c>
      <c r="W617" s="11" t="s">
        <v>1605</v>
      </c>
      <c r="X617" s="12" t="s">
        <v>14</v>
      </c>
      <c r="Y617" s="12" t="s">
        <v>14</v>
      </c>
      <c r="Z617" s="13" t="s">
        <v>355</v>
      </c>
    </row>
    <row r="618" spans="1:26" ht="19.95" customHeight="1" x14ac:dyDescent="0.3">
      <c r="A618" s="6">
        <v>45709</v>
      </c>
      <c r="B618" s="7" t="s">
        <v>339</v>
      </c>
      <c r="C618" s="8" t="s">
        <v>2404</v>
      </c>
      <c r="D618" s="8" t="s">
        <v>269</v>
      </c>
      <c r="E618" s="8" t="s">
        <v>1594</v>
      </c>
      <c r="F618" s="9" t="s">
        <v>2405</v>
      </c>
      <c r="G618" s="9" t="s">
        <v>2406</v>
      </c>
      <c r="H618" s="9" t="s">
        <v>14</v>
      </c>
      <c r="I618" s="9" t="s">
        <v>66</v>
      </c>
      <c r="J618" s="10" t="s">
        <v>17</v>
      </c>
      <c r="K618" s="15" t="str">
        <f>VLOOKUP(J618,DADOS!$A$3:$B$100,2,FALSE)</f>
        <v>EE-GI-001-001</v>
      </c>
      <c r="L618" s="15" t="s">
        <v>1955</v>
      </c>
      <c r="M618" s="18" t="b">
        <v>1</v>
      </c>
      <c r="N618" s="17" t="b">
        <v>1</v>
      </c>
      <c r="O618" s="17" t="b">
        <v>1</v>
      </c>
      <c r="P618" s="17" t="b">
        <v>1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1</v>
      </c>
      <c r="W618" s="11" t="s">
        <v>269</v>
      </c>
      <c r="X618" s="12" t="s">
        <v>14</v>
      </c>
      <c r="Y618" s="12" t="s">
        <v>14</v>
      </c>
      <c r="Z618" s="13" t="s">
        <v>355</v>
      </c>
    </row>
    <row r="619" spans="1:26" ht="19.95" customHeight="1" x14ac:dyDescent="0.3">
      <c r="A619" s="6">
        <v>45709</v>
      </c>
      <c r="B619" s="7" t="s">
        <v>339</v>
      </c>
      <c r="C619" s="8" t="s">
        <v>2404</v>
      </c>
      <c r="D619" s="8" t="s">
        <v>269</v>
      </c>
      <c r="E619" s="8" t="s">
        <v>1594</v>
      </c>
      <c r="F619" s="9" t="s">
        <v>2407</v>
      </c>
      <c r="G619" s="9" t="s">
        <v>2406</v>
      </c>
      <c r="H619" s="9" t="s">
        <v>14</v>
      </c>
      <c r="I619" s="9" t="s">
        <v>66</v>
      </c>
      <c r="J619" s="10" t="s">
        <v>17</v>
      </c>
      <c r="K619" s="15" t="str">
        <f>VLOOKUP(J619,DADOS!$A$3:$B$100,2,FALSE)</f>
        <v>EE-GI-001-001</v>
      </c>
      <c r="L619" s="15" t="s">
        <v>1955</v>
      </c>
      <c r="M619" s="18" t="b">
        <v>1</v>
      </c>
      <c r="N619" s="17" t="b">
        <v>1</v>
      </c>
      <c r="O619" s="17" t="b">
        <v>1</v>
      </c>
      <c r="P619" s="17" t="b">
        <v>1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1</v>
      </c>
      <c r="W619" s="11" t="s">
        <v>269</v>
      </c>
      <c r="X619" s="12" t="s">
        <v>14</v>
      </c>
      <c r="Y619" s="12" t="s">
        <v>14</v>
      </c>
      <c r="Z619" s="13" t="s">
        <v>355</v>
      </c>
    </row>
    <row r="620" spans="1:26" ht="19.95" customHeight="1" x14ac:dyDescent="0.3">
      <c r="A620" s="6">
        <v>45709</v>
      </c>
      <c r="B620" s="7" t="s">
        <v>339</v>
      </c>
      <c r="C620" s="8" t="s">
        <v>2408</v>
      </c>
      <c r="D620" s="8" t="s">
        <v>269</v>
      </c>
      <c r="E620" s="8" t="s">
        <v>1594</v>
      </c>
      <c r="F620" s="9" t="s">
        <v>2409</v>
      </c>
      <c r="G620" s="9" t="s">
        <v>2410</v>
      </c>
      <c r="H620" s="9" t="s">
        <v>14</v>
      </c>
      <c r="I620" s="9" t="s">
        <v>66</v>
      </c>
      <c r="J620" s="10" t="s">
        <v>186</v>
      </c>
      <c r="K620" s="15" t="str">
        <f>VLOOKUP(J620,DADOS!$A$3:$B$100,2,FALSE)</f>
        <v>EE-GI-001-008</v>
      </c>
      <c r="L620" s="15" t="s">
        <v>1955</v>
      </c>
      <c r="M620" s="18" t="b">
        <v>1</v>
      </c>
      <c r="N620" s="17" t="b">
        <v>1</v>
      </c>
      <c r="O620" s="17" t="b">
        <v>1</v>
      </c>
      <c r="P620" s="17" t="b">
        <v>1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1</v>
      </c>
      <c r="W620" s="11" t="s">
        <v>269</v>
      </c>
      <c r="X620" s="12" t="s">
        <v>14</v>
      </c>
      <c r="Y620" s="12" t="s">
        <v>14</v>
      </c>
      <c r="Z620" s="13" t="s">
        <v>355</v>
      </c>
    </row>
    <row r="621" spans="1:26" ht="19.95" customHeight="1" x14ac:dyDescent="0.3">
      <c r="A621" s="6">
        <v>45709</v>
      </c>
      <c r="B621" s="7" t="s">
        <v>339</v>
      </c>
      <c r="C621" s="8" t="s">
        <v>2408</v>
      </c>
      <c r="D621" s="8" t="s">
        <v>364</v>
      </c>
      <c r="E621" s="8" t="s">
        <v>1594</v>
      </c>
      <c r="F621" s="9" t="s">
        <v>2411</v>
      </c>
      <c r="G621" s="9" t="s">
        <v>2412</v>
      </c>
      <c r="H621" s="9" t="s">
        <v>14</v>
      </c>
      <c r="I621" s="9" t="s">
        <v>66</v>
      </c>
      <c r="J621" s="10" t="s">
        <v>186</v>
      </c>
      <c r="K621" s="15" t="str">
        <f>VLOOKUP(J621,DADOS!$A$3:$B$100,2,FALSE)</f>
        <v>EE-GI-001-008</v>
      </c>
      <c r="L621" s="15" t="s">
        <v>1955</v>
      </c>
      <c r="M621" s="18" t="b">
        <v>1</v>
      </c>
      <c r="N621" s="17" t="b">
        <v>1</v>
      </c>
      <c r="O621" s="17" t="b">
        <v>1</v>
      </c>
      <c r="P621" s="17" t="b">
        <v>1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1</v>
      </c>
      <c r="W621" s="11" t="s">
        <v>364</v>
      </c>
      <c r="X621" s="12" t="s">
        <v>14</v>
      </c>
      <c r="Y621" s="12" t="s">
        <v>14</v>
      </c>
      <c r="Z621" s="13" t="s">
        <v>355</v>
      </c>
    </row>
    <row r="622" spans="1:26" ht="19.95" customHeight="1" x14ac:dyDescent="0.3">
      <c r="A622" s="6">
        <v>45709</v>
      </c>
      <c r="B622" s="7" t="s">
        <v>339</v>
      </c>
      <c r="C622" s="8" t="s">
        <v>2413</v>
      </c>
      <c r="D622" s="8" t="s">
        <v>364</v>
      </c>
      <c r="E622" s="8" t="s">
        <v>1594</v>
      </c>
      <c r="F622" s="9" t="s">
        <v>2414</v>
      </c>
      <c r="G622" s="9" t="s">
        <v>494</v>
      </c>
      <c r="H622" s="9" t="s">
        <v>14</v>
      </c>
      <c r="I622" s="9" t="s">
        <v>66</v>
      </c>
      <c r="J622" s="10" t="s">
        <v>186</v>
      </c>
      <c r="K622" s="15" t="str">
        <f>VLOOKUP(J622,DADOS!$A$3:$B$100,2,FALSE)</f>
        <v>EE-GI-001-008</v>
      </c>
      <c r="L622" s="15" t="s">
        <v>260</v>
      </c>
      <c r="M622" s="18" t="b">
        <v>1</v>
      </c>
      <c r="N622" s="17" t="b">
        <v>1</v>
      </c>
      <c r="O622" s="17" t="b">
        <v>1</v>
      </c>
      <c r="P622" s="17" t="b">
        <v>1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1</v>
      </c>
      <c r="W622" s="11" t="s">
        <v>364</v>
      </c>
      <c r="X622" s="12" t="s">
        <v>14</v>
      </c>
      <c r="Y622" s="12" t="s">
        <v>14</v>
      </c>
      <c r="Z622" s="13" t="s">
        <v>355</v>
      </c>
    </row>
    <row r="623" spans="1:26" ht="19.95" customHeight="1" x14ac:dyDescent="0.3">
      <c r="A623" s="6">
        <v>45712</v>
      </c>
      <c r="B623" s="7" t="s">
        <v>377</v>
      </c>
      <c r="C623" s="8" t="s">
        <v>959</v>
      </c>
      <c r="D623" s="8" t="s">
        <v>445</v>
      </c>
      <c r="E623" s="8" t="s">
        <v>960</v>
      </c>
      <c r="F623" s="9" t="s">
        <v>961</v>
      </c>
      <c r="G623" s="9" t="s">
        <v>962</v>
      </c>
      <c r="H623" s="9" t="s">
        <v>963</v>
      </c>
      <c r="I623" s="9" t="s">
        <v>64</v>
      </c>
      <c r="J623" s="10" t="s">
        <v>186</v>
      </c>
      <c r="K623" s="15" t="str">
        <f>VLOOKUP(J623,DADOS!$A$3:$B$100,2,FALSE)</f>
        <v>EE-GI-001-008</v>
      </c>
      <c r="L623" s="15" t="s">
        <v>303</v>
      </c>
      <c r="M623" s="18" t="b">
        <v>1</v>
      </c>
      <c r="N623" s="17" t="b">
        <v>1</v>
      </c>
      <c r="O623" s="17" t="b">
        <v>1</v>
      </c>
      <c r="P623" s="17" t="b">
        <v>1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1</v>
      </c>
      <c r="W623" s="11" t="s">
        <v>268</v>
      </c>
      <c r="X623" s="12" t="s">
        <v>964</v>
      </c>
      <c r="Y623" s="12" t="s">
        <v>965</v>
      </c>
      <c r="Z623" s="12" t="s">
        <v>261</v>
      </c>
    </row>
    <row r="624" spans="1:26" ht="19.95" customHeight="1" x14ac:dyDescent="0.3">
      <c r="A624" s="6">
        <v>45712</v>
      </c>
      <c r="B624" s="7" t="s">
        <v>377</v>
      </c>
      <c r="C624" s="8" t="s">
        <v>966</v>
      </c>
      <c r="D624" s="8" t="s">
        <v>268</v>
      </c>
      <c r="E624" s="8" t="s">
        <v>967</v>
      </c>
      <c r="F624" s="9" t="s">
        <v>968</v>
      </c>
      <c r="G624" s="9" t="s">
        <v>969</v>
      </c>
      <c r="H624" s="9" t="s">
        <v>970</v>
      </c>
      <c r="I624" s="9" t="s">
        <v>68</v>
      </c>
      <c r="J624" s="10" t="s">
        <v>15</v>
      </c>
      <c r="K624" s="15" t="str">
        <f>VLOOKUP(J624,DADOS!$A$3:$B$100,2,FALSE)</f>
        <v>EE-GI-001-002</v>
      </c>
      <c r="L624" s="15" t="s">
        <v>303</v>
      </c>
      <c r="M624" s="18" t="b">
        <v>1</v>
      </c>
      <c r="N624" s="17" t="b">
        <v>1</v>
      </c>
      <c r="O624" s="17" t="b">
        <v>1</v>
      </c>
      <c r="P624" s="17" t="b">
        <v>1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1</v>
      </c>
      <c r="W624" s="11" t="s">
        <v>971</v>
      </c>
      <c r="X624" s="12" t="s">
        <v>269</v>
      </c>
      <c r="Y624" s="12" t="s">
        <v>972</v>
      </c>
      <c r="Z624" s="12" t="s">
        <v>261</v>
      </c>
    </row>
    <row r="625" spans="1:26" ht="19.95" customHeight="1" x14ac:dyDescent="0.3">
      <c r="A625" s="6">
        <v>45712</v>
      </c>
      <c r="B625" s="7" t="s">
        <v>377</v>
      </c>
      <c r="C625" s="8" t="s">
        <v>973</v>
      </c>
      <c r="D625" s="8" t="s">
        <v>268</v>
      </c>
      <c r="E625" s="8" t="s">
        <v>975</v>
      </c>
      <c r="F625" s="9" t="s">
        <v>976</v>
      </c>
      <c r="G625" s="9" t="s">
        <v>977</v>
      </c>
      <c r="H625" s="9" t="s">
        <v>978</v>
      </c>
      <c r="I625" s="9" t="s">
        <v>68</v>
      </c>
      <c r="J625" s="10" t="s">
        <v>186</v>
      </c>
      <c r="K625" s="15" t="str">
        <f>VLOOKUP(J625,DADOS!$A$3:$B$100,2,FALSE)</f>
        <v>EE-GI-001-008</v>
      </c>
      <c r="L625" s="15" t="s">
        <v>303</v>
      </c>
      <c r="M625" s="18" t="b">
        <v>1</v>
      </c>
      <c r="N625" s="17" t="b">
        <v>1</v>
      </c>
      <c r="O625" s="17" t="b">
        <v>1</v>
      </c>
      <c r="P625" s="17" t="b">
        <v>1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1</v>
      </c>
      <c r="W625" s="11" t="s">
        <v>268</v>
      </c>
      <c r="X625" s="12" t="s">
        <v>14</v>
      </c>
      <c r="Y625" s="12" t="s">
        <v>14</v>
      </c>
      <c r="Z625" s="13" t="s">
        <v>261</v>
      </c>
    </row>
    <row r="626" spans="1:26" ht="22.5" customHeight="1" x14ac:dyDescent="0.3">
      <c r="A626" s="6">
        <v>45712</v>
      </c>
      <c r="B626" s="7" t="s">
        <v>377</v>
      </c>
      <c r="C626" s="8" t="s">
        <v>979</v>
      </c>
      <c r="D626" s="8" t="s">
        <v>269</v>
      </c>
      <c r="E626" s="8" t="s">
        <v>975</v>
      </c>
      <c r="F626" s="9" t="s">
        <v>980</v>
      </c>
      <c r="G626" s="9" t="s">
        <v>981</v>
      </c>
      <c r="H626" s="9" t="s">
        <v>982</v>
      </c>
      <c r="I626" s="9" t="s">
        <v>68</v>
      </c>
      <c r="J626" s="10" t="s">
        <v>186</v>
      </c>
      <c r="K626" s="15" t="str">
        <f>VLOOKUP(J626,DADOS!$A$3:$B$100,2,FALSE)</f>
        <v>EE-GI-001-008</v>
      </c>
      <c r="L626" s="15" t="s">
        <v>303</v>
      </c>
      <c r="M626" s="18" t="b">
        <v>1</v>
      </c>
      <c r="N626" s="17" t="b">
        <v>1</v>
      </c>
      <c r="O626" s="17" t="b">
        <v>1</v>
      </c>
      <c r="P626" s="17" t="b">
        <v>1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1</v>
      </c>
      <c r="W626" s="11" t="s">
        <v>269</v>
      </c>
      <c r="X626" s="12" t="s">
        <v>14</v>
      </c>
      <c r="Y626" s="12" t="s">
        <v>14</v>
      </c>
      <c r="Z626" s="13" t="s">
        <v>261</v>
      </c>
    </row>
    <row r="627" spans="1:26" ht="22.5" customHeight="1" x14ac:dyDescent="0.3">
      <c r="A627" s="6">
        <v>45712</v>
      </c>
      <c r="B627" s="7" t="s">
        <v>377</v>
      </c>
      <c r="C627" s="8" t="s">
        <v>979</v>
      </c>
      <c r="D627" s="8" t="s">
        <v>269</v>
      </c>
      <c r="E627" s="8" t="s">
        <v>975</v>
      </c>
      <c r="F627" s="9" t="s">
        <v>983</v>
      </c>
      <c r="G627" s="9" t="s">
        <v>689</v>
      </c>
      <c r="H627" s="9" t="s">
        <v>982</v>
      </c>
      <c r="I627" s="9" t="s">
        <v>68</v>
      </c>
      <c r="J627" s="10" t="s">
        <v>186</v>
      </c>
      <c r="K627" s="15" t="str">
        <f>VLOOKUP(J627,DADOS!$A$3:$B$100,2,FALSE)</f>
        <v>EE-GI-001-008</v>
      </c>
      <c r="L627" s="15" t="s">
        <v>303</v>
      </c>
      <c r="M627" s="18" t="b">
        <v>1</v>
      </c>
      <c r="N627" s="17" t="b">
        <v>1</v>
      </c>
      <c r="O627" s="17" t="b">
        <v>1</v>
      </c>
      <c r="P627" s="17" t="b">
        <v>1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1</v>
      </c>
      <c r="W627" s="11" t="s">
        <v>269</v>
      </c>
      <c r="X627" s="12" t="s">
        <v>14</v>
      </c>
      <c r="Y627" s="12" t="s">
        <v>14</v>
      </c>
      <c r="Z627" s="13" t="s">
        <v>261</v>
      </c>
    </row>
    <row r="628" spans="1:26" ht="19.95" customHeight="1" x14ac:dyDescent="0.3">
      <c r="A628" s="6">
        <v>45712</v>
      </c>
      <c r="B628" s="7" t="s">
        <v>377</v>
      </c>
      <c r="C628" s="8" t="s">
        <v>984</v>
      </c>
      <c r="D628" s="8" t="s">
        <v>269</v>
      </c>
      <c r="E628" s="8" t="s">
        <v>985</v>
      </c>
      <c r="F628" s="9" t="s">
        <v>811</v>
      </c>
      <c r="G628" s="9" t="s">
        <v>812</v>
      </c>
      <c r="H628" s="9" t="s">
        <v>986</v>
      </c>
      <c r="I628" s="9" t="s">
        <v>74</v>
      </c>
      <c r="J628" s="10" t="s">
        <v>17</v>
      </c>
      <c r="K628" s="15" t="str">
        <f>VLOOKUP(J628,DADOS!$A$3:$B$100,2,FALSE)</f>
        <v>EE-GI-001-001</v>
      </c>
      <c r="L628" s="15" t="s">
        <v>814</v>
      </c>
      <c r="M628" s="18" t="b">
        <v>1</v>
      </c>
      <c r="N628" s="17" t="b">
        <v>1</v>
      </c>
      <c r="O628" s="17" t="b">
        <v>1</v>
      </c>
      <c r="P628" s="17" t="b">
        <v>1</v>
      </c>
      <c r="Q628" s="17" t="b">
        <v>0</v>
      </c>
      <c r="R628" s="17" t="b">
        <v>0</v>
      </c>
      <c r="S628" s="17" t="b">
        <v>0</v>
      </c>
      <c r="T628" s="17" t="b">
        <v>1</v>
      </c>
      <c r="U628" s="17" t="b">
        <v>1</v>
      </c>
      <c r="V628" s="17" t="b">
        <v>1</v>
      </c>
      <c r="W628" s="11" t="s">
        <v>269</v>
      </c>
      <c r="X628" s="12" t="s">
        <v>14</v>
      </c>
      <c r="Y628" s="12" t="s">
        <v>14</v>
      </c>
      <c r="Z628" s="13" t="s">
        <v>261</v>
      </c>
    </row>
    <row r="629" spans="1:26" ht="19.95" customHeight="1" x14ac:dyDescent="0.3">
      <c r="A629" s="6">
        <v>45712</v>
      </c>
      <c r="B629" s="7" t="s">
        <v>377</v>
      </c>
      <c r="C629" s="8" t="s">
        <v>987</v>
      </c>
      <c r="D629" s="8" t="s">
        <v>269</v>
      </c>
      <c r="E629" s="8" t="s">
        <v>974</v>
      </c>
      <c r="F629" s="9" t="s">
        <v>988</v>
      </c>
      <c r="G629" s="9" t="s">
        <v>990</v>
      </c>
      <c r="H629" s="9" t="s">
        <v>991</v>
      </c>
      <c r="I629" s="9" t="s">
        <v>64</v>
      </c>
      <c r="J629" s="10" t="s">
        <v>186</v>
      </c>
      <c r="K629" s="15" t="str">
        <f>VLOOKUP(J629,DADOS!$A$3:$B$100,2,FALSE)</f>
        <v>EE-GI-001-008</v>
      </c>
      <c r="L629" s="15" t="s">
        <v>303</v>
      </c>
      <c r="M629" s="18" t="b">
        <v>1</v>
      </c>
      <c r="N629" s="17" t="b">
        <v>1</v>
      </c>
      <c r="O629" s="17" t="b">
        <v>1</v>
      </c>
      <c r="P629" s="17" t="b">
        <v>1</v>
      </c>
      <c r="Q629" s="17" t="b">
        <v>0</v>
      </c>
      <c r="R629" s="17" t="b">
        <v>0</v>
      </c>
      <c r="S629" s="17" t="b">
        <v>0</v>
      </c>
      <c r="T629" s="17" t="b">
        <v>1</v>
      </c>
      <c r="U629" s="17" t="b">
        <v>1</v>
      </c>
      <c r="V629" s="17" t="b">
        <v>1</v>
      </c>
      <c r="W629" s="11" t="s">
        <v>269</v>
      </c>
      <c r="X629" s="12" t="s">
        <v>14</v>
      </c>
      <c r="Y629" s="12" t="s">
        <v>14</v>
      </c>
      <c r="Z629" s="13" t="s">
        <v>261</v>
      </c>
    </row>
    <row r="630" spans="1:26" ht="19.95" customHeight="1" x14ac:dyDescent="0.3">
      <c r="A630" s="6">
        <v>45712</v>
      </c>
      <c r="B630" s="7" t="s">
        <v>377</v>
      </c>
      <c r="C630" s="8" t="s">
        <v>987</v>
      </c>
      <c r="D630" s="8" t="s">
        <v>269</v>
      </c>
      <c r="E630" s="8" t="s">
        <v>974</v>
      </c>
      <c r="F630" s="9" t="s">
        <v>989</v>
      </c>
      <c r="G630" s="9" t="s">
        <v>990</v>
      </c>
      <c r="H630" s="9" t="s">
        <v>991</v>
      </c>
      <c r="I630" s="9" t="s">
        <v>64</v>
      </c>
      <c r="J630" s="10" t="s">
        <v>186</v>
      </c>
      <c r="K630" s="15" t="str">
        <f>VLOOKUP(J630,DADOS!$A$3:$B$101,2,FALSE)</f>
        <v>EE-GI-001-008</v>
      </c>
      <c r="L630" s="15" t="s">
        <v>303</v>
      </c>
      <c r="M630" s="18" t="b">
        <v>1</v>
      </c>
      <c r="N630" s="17" t="b">
        <v>1</v>
      </c>
      <c r="O630" s="17" t="b">
        <v>1</v>
      </c>
      <c r="P630" s="17" t="b">
        <v>1</v>
      </c>
      <c r="Q630" s="17" t="b">
        <v>0</v>
      </c>
      <c r="R630" s="17" t="b">
        <v>0</v>
      </c>
      <c r="S630" s="17" t="b">
        <v>0</v>
      </c>
      <c r="T630" s="17" t="b">
        <v>1</v>
      </c>
      <c r="U630" s="17" t="b">
        <v>1</v>
      </c>
      <c r="V630" s="17" t="b">
        <v>1</v>
      </c>
      <c r="W630" s="11" t="s">
        <v>269</v>
      </c>
      <c r="X630" s="12" t="s">
        <v>14</v>
      </c>
      <c r="Y630" s="12" t="s">
        <v>14</v>
      </c>
      <c r="Z630" s="13" t="s">
        <v>261</v>
      </c>
    </row>
    <row r="631" spans="1:26" ht="19.95" customHeight="1" x14ac:dyDescent="0.3">
      <c r="A631" s="6">
        <v>45712</v>
      </c>
      <c r="B631" s="7" t="s">
        <v>377</v>
      </c>
      <c r="C631" s="8" t="s">
        <v>769</v>
      </c>
      <c r="D631" s="8" t="s">
        <v>281</v>
      </c>
      <c r="E631" s="8" t="s">
        <v>1244</v>
      </c>
      <c r="F631" s="9" t="s">
        <v>1245</v>
      </c>
      <c r="G631" s="9" t="s">
        <v>773</v>
      </c>
      <c r="H631" s="9" t="s">
        <v>1246</v>
      </c>
      <c r="I631" s="9" t="s">
        <v>69</v>
      </c>
      <c r="J631" s="10" t="s">
        <v>15</v>
      </c>
      <c r="K631" s="15" t="str">
        <f>VLOOKUP(J631,DADOS!$A$3:$B$101,2,FALSE)</f>
        <v>EE-GI-001-002</v>
      </c>
      <c r="L631" s="15" t="s">
        <v>354</v>
      </c>
      <c r="M631" s="18" t="b">
        <v>1</v>
      </c>
      <c r="N631" s="17" t="b">
        <v>1</v>
      </c>
      <c r="O631" s="17" t="b">
        <v>1</v>
      </c>
      <c r="P631" s="17" t="b">
        <v>1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1</v>
      </c>
      <c r="W631" s="11" t="s">
        <v>281</v>
      </c>
      <c r="X631" s="12" t="s">
        <v>14</v>
      </c>
      <c r="Y631" s="12" t="s">
        <v>14</v>
      </c>
      <c r="Z631" s="13" t="s">
        <v>355</v>
      </c>
    </row>
    <row r="632" spans="1:26" ht="19.95" customHeight="1" x14ac:dyDescent="0.3">
      <c r="A632" s="6">
        <v>45712</v>
      </c>
      <c r="B632" s="7" t="s">
        <v>377</v>
      </c>
      <c r="C632" s="9" t="s">
        <v>1053</v>
      </c>
      <c r="D632" s="8" t="s">
        <v>364</v>
      </c>
      <c r="E632" s="8" t="s">
        <v>975</v>
      </c>
      <c r="F632" s="9" t="s">
        <v>1057</v>
      </c>
      <c r="G632" s="9" t="s">
        <v>1058</v>
      </c>
      <c r="H632" s="9" t="s">
        <v>1059</v>
      </c>
      <c r="I632" s="9" t="s">
        <v>69</v>
      </c>
      <c r="J632" s="10" t="s">
        <v>185</v>
      </c>
      <c r="K632" s="15" t="str">
        <f>VLOOKUP(J632,[1]DADOS!$A$3:$B$100,2,FALSE)</f>
        <v>EE-GI-001-031</v>
      </c>
      <c r="L632" s="15" t="s">
        <v>354</v>
      </c>
      <c r="M632" s="18" t="b">
        <v>1</v>
      </c>
      <c r="N632" s="17" t="b">
        <v>1</v>
      </c>
      <c r="O632" s="17" t="b">
        <v>1</v>
      </c>
      <c r="P632" s="17" t="b">
        <v>1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1</v>
      </c>
      <c r="W632" s="11" t="s">
        <v>364</v>
      </c>
      <c r="X632" s="12" t="s">
        <v>14</v>
      </c>
      <c r="Y632" s="12" t="s">
        <v>14</v>
      </c>
      <c r="Z632" s="13" t="s">
        <v>355</v>
      </c>
    </row>
    <row r="633" spans="1:26" ht="19.95" customHeight="1" x14ac:dyDescent="0.3">
      <c r="A633" s="6">
        <v>45712</v>
      </c>
      <c r="B633" s="7" t="s">
        <v>377</v>
      </c>
      <c r="C633" s="9" t="s">
        <v>1053</v>
      </c>
      <c r="D633" s="8" t="s">
        <v>279</v>
      </c>
      <c r="E633" s="8" t="s">
        <v>975</v>
      </c>
      <c r="F633" s="9" t="s">
        <v>1054</v>
      </c>
      <c r="G633" s="36" t="s">
        <v>1060</v>
      </c>
      <c r="H633" s="9" t="s">
        <v>1059</v>
      </c>
      <c r="I633" s="9" t="s">
        <v>69</v>
      </c>
      <c r="J633" s="10" t="s">
        <v>185</v>
      </c>
      <c r="K633" s="15" t="str">
        <f>VLOOKUP(J633,[1]DADOS!$A$3:$B$100,2,FALSE)</f>
        <v>EE-GI-001-031</v>
      </c>
      <c r="L633" s="15" t="s">
        <v>354</v>
      </c>
      <c r="M633" s="18" t="b">
        <v>1</v>
      </c>
      <c r="N633" s="17" t="b">
        <v>1</v>
      </c>
      <c r="O633" s="17" t="b">
        <v>1</v>
      </c>
      <c r="P633" s="17" t="b">
        <v>1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1</v>
      </c>
      <c r="W633" s="11" t="s">
        <v>279</v>
      </c>
      <c r="X633" s="12" t="s">
        <v>14</v>
      </c>
      <c r="Y633" s="12" t="s">
        <v>14</v>
      </c>
      <c r="Z633" s="13" t="s">
        <v>355</v>
      </c>
    </row>
    <row r="634" spans="1:26" ht="19.95" customHeight="1" x14ac:dyDescent="0.3">
      <c r="A634" s="6">
        <v>45712</v>
      </c>
      <c r="B634" s="7" t="s">
        <v>377</v>
      </c>
      <c r="C634" s="9" t="s">
        <v>1552</v>
      </c>
      <c r="D634" s="8" t="s">
        <v>281</v>
      </c>
      <c r="E634" s="8" t="s">
        <v>967</v>
      </c>
      <c r="F634" s="9" t="s">
        <v>1553</v>
      </c>
      <c r="G634" s="36" t="s">
        <v>1554</v>
      </c>
      <c r="H634" s="9" t="s">
        <v>1555</v>
      </c>
      <c r="I634" s="9" t="s">
        <v>68</v>
      </c>
      <c r="J634" s="10" t="s">
        <v>186</v>
      </c>
      <c r="K634" s="15" t="str">
        <f>VLOOKUP(J634,[1]DADOS!$A$3:$B$100,2,FALSE)</f>
        <v>EE-GI-001-008</v>
      </c>
      <c r="L634" s="15" t="s">
        <v>303</v>
      </c>
      <c r="M634" s="18" t="b">
        <v>1</v>
      </c>
      <c r="N634" s="17" t="b">
        <v>1</v>
      </c>
      <c r="O634" s="17" t="b">
        <v>1</v>
      </c>
      <c r="P634" s="17" t="b">
        <v>1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1</v>
      </c>
      <c r="W634" s="11" t="s">
        <v>281</v>
      </c>
      <c r="X634" s="12" t="s">
        <v>14</v>
      </c>
      <c r="Y634" s="12" t="s">
        <v>14</v>
      </c>
      <c r="Z634" s="13" t="s">
        <v>261</v>
      </c>
    </row>
    <row r="635" spans="1:26" ht="19.95" customHeight="1" x14ac:dyDescent="0.3">
      <c r="A635" s="6">
        <v>45712</v>
      </c>
      <c r="B635" s="7" t="s">
        <v>2710</v>
      </c>
      <c r="C635" s="9" t="s">
        <v>554</v>
      </c>
      <c r="D635" s="8" t="s">
        <v>364</v>
      </c>
      <c r="E635" s="8" t="s">
        <v>1186</v>
      </c>
      <c r="F635" s="9" t="s">
        <v>1187</v>
      </c>
      <c r="G635" s="35" t="s">
        <v>1188</v>
      </c>
      <c r="H635" s="9" t="s">
        <v>1547</v>
      </c>
      <c r="I635" s="9" t="s">
        <v>65</v>
      </c>
      <c r="J635" s="10" t="s">
        <v>181</v>
      </c>
      <c r="K635" s="15" t="str">
        <f>VLOOKUP(J635,[1]DADOS!$A$3:$B$100,2,FALSE)</f>
        <v>EE-GI-001-023</v>
      </c>
      <c r="L635" s="15" t="s">
        <v>260</v>
      </c>
      <c r="M635" s="18" t="b">
        <v>1</v>
      </c>
      <c r="N635" s="17" t="b">
        <v>1</v>
      </c>
      <c r="O635" s="17" t="b">
        <v>1</v>
      </c>
      <c r="P635" s="17" t="b">
        <v>1</v>
      </c>
      <c r="Q635" s="17" t="b">
        <v>0</v>
      </c>
      <c r="R635" s="17" t="b">
        <v>1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 t="s">
        <v>364</v>
      </c>
      <c r="X635" s="12" t="s">
        <v>14</v>
      </c>
      <c r="Y635" s="12" t="s">
        <v>14</v>
      </c>
      <c r="Z635" s="13" t="s">
        <v>261</v>
      </c>
    </row>
    <row r="636" spans="1:26" ht="19.95" customHeight="1" x14ac:dyDescent="0.3">
      <c r="A636" s="6">
        <v>45712</v>
      </c>
      <c r="B636" s="7" t="s">
        <v>2710</v>
      </c>
      <c r="C636" s="9" t="s">
        <v>1193</v>
      </c>
      <c r="D636" s="8" t="s">
        <v>269</v>
      </c>
      <c r="E636" s="8" t="s">
        <v>1192</v>
      </c>
      <c r="F636" s="9" t="s">
        <v>1190</v>
      </c>
      <c r="G636" s="35" t="s">
        <v>1189</v>
      </c>
      <c r="H636" s="9" t="s">
        <v>1549</v>
      </c>
      <c r="I636" s="9" t="s">
        <v>69</v>
      </c>
      <c r="J636" s="10" t="s">
        <v>173</v>
      </c>
      <c r="K636" s="15" t="str">
        <f>VLOOKUP(J636,[1]DADOS!$A$3:$B$100,2,FALSE)</f>
        <v>EE-GI-001-006</v>
      </c>
      <c r="L636" s="15" t="s">
        <v>303</v>
      </c>
      <c r="M636" s="18" t="b">
        <v>1</v>
      </c>
      <c r="N636" s="17" t="b">
        <v>1</v>
      </c>
      <c r="O636" s="17" t="b">
        <v>1</v>
      </c>
      <c r="P636" s="17" t="b">
        <v>1</v>
      </c>
      <c r="Q636" s="17" t="b">
        <v>0</v>
      </c>
      <c r="R636" s="17" t="b">
        <v>1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 t="s">
        <v>269</v>
      </c>
      <c r="X636" s="12" t="s">
        <v>14</v>
      </c>
      <c r="Y636" s="12" t="s">
        <v>14</v>
      </c>
      <c r="Z636" s="13" t="s">
        <v>261</v>
      </c>
    </row>
    <row r="637" spans="1:26" ht="19.95" customHeight="1" x14ac:dyDescent="0.3">
      <c r="A637" s="6">
        <v>45712</v>
      </c>
      <c r="B637" s="7" t="s">
        <v>2710</v>
      </c>
      <c r="C637" s="9" t="s">
        <v>1194</v>
      </c>
      <c r="D637" s="8" t="s">
        <v>279</v>
      </c>
      <c r="E637" s="8" t="s">
        <v>1191</v>
      </c>
      <c r="F637" s="9" t="s">
        <v>1195</v>
      </c>
      <c r="G637" s="35" t="s">
        <v>1196</v>
      </c>
      <c r="H637" s="9" t="s">
        <v>1548</v>
      </c>
      <c r="I637" s="9" t="s">
        <v>65</v>
      </c>
      <c r="J637" s="10" t="s">
        <v>181</v>
      </c>
      <c r="K637" s="15" t="str">
        <f>VLOOKUP(J637,[1]DADOS!$A$3:$B$100,2,FALSE)</f>
        <v>EE-GI-001-023</v>
      </c>
      <c r="L637" s="15" t="s">
        <v>260</v>
      </c>
      <c r="M637" s="18" t="b">
        <v>1</v>
      </c>
      <c r="N637" s="17" t="b">
        <v>1</v>
      </c>
      <c r="O637" s="17" t="b">
        <v>1</v>
      </c>
      <c r="P637" s="17" t="b">
        <v>1</v>
      </c>
      <c r="Q637" s="17" t="b">
        <v>0</v>
      </c>
      <c r="R637" s="17" t="b">
        <v>1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 t="s">
        <v>279</v>
      </c>
      <c r="X637" s="12" t="s">
        <v>14</v>
      </c>
      <c r="Y637" s="12" t="s">
        <v>14</v>
      </c>
      <c r="Z637" s="13" t="s">
        <v>261</v>
      </c>
    </row>
    <row r="638" spans="1:26" ht="19.95" customHeight="1" x14ac:dyDescent="0.3">
      <c r="A638" s="6">
        <v>45712</v>
      </c>
      <c r="B638" s="7" t="s">
        <v>371</v>
      </c>
      <c r="C638" s="9" t="s">
        <v>1205</v>
      </c>
      <c r="D638" s="8" t="s">
        <v>269</v>
      </c>
      <c r="E638" s="8" t="s">
        <v>1206</v>
      </c>
      <c r="F638" s="9" t="s">
        <v>1207</v>
      </c>
      <c r="G638" s="35" t="s">
        <v>1208</v>
      </c>
      <c r="H638" s="9" t="s">
        <v>1209</v>
      </c>
      <c r="I638" s="9" t="s">
        <v>65</v>
      </c>
      <c r="J638" s="10" t="s">
        <v>181</v>
      </c>
      <c r="K638" s="15" t="str">
        <f>VLOOKUP(J638,[1]DADOS!$A$3:$B$100,2,FALSE)</f>
        <v>EE-GI-001-023</v>
      </c>
      <c r="L638" s="15" t="s">
        <v>303</v>
      </c>
      <c r="M638" s="18" t="b">
        <v>1</v>
      </c>
      <c r="N638" s="17" t="b">
        <v>1</v>
      </c>
      <c r="O638" s="17" t="b">
        <v>1</v>
      </c>
      <c r="P638" s="17" t="b">
        <v>1</v>
      </c>
      <c r="Q638" s="17" t="b">
        <v>0</v>
      </c>
      <c r="R638" s="17" t="b">
        <v>1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 t="s">
        <v>269</v>
      </c>
      <c r="X638" s="12" t="s">
        <v>14</v>
      </c>
      <c r="Y638" s="12" t="s">
        <v>14</v>
      </c>
      <c r="Z638" s="13" t="s">
        <v>261</v>
      </c>
    </row>
    <row r="639" spans="1:26" ht="19.95" customHeight="1" x14ac:dyDescent="0.3">
      <c r="A639" s="6">
        <v>45712</v>
      </c>
      <c r="B639" s="7" t="s">
        <v>371</v>
      </c>
      <c r="C639" s="9" t="s">
        <v>1215</v>
      </c>
      <c r="D639" s="8" t="s">
        <v>269</v>
      </c>
      <c r="E639" s="8" t="s">
        <v>1214</v>
      </c>
      <c r="F639" s="9" t="s">
        <v>1213</v>
      </c>
      <c r="G639" s="35" t="s">
        <v>1211</v>
      </c>
      <c r="H639" s="9" t="s">
        <v>1210</v>
      </c>
      <c r="I639" s="9" t="s">
        <v>65</v>
      </c>
      <c r="J639" s="10" t="s">
        <v>181</v>
      </c>
      <c r="K639" s="15" t="str">
        <f>VLOOKUP(J639,[1]DADOS!$A$3:$B$100,2,FALSE)</f>
        <v>EE-GI-001-023</v>
      </c>
      <c r="L639" s="15" t="s">
        <v>303</v>
      </c>
      <c r="M639" s="18" t="b">
        <v>1</v>
      </c>
      <c r="N639" s="17" t="b">
        <v>1</v>
      </c>
      <c r="O639" s="17" t="b">
        <v>1</v>
      </c>
      <c r="P639" s="17" t="b">
        <v>1</v>
      </c>
      <c r="Q639" s="17" t="b">
        <v>0</v>
      </c>
      <c r="R639" s="17" t="b">
        <v>1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 t="s">
        <v>269</v>
      </c>
      <c r="X639" s="12" t="s">
        <v>14</v>
      </c>
      <c r="Y639" s="12" t="s">
        <v>14</v>
      </c>
      <c r="Z639" s="13" t="s">
        <v>261</v>
      </c>
    </row>
    <row r="640" spans="1:26" ht="19.95" customHeight="1" x14ac:dyDescent="0.3">
      <c r="A640" s="6">
        <v>45712</v>
      </c>
      <c r="B640" s="7" t="s">
        <v>371</v>
      </c>
      <c r="C640" s="9" t="s">
        <v>1216</v>
      </c>
      <c r="D640" s="8" t="s">
        <v>281</v>
      </c>
      <c r="E640" s="8" t="s">
        <v>1214</v>
      </c>
      <c r="F640" s="9" t="s">
        <v>1217</v>
      </c>
      <c r="G640" s="35" t="s">
        <v>1212</v>
      </c>
      <c r="H640" s="9" t="s">
        <v>1210</v>
      </c>
      <c r="I640" s="9" t="s">
        <v>65</v>
      </c>
      <c r="J640" s="10" t="s">
        <v>181</v>
      </c>
      <c r="K640" s="15" t="str">
        <f>VLOOKUP(J640,[1]DADOS!$A$3:$B$100,2,FALSE)</f>
        <v>EE-GI-001-023</v>
      </c>
      <c r="L640" s="15" t="s">
        <v>303</v>
      </c>
      <c r="M640" s="18" t="b">
        <v>1</v>
      </c>
      <c r="N640" s="17" t="b">
        <v>1</v>
      </c>
      <c r="O640" s="17" t="b">
        <v>1</v>
      </c>
      <c r="P640" s="17" t="b">
        <v>1</v>
      </c>
      <c r="Q640" s="17" t="b">
        <v>0</v>
      </c>
      <c r="R640" s="17" t="b">
        <v>1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 t="s">
        <v>281</v>
      </c>
      <c r="X640" s="12" t="s">
        <v>14</v>
      </c>
      <c r="Y640" s="12" t="s">
        <v>14</v>
      </c>
      <c r="Z640" s="13" t="s">
        <v>261</v>
      </c>
    </row>
    <row r="641" spans="1:26" ht="19.95" customHeight="1" x14ac:dyDescent="0.3">
      <c r="A641" s="6">
        <v>45712</v>
      </c>
      <c r="B641" s="7" t="s">
        <v>1568</v>
      </c>
      <c r="C641" s="9" t="s">
        <v>1569</v>
      </c>
      <c r="D641" s="8" t="s">
        <v>373</v>
      </c>
      <c r="E641" s="8" t="s">
        <v>1798</v>
      </c>
      <c r="F641" s="9" t="s">
        <v>1799</v>
      </c>
      <c r="G641" s="35" t="s">
        <v>1573</v>
      </c>
      <c r="H641" s="9" t="s">
        <v>1800</v>
      </c>
      <c r="I641" s="9" t="s">
        <v>69</v>
      </c>
      <c r="J641" s="10" t="s">
        <v>185</v>
      </c>
      <c r="K641" s="15" t="str">
        <f>VLOOKUP(J641,[1]DADOS!$A$3:$B$100,2,FALSE)</f>
        <v>EE-GI-001-031</v>
      </c>
      <c r="L641" s="15" t="s">
        <v>303</v>
      </c>
      <c r="M641" s="18" t="b">
        <v>1</v>
      </c>
      <c r="N641" s="17" t="b">
        <v>1</v>
      </c>
      <c r="O641" s="17" t="b">
        <v>1</v>
      </c>
      <c r="P641" s="17" t="b">
        <v>1</v>
      </c>
      <c r="Q641" s="17" t="b">
        <v>0</v>
      </c>
      <c r="R641" s="17" t="b">
        <v>0</v>
      </c>
      <c r="S641" s="17" t="b">
        <v>0</v>
      </c>
      <c r="T641" s="17" t="b">
        <v>1</v>
      </c>
      <c r="U641" s="17" t="b">
        <v>1</v>
      </c>
      <c r="V641" s="17" t="b">
        <v>1</v>
      </c>
      <c r="W641" s="11" t="s">
        <v>373</v>
      </c>
      <c r="X641" s="12" t="s">
        <v>14</v>
      </c>
      <c r="Y641" s="12" t="s">
        <v>14</v>
      </c>
      <c r="Z641" s="13" t="s">
        <v>355</v>
      </c>
    </row>
    <row r="642" spans="1:26" ht="19.95" customHeight="1" x14ac:dyDescent="0.3">
      <c r="A642" s="6">
        <v>45712</v>
      </c>
      <c r="B642" s="7" t="s">
        <v>1568</v>
      </c>
      <c r="C642" s="9" t="s">
        <v>1807</v>
      </c>
      <c r="D642" s="8" t="s">
        <v>281</v>
      </c>
      <c r="E642" s="8" t="s">
        <v>1801</v>
      </c>
      <c r="F642" s="9" t="s">
        <v>1802</v>
      </c>
      <c r="G642" s="35" t="s">
        <v>1580</v>
      </c>
      <c r="H642" s="9" t="s">
        <v>1803</v>
      </c>
      <c r="I642" s="9" t="s">
        <v>69</v>
      </c>
      <c r="J642" s="10" t="s">
        <v>185</v>
      </c>
      <c r="K642" s="15" t="str">
        <f>VLOOKUP(J642,[1]DADOS!$A$3:$B$100,2,FALSE)</f>
        <v>EE-GI-001-031</v>
      </c>
      <c r="L642" s="15" t="s">
        <v>260</v>
      </c>
      <c r="M642" s="18" t="b">
        <v>1</v>
      </c>
      <c r="N642" s="17" t="b">
        <v>1</v>
      </c>
      <c r="O642" s="17" t="b">
        <v>1</v>
      </c>
      <c r="P642" s="17" t="b">
        <v>1</v>
      </c>
      <c r="Q642" s="17" t="b">
        <v>0</v>
      </c>
      <c r="R642" s="17" t="b">
        <v>0</v>
      </c>
      <c r="S642" s="17" t="b">
        <v>0</v>
      </c>
      <c r="T642" s="17" t="b">
        <v>1</v>
      </c>
      <c r="U642" s="17" t="b">
        <v>1</v>
      </c>
      <c r="V642" s="17" t="b">
        <v>1</v>
      </c>
      <c r="W642" s="11" t="s">
        <v>281</v>
      </c>
      <c r="X642" s="12" t="s">
        <v>14</v>
      </c>
      <c r="Y642" s="12" t="s">
        <v>14</v>
      </c>
      <c r="Z642" s="13" t="s">
        <v>355</v>
      </c>
    </row>
    <row r="643" spans="1:26" ht="19.95" customHeight="1" x14ac:dyDescent="0.3">
      <c r="A643" s="6">
        <v>45712</v>
      </c>
      <c r="B643" s="7" t="s">
        <v>1568</v>
      </c>
      <c r="C643" s="9" t="s">
        <v>1804</v>
      </c>
      <c r="D643" s="8" t="s">
        <v>269</v>
      </c>
      <c r="E643" s="8" t="s">
        <v>1801</v>
      </c>
      <c r="F643" s="9" t="s">
        <v>1805</v>
      </c>
      <c r="G643" s="35" t="s">
        <v>1580</v>
      </c>
      <c r="H643" s="9" t="s">
        <v>1806</v>
      </c>
      <c r="I643" s="9" t="s">
        <v>69</v>
      </c>
      <c r="J643" s="10" t="s">
        <v>185</v>
      </c>
      <c r="K643" s="15" t="str">
        <f>VLOOKUP(J643,[1]DADOS!$A$3:$B$100,2,FALSE)</f>
        <v>EE-GI-001-031</v>
      </c>
      <c r="L643" s="15" t="s">
        <v>260</v>
      </c>
      <c r="M643" s="18" t="b">
        <v>1</v>
      </c>
      <c r="N643" s="17" t="b">
        <v>1</v>
      </c>
      <c r="O643" s="17" t="b">
        <v>1</v>
      </c>
      <c r="P643" s="17" t="b">
        <v>1</v>
      </c>
      <c r="Q643" s="17" t="b">
        <v>0</v>
      </c>
      <c r="R643" s="17" t="b">
        <v>0</v>
      </c>
      <c r="S643" s="17" t="b">
        <v>0</v>
      </c>
      <c r="T643" s="17" t="b">
        <v>1</v>
      </c>
      <c r="U643" s="17" t="b">
        <v>1</v>
      </c>
      <c r="V643" s="17" t="b">
        <v>1</v>
      </c>
      <c r="W643" s="11" t="s">
        <v>269</v>
      </c>
      <c r="X643" s="12" t="s">
        <v>14</v>
      </c>
      <c r="Y643" s="12" t="s">
        <v>14</v>
      </c>
      <c r="Z643" s="13" t="s">
        <v>355</v>
      </c>
    </row>
    <row r="644" spans="1:26" ht="19.95" customHeight="1" x14ac:dyDescent="0.3">
      <c r="A644" s="6">
        <v>45712</v>
      </c>
      <c r="B644" s="7" t="s">
        <v>678</v>
      </c>
      <c r="C644" s="9" t="s">
        <v>2767</v>
      </c>
      <c r="D644" s="8" t="s">
        <v>281</v>
      </c>
      <c r="E644" s="8" t="s">
        <v>2768</v>
      </c>
      <c r="F644" s="9" t="s">
        <v>2769</v>
      </c>
      <c r="G644" s="35" t="s">
        <v>2770</v>
      </c>
      <c r="H644" s="9" t="s">
        <v>2771</v>
      </c>
      <c r="I644" s="9" t="s">
        <v>69</v>
      </c>
      <c r="J644" s="10" t="s">
        <v>250</v>
      </c>
      <c r="K644" s="15" t="str">
        <f>VLOOKUP(J644,[1]DADOS!$A$3:$B$100,2,FALSE)</f>
        <v>EE-GI-001-028</v>
      </c>
      <c r="L644" s="15" t="s">
        <v>260</v>
      </c>
      <c r="M644" s="18" t="b">
        <v>1</v>
      </c>
      <c r="N644" s="17" t="b">
        <v>1</v>
      </c>
      <c r="O644" s="17" t="b">
        <v>1</v>
      </c>
      <c r="P644" s="17" t="b">
        <v>1</v>
      </c>
      <c r="Q644" s="17" t="b">
        <v>1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 t="s">
        <v>281</v>
      </c>
      <c r="X644" s="12" t="s">
        <v>14</v>
      </c>
      <c r="Y644" s="12" t="s">
        <v>14</v>
      </c>
      <c r="Z644" s="13" t="s">
        <v>355</v>
      </c>
    </row>
    <row r="645" spans="1:26" ht="19.95" customHeight="1" x14ac:dyDescent="0.3">
      <c r="A645" s="6">
        <v>45713</v>
      </c>
      <c r="B645" s="7" t="s">
        <v>406</v>
      </c>
      <c r="C645" s="9" t="s">
        <v>1328</v>
      </c>
      <c r="D645" s="8" t="s">
        <v>287</v>
      </c>
      <c r="E645" s="8" t="s">
        <v>1321</v>
      </c>
      <c r="F645" s="9" t="s">
        <v>1322</v>
      </c>
      <c r="G645" s="35" t="s">
        <v>1323</v>
      </c>
      <c r="H645" s="9" t="s">
        <v>1324</v>
      </c>
      <c r="I645" s="9" t="s">
        <v>65</v>
      </c>
      <c r="J645" s="10" t="s">
        <v>194</v>
      </c>
      <c r="K645" s="15" t="str">
        <f>VLOOKUP(J645,[1]DADOS!$A$3:$B$100,2,FALSE)</f>
        <v>EE-GI-001-046</v>
      </c>
      <c r="L645" s="15" t="s">
        <v>303</v>
      </c>
      <c r="M645" s="18" t="b">
        <v>1</v>
      </c>
      <c r="N645" s="17" t="b">
        <v>1</v>
      </c>
      <c r="O645" s="17" t="b">
        <v>1</v>
      </c>
      <c r="P645" s="17" t="b">
        <v>1</v>
      </c>
      <c r="Q645" s="17" t="b">
        <v>0</v>
      </c>
      <c r="R645" s="17" t="b">
        <v>1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 t="s">
        <v>287</v>
      </c>
      <c r="X645" s="12" t="s">
        <v>14</v>
      </c>
      <c r="Y645" s="12" t="s">
        <v>14</v>
      </c>
      <c r="Z645" s="13" t="s">
        <v>261</v>
      </c>
    </row>
    <row r="646" spans="1:26" ht="19.95" customHeight="1" x14ac:dyDescent="0.3">
      <c r="A646" s="6">
        <v>45713</v>
      </c>
      <c r="B646" s="7" t="s">
        <v>406</v>
      </c>
      <c r="C646" s="9" t="s">
        <v>1327</v>
      </c>
      <c r="D646" s="8" t="s">
        <v>281</v>
      </c>
      <c r="E646" s="8" t="s">
        <v>1321</v>
      </c>
      <c r="F646" s="9" t="s">
        <v>1329</v>
      </c>
      <c r="G646" s="35" t="s">
        <v>1326</v>
      </c>
      <c r="H646" s="9" t="s">
        <v>1325</v>
      </c>
      <c r="I646" s="9" t="s">
        <v>65</v>
      </c>
      <c r="J646" s="10" t="s">
        <v>194</v>
      </c>
      <c r="K646" s="15" t="str">
        <f>VLOOKUP(J646,[1]DADOS!$A$3:$B$100,2,FALSE)</f>
        <v>EE-GI-001-046</v>
      </c>
      <c r="L646" s="15" t="s">
        <v>303</v>
      </c>
      <c r="M646" s="18" t="b">
        <v>1</v>
      </c>
      <c r="N646" s="17" t="b">
        <v>1</v>
      </c>
      <c r="O646" s="17" t="b">
        <v>1</v>
      </c>
      <c r="P646" s="17" t="b">
        <v>1</v>
      </c>
      <c r="Q646" s="17" t="b">
        <v>0</v>
      </c>
      <c r="R646" s="17" t="b">
        <v>1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 t="s">
        <v>281</v>
      </c>
      <c r="X646" s="12" t="s">
        <v>14</v>
      </c>
      <c r="Y646" s="12" t="s">
        <v>14</v>
      </c>
      <c r="Z646" s="13" t="s">
        <v>261</v>
      </c>
    </row>
    <row r="647" spans="1:26" ht="19.95" customHeight="1" x14ac:dyDescent="0.3">
      <c r="A647" s="6">
        <v>45713</v>
      </c>
      <c r="B647" s="7" t="s">
        <v>406</v>
      </c>
      <c r="C647" s="9" t="s">
        <v>420</v>
      </c>
      <c r="D647" s="8" t="s">
        <v>269</v>
      </c>
      <c r="E647" s="8" t="s">
        <v>1365</v>
      </c>
      <c r="F647" s="9" t="s">
        <v>1366</v>
      </c>
      <c r="G647" s="35" t="s">
        <v>1369</v>
      </c>
      <c r="H647" s="9" t="s">
        <v>1370</v>
      </c>
      <c r="I647" s="9" t="s">
        <v>69</v>
      </c>
      <c r="J647" s="10" t="s">
        <v>15</v>
      </c>
      <c r="K647" s="15" t="str">
        <f>VLOOKUP(J647,[1]DADOS!$A$3:$B$100,2,FALSE)</f>
        <v>EE-GI-001-002</v>
      </c>
      <c r="L647" s="15" t="s">
        <v>260</v>
      </c>
      <c r="M647" s="18" t="b">
        <v>1</v>
      </c>
      <c r="N647" s="17" t="b">
        <v>1</v>
      </c>
      <c r="O647" s="17" t="b">
        <v>1</v>
      </c>
      <c r="P647" s="17" t="b">
        <v>1</v>
      </c>
      <c r="Q647" s="17" t="b">
        <v>0</v>
      </c>
      <c r="R647" s="17" t="b">
        <v>1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 t="s">
        <v>269</v>
      </c>
      <c r="X647" s="12" t="s">
        <v>14</v>
      </c>
      <c r="Y647" s="12" t="s">
        <v>14</v>
      </c>
      <c r="Z647" s="13" t="s">
        <v>261</v>
      </c>
    </row>
    <row r="648" spans="1:26" ht="19.95" customHeight="1" x14ac:dyDescent="0.3">
      <c r="A648" s="6">
        <v>45713</v>
      </c>
      <c r="B648" s="7" t="s">
        <v>406</v>
      </c>
      <c r="C648" s="9" t="s">
        <v>420</v>
      </c>
      <c r="D648" s="8" t="s">
        <v>473</v>
      </c>
      <c r="E648" s="8" t="s">
        <v>1365</v>
      </c>
      <c r="F648" s="9" t="s">
        <v>1367</v>
      </c>
      <c r="G648" s="35" t="s">
        <v>1369</v>
      </c>
      <c r="H648" s="9" t="s">
        <v>1370</v>
      </c>
      <c r="I648" s="9" t="s">
        <v>69</v>
      </c>
      <c r="J648" s="10" t="s">
        <v>15</v>
      </c>
      <c r="K648" s="15" t="str">
        <f>VLOOKUP(J648,[1]DADOS!$A$3:$B$100,2,FALSE)</f>
        <v>EE-GI-001-002</v>
      </c>
      <c r="L648" s="15" t="s">
        <v>260</v>
      </c>
      <c r="M648" s="18" t="b">
        <v>1</v>
      </c>
      <c r="N648" s="17" t="b">
        <v>1</v>
      </c>
      <c r="O648" s="17" t="b">
        <v>1</v>
      </c>
      <c r="P648" s="17" t="b">
        <v>1</v>
      </c>
      <c r="Q648" s="17" t="b">
        <v>0</v>
      </c>
      <c r="R648" s="17" t="b">
        <v>1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 t="s">
        <v>473</v>
      </c>
      <c r="X648" s="12" t="s">
        <v>14</v>
      </c>
      <c r="Y648" s="12" t="s">
        <v>14</v>
      </c>
      <c r="Z648" s="13" t="s">
        <v>261</v>
      </c>
    </row>
    <row r="649" spans="1:26" s="5" customFormat="1" ht="19.95" customHeight="1" x14ac:dyDescent="0.3">
      <c r="A649" s="6">
        <v>45713</v>
      </c>
      <c r="B649" s="7" t="s">
        <v>406</v>
      </c>
      <c r="C649" s="9" t="s">
        <v>420</v>
      </c>
      <c r="D649" s="8" t="s">
        <v>1364</v>
      </c>
      <c r="E649" s="8" t="s">
        <v>1365</v>
      </c>
      <c r="F649" s="9" t="s">
        <v>1368</v>
      </c>
      <c r="G649" s="35" t="s">
        <v>1369</v>
      </c>
      <c r="H649" s="9" t="s">
        <v>1370</v>
      </c>
      <c r="I649" s="9" t="s">
        <v>69</v>
      </c>
      <c r="J649" s="10" t="s">
        <v>15</v>
      </c>
      <c r="K649" s="15" t="str">
        <f>VLOOKUP(J649,[1]DADOS!$A$3:$B$100,2,FALSE)</f>
        <v>EE-GI-001-002</v>
      </c>
      <c r="L649" s="15" t="s">
        <v>260</v>
      </c>
      <c r="M649" s="18" t="b">
        <v>1</v>
      </c>
      <c r="N649" s="17" t="b">
        <v>1</v>
      </c>
      <c r="O649" s="17" t="b">
        <v>1</v>
      </c>
      <c r="P649" s="17" t="b">
        <v>1</v>
      </c>
      <c r="Q649" s="17" t="b">
        <v>0</v>
      </c>
      <c r="R649" s="17" t="b">
        <v>1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 t="s">
        <v>1364</v>
      </c>
      <c r="X649" s="12" t="s">
        <v>14</v>
      </c>
      <c r="Y649" s="12" t="s">
        <v>14</v>
      </c>
      <c r="Z649" s="13" t="s">
        <v>261</v>
      </c>
    </row>
    <row r="650" spans="1:26" ht="19.95" customHeight="1" x14ac:dyDescent="0.3">
      <c r="A650" s="6">
        <v>45713</v>
      </c>
      <c r="B650" s="7" t="s">
        <v>406</v>
      </c>
      <c r="C650" s="8" t="s">
        <v>2719</v>
      </c>
      <c r="D650" s="8" t="s">
        <v>268</v>
      </c>
      <c r="E650" s="8" t="s">
        <v>1365</v>
      </c>
      <c r="F650" s="9" t="s">
        <v>429</v>
      </c>
      <c r="G650" s="9" t="s">
        <v>1356</v>
      </c>
      <c r="H650" s="9" t="s">
        <v>2720</v>
      </c>
      <c r="I650" s="9" t="s">
        <v>69</v>
      </c>
      <c r="J650" s="10" t="s">
        <v>15</v>
      </c>
      <c r="K650" s="15" t="str">
        <f>VLOOKUP(J650,[2]DADOS!$A$3:$B$101,2,FALSE)</f>
        <v>EE-GI-001-002</v>
      </c>
      <c r="L650" s="15" t="s">
        <v>260</v>
      </c>
      <c r="M650" s="18" t="b">
        <v>1</v>
      </c>
      <c r="N650" s="17" t="b">
        <v>1</v>
      </c>
      <c r="O650" s="17" t="b">
        <v>1</v>
      </c>
      <c r="P650" s="17" t="b">
        <v>1</v>
      </c>
      <c r="Q650" s="17" t="b">
        <v>0</v>
      </c>
      <c r="R650" s="17" t="b">
        <v>1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 t="s">
        <v>268</v>
      </c>
      <c r="X650" s="12" t="s">
        <v>14</v>
      </c>
      <c r="Y650" s="12" t="s">
        <v>14</v>
      </c>
      <c r="Z650" s="13" t="s">
        <v>261</v>
      </c>
    </row>
    <row r="651" spans="1:26" ht="19.95" customHeight="1" x14ac:dyDescent="0.3">
      <c r="A651" s="6">
        <v>45713</v>
      </c>
      <c r="B651" s="7" t="s">
        <v>406</v>
      </c>
      <c r="C651" s="8" t="s">
        <v>2719</v>
      </c>
      <c r="D651" s="8" t="s">
        <v>1646</v>
      </c>
      <c r="E651" s="8" t="s">
        <v>1365</v>
      </c>
      <c r="F651" s="9" t="s">
        <v>2721</v>
      </c>
      <c r="G651" s="9" t="s">
        <v>1356</v>
      </c>
      <c r="H651" s="9" t="s">
        <v>2720</v>
      </c>
      <c r="I651" s="9" t="s">
        <v>69</v>
      </c>
      <c r="J651" s="10" t="s">
        <v>15</v>
      </c>
      <c r="K651" s="15" t="str">
        <f>VLOOKUP(J651,[2]DADOS!$A$3:$B$101,2,FALSE)</f>
        <v>EE-GI-001-002</v>
      </c>
      <c r="L651" s="15" t="s">
        <v>2535</v>
      </c>
      <c r="M651" s="18" t="b">
        <v>1</v>
      </c>
      <c r="N651" s="17" t="b">
        <v>1</v>
      </c>
      <c r="O651" s="17" t="b">
        <v>1</v>
      </c>
      <c r="P651" s="17" t="b">
        <v>1</v>
      </c>
      <c r="Q651" s="17" t="b">
        <v>0</v>
      </c>
      <c r="R651" s="17" t="b">
        <v>1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 t="s">
        <v>1646</v>
      </c>
      <c r="X651" s="12" t="s">
        <v>14</v>
      </c>
      <c r="Y651" s="12" t="s">
        <v>14</v>
      </c>
      <c r="Z651" s="13" t="s">
        <v>261</v>
      </c>
    </row>
    <row r="652" spans="1:26" ht="19.5" customHeight="1" x14ac:dyDescent="0.3">
      <c r="A652" s="6">
        <v>45713</v>
      </c>
      <c r="B652" s="7" t="s">
        <v>377</v>
      </c>
      <c r="C652" s="9" t="s">
        <v>1241</v>
      </c>
      <c r="D652" s="8" t="s">
        <v>269</v>
      </c>
      <c r="E652" s="8" t="s">
        <v>974</v>
      </c>
      <c r="F652" s="9" t="s">
        <v>1242</v>
      </c>
      <c r="G652" s="35" t="s">
        <v>778</v>
      </c>
      <c r="H652" s="9" t="s">
        <v>1243</v>
      </c>
      <c r="I652" s="9" t="s">
        <v>69</v>
      </c>
      <c r="J652" s="10" t="s">
        <v>17</v>
      </c>
      <c r="K652" s="15" t="str">
        <f>VLOOKUP(J652,DADOS!$A$3:$B$101,2,FALSE)</f>
        <v>EE-GI-001-001</v>
      </c>
      <c r="L652" s="15" t="s">
        <v>354</v>
      </c>
      <c r="M652" s="18" t="b">
        <v>1</v>
      </c>
      <c r="N652" s="17" t="b">
        <v>1</v>
      </c>
      <c r="O652" s="17" t="b">
        <v>1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1</v>
      </c>
      <c r="U652" s="17" t="b">
        <v>1</v>
      </c>
      <c r="V652" s="17" t="b">
        <v>1</v>
      </c>
      <c r="W652" s="11" t="s">
        <v>269</v>
      </c>
      <c r="X652" s="12" t="s">
        <v>14</v>
      </c>
      <c r="Y652" s="12" t="s">
        <v>14</v>
      </c>
      <c r="Z652" s="13" t="s">
        <v>355</v>
      </c>
    </row>
    <row r="653" spans="1:26" ht="19.5" customHeight="1" x14ac:dyDescent="0.3">
      <c r="A653" s="6">
        <v>45713</v>
      </c>
      <c r="B653" s="7" t="s">
        <v>377</v>
      </c>
      <c r="C653" s="8" t="s">
        <v>1003</v>
      </c>
      <c r="D653" s="8" t="s">
        <v>281</v>
      </c>
      <c r="E653" s="8" t="s">
        <v>974</v>
      </c>
      <c r="F653" s="9" t="s">
        <v>1005</v>
      </c>
      <c r="G653" s="9" t="s">
        <v>1007</v>
      </c>
      <c r="H653" s="9" t="s">
        <v>1009</v>
      </c>
      <c r="I653" s="9" t="s">
        <v>68</v>
      </c>
      <c r="J653" s="10" t="s">
        <v>17</v>
      </c>
      <c r="K653" s="15" t="str">
        <f>VLOOKUP(J653,DADOS!$A$3:$B$101,2,FALSE)</f>
        <v>EE-GI-001-001</v>
      </c>
      <c r="L653" s="15" t="s">
        <v>814</v>
      </c>
      <c r="M653" s="18" t="b">
        <v>1</v>
      </c>
      <c r="N653" s="17" t="b">
        <v>1</v>
      </c>
      <c r="O653" s="17" t="b">
        <v>1</v>
      </c>
      <c r="P653" s="17" t="b">
        <v>1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1</v>
      </c>
      <c r="W653" s="11" t="s">
        <v>281</v>
      </c>
      <c r="X653" s="12" t="s">
        <v>14</v>
      </c>
      <c r="Y653" s="12" t="s">
        <v>14</v>
      </c>
      <c r="Z653" s="13" t="s">
        <v>261</v>
      </c>
    </row>
    <row r="654" spans="1:26" ht="19.5" customHeight="1" x14ac:dyDescent="0.3">
      <c r="A654" s="6">
        <v>45713</v>
      </c>
      <c r="B654" s="7" t="s">
        <v>377</v>
      </c>
      <c r="C654" s="8" t="s">
        <v>1004</v>
      </c>
      <c r="D654" s="8" t="s">
        <v>269</v>
      </c>
      <c r="E654" s="8" t="s">
        <v>974</v>
      </c>
      <c r="F654" s="9" t="s">
        <v>1006</v>
      </c>
      <c r="G654" s="9" t="s">
        <v>1008</v>
      </c>
      <c r="H654" s="9" t="s">
        <v>1010</v>
      </c>
      <c r="I654" s="9" t="s">
        <v>68</v>
      </c>
      <c r="J654" s="10" t="s">
        <v>186</v>
      </c>
      <c r="K654" s="15" t="str">
        <f>VLOOKUP(J654,DADOS!$A$3:$B$101,2,FALSE)</f>
        <v>EE-GI-001-008</v>
      </c>
      <c r="L654" s="15" t="s">
        <v>814</v>
      </c>
      <c r="M654" s="18" t="b">
        <v>1</v>
      </c>
      <c r="N654" s="17" t="b">
        <v>1</v>
      </c>
      <c r="O654" s="17" t="b">
        <v>1</v>
      </c>
      <c r="P654" s="17" t="b">
        <v>1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1</v>
      </c>
      <c r="W654" s="11" t="s">
        <v>269</v>
      </c>
      <c r="X654" s="12" t="s">
        <v>14</v>
      </c>
      <c r="Y654" s="12" t="s">
        <v>14</v>
      </c>
      <c r="Z654" s="13" t="s">
        <v>261</v>
      </c>
    </row>
    <row r="655" spans="1:26" ht="19.5" customHeight="1" x14ac:dyDescent="0.3">
      <c r="A655" s="6">
        <v>45713</v>
      </c>
      <c r="B655" s="7" t="s">
        <v>377</v>
      </c>
      <c r="C655" s="8" t="s">
        <v>1017</v>
      </c>
      <c r="D655" s="8" t="s">
        <v>269</v>
      </c>
      <c r="E655" s="8" t="s">
        <v>985</v>
      </c>
      <c r="F655" s="9" t="s">
        <v>1018</v>
      </c>
      <c r="G655" s="9" t="s">
        <v>1019</v>
      </c>
      <c r="H655" s="9" t="s">
        <v>1065</v>
      </c>
      <c r="I655" s="9" t="s">
        <v>64</v>
      </c>
      <c r="J655" s="10" t="s">
        <v>186</v>
      </c>
      <c r="K655" s="15" t="str">
        <f>VLOOKUP(J655,DADOS!$A$3:$B$101,2,FALSE)</f>
        <v>EE-GI-001-008</v>
      </c>
      <c r="L655" s="15" t="s">
        <v>303</v>
      </c>
      <c r="M655" s="18" t="b">
        <v>1</v>
      </c>
      <c r="N655" s="17" t="b">
        <v>1</v>
      </c>
      <c r="O655" s="17" t="b">
        <v>1</v>
      </c>
      <c r="P655" s="17" t="b">
        <v>1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1</v>
      </c>
      <c r="W655" s="11" t="s">
        <v>269</v>
      </c>
      <c r="X655" s="12" t="s">
        <v>14</v>
      </c>
      <c r="Y655" s="12" t="s">
        <v>14</v>
      </c>
      <c r="Z655" s="13" t="s">
        <v>261</v>
      </c>
    </row>
    <row r="656" spans="1:26" ht="19.95" customHeight="1" x14ac:dyDescent="0.3">
      <c r="A656" s="6">
        <v>45713</v>
      </c>
      <c r="B656" s="7" t="s">
        <v>377</v>
      </c>
      <c r="C656" s="8" t="s">
        <v>1023</v>
      </c>
      <c r="D656" s="8" t="s">
        <v>287</v>
      </c>
      <c r="E656" s="8" t="s">
        <v>974</v>
      </c>
      <c r="F656" s="9" t="s">
        <v>1024</v>
      </c>
      <c r="G656" s="9" t="s">
        <v>781</v>
      </c>
      <c r="H656" s="9" t="s">
        <v>1026</v>
      </c>
      <c r="I656" s="9" t="s">
        <v>65</v>
      </c>
      <c r="J656" s="10" t="s">
        <v>17</v>
      </c>
      <c r="K656" s="15" t="str">
        <f>VLOOKUP(J656,DADOS!$A$3:$B$101,2,FALSE)</f>
        <v>EE-GI-001-001</v>
      </c>
      <c r="L656" s="15" t="s">
        <v>260</v>
      </c>
      <c r="M656" s="18" t="b">
        <v>1</v>
      </c>
      <c r="N656" s="17" t="b">
        <v>1</v>
      </c>
      <c r="O656" s="17" t="b">
        <v>1</v>
      </c>
      <c r="P656" s="17" t="b">
        <v>1</v>
      </c>
      <c r="Q656" s="17" t="b">
        <v>0</v>
      </c>
      <c r="R656" s="17" t="b">
        <v>0</v>
      </c>
      <c r="S656" s="17" t="b">
        <v>0</v>
      </c>
      <c r="T656" s="17" t="b">
        <v>1</v>
      </c>
      <c r="U656" s="17" t="b">
        <v>1</v>
      </c>
      <c r="V656" s="17" t="b">
        <v>1</v>
      </c>
      <c r="W656" s="11" t="s">
        <v>287</v>
      </c>
      <c r="X656" s="12" t="s">
        <v>14</v>
      </c>
      <c r="Y656" s="12" t="s">
        <v>14</v>
      </c>
      <c r="Z656" s="13" t="s">
        <v>261</v>
      </c>
    </row>
    <row r="657" spans="1:26" ht="19.95" customHeight="1" x14ac:dyDescent="0.3">
      <c r="A657" s="6">
        <v>45713</v>
      </c>
      <c r="B657" s="7" t="s">
        <v>377</v>
      </c>
      <c r="C657" s="8" t="s">
        <v>1023</v>
      </c>
      <c r="D657" s="8" t="s">
        <v>269</v>
      </c>
      <c r="E657" s="8" t="s">
        <v>974</v>
      </c>
      <c r="F657" s="9" t="s">
        <v>1025</v>
      </c>
      <c r="G657" s="9" t="s">
        <v>781</v>
      </c>
      <c r="H657" s="9" t="s">
        <v>1026</v>
      </c>
      <c r="I657" s="9" t="s">
        <v>65</v>
      </c>
      <c r="J657" s="10" t="s">
        <v>17</v>
      </c>
      <c r="K657" s="15" t="str">
        <f>VLOOKUP(J657,DADOS!$A$3:$B$101,2,FALSE)</f>
        <v>EE-GI-001-001</v>
      </c>
      <c r="L657" s="15" t="s">
        <v>260</v>
      </c>
      <c r="M657" s="18" t="b">
        <v>1</v>
      </c>
      <c r="N657" s="17" t="b">
        <v>1</v>
      </c>
      <c r="O657" s="17" t="b">
        <v>1</v>
      </c>
      <c r="P657" s="17" t="b">
        <v>1</v>
      </c>
      <c r="Q657" s="17" t="b">
        <v>0</v>
      </c>
      <c r="R657" s="17" t="b">
        <v>0</v>
      </c>
      <c r="S657" s="17" t="b">
        <v>0</v>
      </c>
      <c r="T657" s="17" t="b">
        <v>1</v>
      </c>
      <c r="U657" s="17" t="b">
        <v>1</v>
      </c>
      <c r="V657" s="17" t="b">
        <v>1</v>
      </c>
      <c r="W657" s="11" t="s">
        <v>269</v>
      </c>
      <c r="X657" s="12" t="s">
        <v>14</v>
      </c>
      <c r="Y657" s="12" t="s">
        <v>14</v>
      </c>
      <c r="Z657" s="13" t="s">
        <v>261</v>
      </c>
    </row>
    <row r="658" spans="1:26" ht="19.95" customHeight="1" x14ac:dyDescent="0.3">
      <c r="A658" s="6">
        <v>45713</v>
      </c>
      <c r="B658" s="7" t="s">
        <v>377</v>
      </c>
      <c r="C658" s="8" t="s">
        <v>992</v>
      </c>
      <c r="D658" s="8" t="s">
        <v>269</v>
      </c>
      <c r="E658" s="8" t="s">
        <v>967</v>
      </c>
      <c r="F658" s="9" t="s">
        <v>1027</v>
      </c>
      <c r="G658" s="9" t="s">
        <v>999</v>
      </c>
      <c r="H658" s="9" t="s">
        <v>1028</v>
      </c>
      <c r="I658" s="9" t="s">
        <v>65</v>
      </c>
      <c r="J658" s="10" t="s">
        <v>16</v>
      </c>
      <c r="K658" s="15" t="str">
        <f>VLOOKUP(J658,DADOS!$A$3:$B$101,2,FALSE)</f>
        <v>EE-GI-001-003</v>
      </c>
      <c r="L658" s="15" t="s">
        <v>260</v>
      </c>
      <c r="M658" s="18" t="b">
        <v>1</v>
      </c>
      <c r="N658" s="17" t="b">
        <v>1</v>
      </c>
      <c r="O658" s="17" t="b">
        <v>1</v>
      </c>
      <c r="P658" s="17" t="b">
        <v>1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1</v>
      </c>
      <c r="W658" s="11" t="s">
        <v>269</v>
      </c>
      <c r="X658" s="12" t="s">
        <v>14</v>
      </c>
      <c r="Y658" s="12" t="s">
        <v>14</v>
      </c>
      <c r="Z658" s="13" t="s">
        <v>261</v>
      </c>
    </row>
    <row r="659" spans="1:26" ht="19.95" customHeight="1" x14ac:dyDescent="0.3">
      <c r="A659" s="6">
        <v>45713</v>
      </c>
      <c r="B659" s="7" t="s">
        <v>377</v>
      </c>
      <c r="C659" s="8" t="s">
        <v>992</v>
      </c>
      <c r="D659" s="8" t="s">
        <v>364</v>
      </c>
      <c r="E659" s="8" t="s">
        <v>967</v>
      </c>
      <c r="F659" s="9" t="s">
        <v>1029</v>
      </c>
      <c r="G659" s="9" t="s">
        <v>273</v>
      </c>
      <c r="H659" s="9" t="s">
        <v>1028</v>
      </c>
      <c r="I659" s="9" t="s">
        <v>65</v>
      </c>
      <c r="J659" s="10" t="s">
        <v>16</v>
      </c>
      <c r="K659" s="15" t="str">
        <f>VLOOKUP(J659,DADOS!$A$3:$B$101,2,FALSE)</f>
        <v>EE-GI-001-003</v>
      </c>
      <c r="L659" s="15" t="s">
        <v>260</v>
      </c>
      <c r="M659" s="18" t="b">
        <v>1</v>
      </c>
      <c r="N659" s="17" t="b">
        <v>1</v>
      </c>
      <c r="O659" s="17" t="b">
        <v>1</v>
      </c>
      <c r="P659" s="17" t="b">
        <v>1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1</v>
      </c>
      <c r="W659" s="11" t="s">
        <v>364</v>
      </c>
      <c r="X659" s="12" t="s">
        <v>14</v>
      </c>
      <c r="Y659" s="12" t="s">
        <v>14</v>
      </c>
      <c r="Z659" s="13" t="s">
        <v>261</v>
      </c>
    </row>
    <row r="660" spans="1:26" ht="19.95" customHeight="1" x14ac:dyDescent="0.3">
      <c r="A660" s="6">
        <v>45713</v>
      </c>
      <c r="B660" s="7" t="s">
        <v>377</v>
      </c>
      <c r="C660" s="8" t="s">
        <v>992</v>
      </c>
      <c r="D660" s="8" t="s">
        <v>364</v>
      </c>
      <c r="E660" s="8" t="s">
        <v>967</v>
      </c>
      <c r="F660" s="9" t="s">
        <v>1000</v>
      </c>
      <c r="G660" s="9" t="s">
        <v>273</v>
      </c>
      <c r="H660" s="9" t="s">
        <v>1028</v>
      </c>
      <c r="I660" s="9" t="s">
        <v>65</v>
      </c>
      <c r="J660" s="10" t="s">
        <v>16</v>
      </c>
      <c r="K660" s="15" t="str">
        <f>VLOOKUP(J660,DADOS!$A$3:$B$101,2,FALSE)</f>
        <v>EE-GI-001-003</v>
      </c>
      <c r="L660" s="15" t="s">
        <v>260</v>
      </c>
      <c r="M660" s="18" t="b">
        <v>1</v>
      </c>
      <c r="N660" s="17" t="b">
        <v>1</v>
      </c>
      <c r="O660" s="17" t="b">
        <v>1</v>
      </c>
      <c r="P660" s="17" t="b">
        <v>1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1</v>
      </c>
      <c r="W660" s="11" t="s">
        <v>364</v>
      </c>
      <c r="X660" s="12" t="s">
        <v>14</v>
      </c>
      <c r="Y660" s="12" t="s">
        <v>14</v>
      </c>
      <c r="Z660" s="13" t="s">
        <v>261</v>
      </c>
    </row>
    <row r="661" spans="1:26" ht="19.95" customHeight="1" x14ac:dyDescent="0.3">
      <c r="A661" s="6">
        <v>45713</v>
      </c>
      <c r="B661" s="7" t="s">
        <v>377</v>
      </c>
      <c r="C661" s="8" t="s">
        <v>992</v>
      </c>
      <c r="D661" s="8" t="s">
        <v>364</v>
      </c>
      <c r="E661" s="8" t="s">
        <v>967</v>
      </c>
      <c r="F661" s="9" t="s">
        <v>998</v>
      </c>
      <c r="G661" s="9" t="s">
        <v>273</v>
      </c>
      <c r="H661" s="9" t="s">
        <v>1028</v>
      </c>
      <c r="I661" s="9" t="s">
        <v>65</v>
      </c>
      <c r="J661" s="10" t="s">
        <v>16</v>
      </c>
      <c r="K661" s="15" t="str">
        <f>VLOOKUP(J661,DADOS!$A$3:$B$101,2,FALSE)</f>
        <v>EE-GI-001-003</v>
      </c>
      <c r="L661" s="15" t="s">
        <v>260</v>
      </c>
      <c r="M661" s="18" t="b">
        <v>1</v>
      </c>
      <c r="N661" s="17" t="b">
        <v>1</v>
      </c>
      <c r="O661" s="17" t="b">
        <v>1</v>
      </c>
      <c r="P661" s="17" t="b">
        <v>1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1</v>
      </c>
      <c r="W661" s="11" t="s">
        <v>364</v>
      </c>
      <c r="X661" s="12" t="s">
        <v>14</v>
      </c>
      <c r="Y661" s="12" t="s">
        <v>14</v>
      </c>
      <c r="Z661" s="13" t="s">
        <v>261</v>
      </c>
    </row>
    <row r="662" spans="1:26" ht="19.95" customHeight="1" x14ac:dyDescent="0.3">
      <c r="A662" s="6">
        <v>45713</v>
      </c>
      <c r="B662" s="7" t="s">
        <v>339</v>
      </c>
      <c r="C662" s="8" t="s">
        <v>1788</v>
      </c>
      <c r="D662" s="8" t="s">
        <v>281</v>
      </c>
      <c r="E662" s="8" t="s">
        <v>1789</v>
      </c>
      <c r="F662" s="9" t="s">
        <v>1790</v>
      </c>
      <c r="G662" s="9" t="s">
        <v>1791</v>
      </c>
      <c r="H662" s="9" t="s">
        <v>14</v>
      </c>
      <c r="I662" s="9" t="s">
        <v>66</v>
      </c>
      <c r="J662" s="10" t="s">
        <v>185</v>
      </c>
      <c r="K662" s="15" t="str">
        <f>VLOOKUP(J662,DADOS!$A$3:$B$101,2,FALSE)</f>
        <v>EE-GI-001-031</v>
      </c>
      <c r="L662" s="15" t="s">
        <v>260</v>
      </c>
      <c r="M662" s="18" t="b">
        <v>1</v>
      </c>
      <c r="N662" s="17" t="b">
        <v>1</v>
      </c>
      <c r="O662" s="17" t="b">
        <v>1</v>
      </c>
      <c r="P662" s="17" t="b">
        <v>1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 t="s">
        <v>281</v>
      </c>
      <c r="X662" s="12" t="s">
        <v>14</v>
      </c>
      <c r="Y662" s="12" t="s">
        <v>14</v>
      </c>
      <c r="Z662" s="13" t="s">
        <v>355</v>
      </c>
    </row>
    <row r="663" spans="1:26" ht="19.95" customHeight="1" x14ac:dyDescent="0.3">
      <c r="A663" s="6">
        <v>45713</v>
      </c>
      <c r="B663" s="7" t="s">
        <v>339</v>
      </c>
      <c r="C663" s="8" t="s">
        <v>1792</v>
      </c>
      <c r="D663" s="8" t="s">
        <v>287</v>
      </c>
      <c r="E663" s="8" t="s">
        <v>1789</v>
      </c>
      <c r="F663" s="9" t="s">
        <v>1793</v>
      </c>
      <c r="G663" s="9" t="s">
        <v>1794</v>
      </c>
      <c r="H663" s="9" t="s">
        <v>14</v>
      </c>
      <c r="I663" s="9" t="s">
        <v>69</v>
      </c>
      <c r="J663" s="10" t="s">
        <v>251</v>
      </c>
      <c r="K663" s="15" t="str">
        <f>VLOOKUP(J663,DADOS!$A$3:$B$101,2,FALSE)</f>
        <v>EE-GI-001-030</v>
      </c>
      <c r="L663" s="15" t="s">
        <v>260</v>
      </c>
      <c r="M663" s="18" t="b">
        <v>1</v>
      </c>
      <c r="N663" s="17" t="b">
        <v>1</v>
      </c>
      <c r="O663" s="17" t="b">
        <v>1</v>
      </c>
      <c r="P663" s="17" t="b">
        <v>1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1</v>
      </c>
      <c r="W663" s="11" t="s">
        <v>287</v>
      </c>
      <c r="X663" s="12" t="s">
        <v>14</v>
      </c>
      <c r="Y663" s="12" t="s">
        <v>14</v>
      </c>
      <c r="Z663" s="13" t="s">
        <v>355</v>
      </c>
    </row>
    <row r="664" spans="1:26" ht="19.95" customHeight="1" x14ac:dyDescent="0.3">
      <c r="A664" s="6">
        <v>45713</v>
      </c>
      <c r="B664" s="7" t="s">
        <v>339</v>
      </c>
      <c r="C664" s="8" t="s">
        <v>618</v>
      </c>
      <c r="D664" s="8" t="s">
        <v>1295</v>
      </c>
      <c r="E664" s="8" t="s">
        <v>1789</v>
      </c>
      <c r="F664" s="9" t="s">
        <v>692</v>
      </c>
      <c r="G664" s="9" t="s">
        <v>689</v>
      </c>
      <c r="H664" s="9" t="s">
        <v>14</v>
      </c>
      <c r="I664" s="9" t="s">
        <v>66</v>
      </c>
      <c r="J664" s="10" t="s">
        <v>186</v>
      </c>
      <c r="K664" s="15" t="str">
        <f>VLOOKUP(J664,DADOS!$A$3:$B$101,2,FALSE)</f>
        <v>EE-GI-001-008</v>
      </c>
      <c r="L664" s="15" t="s">
        <v>260</v>
      </c>
      <c r="M664" s="18" t="b">
        <v>1</v>
      </c>
      <c r="N664" s="17" t="b">
        <v>1</v>
      </c>
      <c r="O664" s="17" t="b">
        <v>1</v>
      </c>
      <c r="P664" s="17" t="b">
        <v>1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1</v>
      </c>
      <c r="W664" s="11" t="s">
        <v>1295</v>
      </c>
      <c r="X664" s="12" t="s">
        <v>14</v>
      </c>
      <c r="Y664" s="12" t="s">
        <v>14</v>
      </c>
      <c r="Z664" s="13" t="s">
        <v>355</v>
      </c>
    </row>
    <row r="665" spans="1:26" ht="19.95" customHeight="1" x14ac:dyDescent="0.3">
      <c r="A665" s="6">
        <v>45713</v>
      </c>
      <c r="B665" s="7" t="s">
        <v>339</v>
      </c>
      <c r="C665" s="8" t="s">
        <v>2415</v>
      </c>
      <c r="D665" s="8" t="s">
        <v>597</v>
      </c>
      <c r="E665" s="8" t="s">
        <v>1789</v>
      </c>
      <c r="F665" s="9" t="s">
        <v>464</v>
      </c>
      <c r="G665" s="9" t="s">
        <v>2416</v>
      </c>
      <c r="H665" s="9" t="s">
        <v>14</v>
      </c>
      <c r="I665" s="9" t="s">
        <v>66</v>
      </c>
      <c r="J665" s="10" t="s">
        <v>15</v>
      </c>
      <c r="K665" s="15" t="str">
        <f>VLOOKUP(J665,DADOS!$A$3:$B$101,2,FALSE)</f>
        <v>EE-GI-001-002</v>
      </c>
      <c r="L665" s="15" t="s">
        <v>1955</v>
      </c>
      <c r="M665" s="18" t="b">
        <v>1</v>
      </c>
      <c r="N665" s="17" t="b">
        <v>1</v>
      </c>
      <c r="O665" s="17" t="b">
        <v>1</v>
      </c>
      <c r="P665" s="17" t="b">
        <v>1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1</v>
      </c>
      <c r="W665" s="11" t="s">
        <v>597</v>
      </c>
      <c r="X665" s="12" t="s">
        <v>14</v>
      </c>
      <c r="Y665" s="12" t="s">
        <v>14</v>
      </c>
      <c r="Z665" s="13" t="s">
        <v>355</v>
      </c>
    </row>
    <row r="666" spans="1:26" ht="19.95" customHeight="1" x14ac:dyDescent="0.3">
      <c r="A666" s="6">
        <v>45713</v>
      </c>
      <c r="B666" s="7" t="s">
        <v>339</v>
      </c>
      <c r="C666" s="8" t="s">
        <v>2417</v>
      </c>
      <c r="D666" s="8" t="s">
        <v>2418</v>
      </c>
      <c r="E666" s="8" t="s">
        <v>1789</v>
      </c>
      <c r="F666" s="9" t="s">
        <v>2419</v>
      </c>
      <c r="G666" s="9" t="s">
        <v>2420</v>
      </c>
      <c r="H666" s="9" t="s">
        <v>14</v>
      </c>
      <c r="I666" s="9" t="s">
        <v>66</v>
      </c>
      <c r="J666" s="10" t="s">
        <v>180</v>
      </c>
      <c r="K666" s="15" t="str">
        <f>VLOOKUP(J666,DADOS!$A$3:$B$101,2,FALSE)</f>
        <v>EE-GI-001-021</v>
      </c>
      <c r="L666" s="15" t="s">
        <v>1955</v>
      </c>
      <c r="M666" s="18" t="b">
        <v>1</v>
      </c>
      <c r="N666" s="17" t="b">
        <v>1</v>
      </c>
      <c r="O666" s="17" t="b">
        <v>1</v>
      </c>
      <c r="P666" s="17" t="b">
        <v>1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1</v>
      </c>
      <c r="W666" s="11" t="s">
        <v>269</v>
      </c>
      <c r="X666" s="12" t="s">
        <v>14</v>
      </c>
      <c r="Y666" s="12" t="s">
        <v>14</v>
      </c>
      <c r="Z666" s="13" t="s">
        <v>355</v>
      </c>
    </row>
    <row r="667" spans="1:26" ht="19.95" customHeight="1" x14ac:dyDescent="0.3">
      <c r="A667" s="6">
        <v>45713</v>
      </c>
      <c r="B667" s="7" t="s">
        <v>339</v>
      </c>
      <c r="C667" s="8" t="s">
        <v>1792</v>
      </c>
      <c r="D667" s="8" t="s">
        <v>269</v>
      </c>
      <c r="E667" s="8" t="s">
        <v>1789</v>
      </c>
      <c r="F667" s="9" t="s">
        <v>2421</v>
      </c>
      <c r="G667" s="9" t="s">
        <v>2422</v>
      </c>
      <c r="H667" s="9" t="s">
        <v>14</v>
      </c>
      <c r="I667" s="9" t="s">
        <v>69</v>
      </c>
      <c r="J667" s="10" t="s">
        <v>251</v>
      </c>
      <c r="K667" s="15" t="str">
        <f>VLOOKUP(J667,DADOS!$A$3:$B$101,2,FALSE)</f>
        <v>EE-GI-001-030</v>
      </c>
      <c r="L667" s="15" t="s">
        <v>1955</v>
      </c>
      <c r="M667" s="18" t="b">
        <v>1</v>
      </c>
      <c r="N667" s="17" t="b">
        <v>1</v>
      </c>
      <c r="O667" s="17" t="b">
        <v>1</v>
      </c>
      <c r="P667" s="17" t="b">
        <v>1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1</v>
      </c>
      <c r="W667" s="11" t="s">
        <v>269</v>
      </c>
      <c r="X667" s="12" t="s">
        <v>14</v>
      </c>
      <c r="Y667" s="12" t="s">
        <v>14</v>
      </c>
      <c r="Z667" s="13" t="s">
        <v>355</v>
      </c>
    </row>
    <row r="668" spans="1:26" ht="19.95" customHeight="1" x14ac:dyDescent="0.3">
      <c r="A668" s="6">
        <v>45713</v>
      </c>
      <c r="B668" s="7" t="s">
        <v>345</v>
      </c>
      <c r="C668" s="8" t="s">
        <v>959</v>
      </c>
      <c r="D668" s="8" t="s">
        <v>364</v>
      </c>
      <c r="E668" s="8" t="s">
        <v>1068</v>
      </c>
      <c r="F668" s="9" t="s">
        <v>1069</v>
      </c>
      <c r="G668" s="9" t="s">
        <v>1070</v>
      </c>
      <c r="H668" s="9" t="s">
        <v>1071</v>
      </c>
      <c r="I668" s="9" t="s">
        <v>64</v>
      </c>
      <c r="J668" s="10" t="s">
        <v>186</v>
      </c>
      <c r="K668" s="15" t="str">
        <f>VLOOKUP(J668,DADOS!$A$3:$B$101,2,FALSE)</f>
        <v>EE-GI-001-008</v>
      </c>
      <c r="L668" s="15" t="s">
        <v>303</v>
      </c>
      <c r="M668" s="18" t="b">
        <v>1</v>
      </c>
      <c r="N668" s="17" t="b">
        <v>1</v>
      </c>
      <c r="O668" s="17" t="b">
        <v>1</v>
      </c>
      <c r="P668" s="17" t="b">
        <v>1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1</v>
      </c>
      <c r="W668" s="11" t="s">
        <v>14</v>
      </c>
      <c r="X668" s="12" t="s">
        <v>364</v>
      </c>
      <c r="Y668" s="12" t="s">
        <v>1072</v>
      </c>
      <c r="Z668" s="12" t="s">
        <v>261</v>
      </c>
    </row>
    <row r="669" spans="1:26" ht="19.95" customHeight="1" x14ac:dyDescent="0.3">
      <c r="A669" s="6">
        <v>45713</v>
      </c>
      <c r="B669" s="7" t="s">
        <v>529</v>
      </c>
      <c r="C669" s="8" t="s">
        <v>1061</v>
      </c>
      <c r="D669" s="8" t="s">
        <v>287</v>
      </c>
      <c r="E669" s="8" t="s">
        <v>1062</v>
      </c>
      <c r="F669" s="9" t="s">
        <v>1063</v>
      </c>
      <c r="G669" s="9" t="s">
        <v>1064</v>
      </c>
      <c r="H669" s="9" t="s">
        <v>1066</v>
      </c>
      <c r="I669" s="9" t="s">
        <v>65</v>
      </c>
      <c r="J669" s="10" t="s">
        <v>17</v>
      </c>
      <c r="K669" s="15" t="str">
        <f>VLOOKUP(J669,DADOS!$A$3:$B$101,2,FALSE)</f>
        <v>EE-GI-001-001</v>
      </c>
      <c r="L669" s="15" t="s">
        <v>303</v>
      </c>
      <c r="M669" s="18" t="b">
        <v>1</v>
      </c>
      <c r="N669" s="17" t="b">
        <v>1</v>
      </c>
      <c r="O669" s="17" t="b">
        <v>1</v>
      </c>
      <c r="P669" s="17" t="b">
        <v>1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 t="s">
        <v>14</v>
      </c>
      <c r="X669" s="12" t="s">
        <v>287</v>
      </c>
      <c r="Y669" s="12" t="s">
        <v>1067</v>
      </c>
      <c r="Z669" s="12" t="s">
        <v>261</v>
      </c>
    </row>
    <row r="670" spans="1:26" ht="19.95" customHeight="1" x14ac:dyDescent="0.3">
      <c r="A670" s="6">
        <v>45713</v>
      </c>
      <c r="B670" s="7" t="s">
        <v>930</v>
      </c>
      <c r="C670" s="8" t="s">
        <v>2588</v>
      </c>
      <c r="D670" s="8" t="s">
        <v>971</v>
      </c>
      <c r="E670" s="8" t="s">
        <v>2450</v>
      </c>
      <c r="F670" s="9" t="s">
        <v>2589</v>
      </c>
      <c r="G670" s="9" t="s">
        <v>2590</v>
      </c>
      <c r="H670" s="9" t="s">
        <v>2453</v>
      </c>
      <c r="I670" s="9" t="s">
        <v>69</v>
      </c>
      <c r="J670" s="10" t="s">
        <v>251</v>
      </c>
      <c r="K670" s="15" t="str">
        <f>VLOOKUP(J670,DADOS!$A$3:$B$101,2,FALSE)</f>
        <v>EE-GI-001-030</v>
      </c>
      <c r="L670" s="15" t="s">
        <v>260</v>
      </c>
      <c r="M670" s="18" t="b">
        <v>1</v>
      </c>
      <c r="N670" s="17" t="b">
        <v>1</v>
      </c>
      <c r="O670" s="17" t="b">
        <v>1</v>
      </c>
      <c r="P670" s="17" t="b">
        <v>1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1</v>
      </c>
      <c r="W670" s="11" t="s">
        <v>971</v>
      </c>
      <c r="X670" s="12" t="s">
        <v>14</v>
      </c>
      <c r="Y670" s="12" t="s">
        <v>14</v>
      </c>
      <c r="Z670" s="13" t="s">
        <v>2536</v>
      </c>
    </row>
    <row r="671" spans="1:26" ht="19.95" customHeight="1" x14ac:dyDescent="0.3">
      <c r="A671" s="6">
        <v>45714</v>
      </c>
      <c r="B671" s="7" t="s">
        <v>529</v>
      </c>
      <c r="C671" s="8" t="s">
        <v>542</v>
      </c>
      <c r="D671" s="8" t="s">
        <v>269</v>
      </c>
      <c r="E671" s="8" t="s">
        <v>1062</v>
      </c>
      <c r="F671" s="9" t="s">
        <v>1073</v>
      </c>
      <c r="G671" s="9" t="s">
        <v>544</v>
      </c>
      <c r="H671" s="9" t="s">
        <v>1074</v>
      </c>
      <c r="I671" s="9" t="s">
        <v>64</v>
      </c>
      <c r="J671" s="10" t="s">
        <v>186</v>
      </c>
      <c r="K671" s="15" t="str">
        <f>VLOOKUP(J671,DADOS!$A$3:$B$101,2,FALSE)</f>
        <v>EE-GI-001-008</v>
      </c>
      <c r="L671" s="15" t="s">
        <v>303</v>
      </c>
      <c r="M671" s="18" t="b">
        <v>1</v>
      </c>
      <c r="N671" s="17" t="b">
        <v>1</v>
      </c>
      <c r="O671" s="17" t="b">
        <v>1</v>
      </c>
      <c r="P671" s="17" t="b">
        <v>1</v>
      </c>
      <c r="Q671" s="17" t="b">
        <v>0</v>
      </c>
      <c r="R671" s="17" t="b">
        <v>1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 t="s">
        <v>269</v>
      </c>
      <c r="X671" s="12" t="s">
        <v>14</v>
      </c>
      <c r="Y671" s="12" t="s">
        <v>14</v>
      </c>
      <c r="Z671" s="13" t="s">
        <v>261</v>
      </c>
    </row>
    <row r="672" spans="1:26" ht="19.95" customHeight="1" x14ac:dyDescent="0.3">
      <c r="A672" s="6">
        <v>45715</v>
      </c>
      <c r="B672" s="7" t="s">
        <v>930</v>
      </c>
      <c r="C672" s="8" t="s">
        <v>2464</v>
      </c>
      <c r="D672" s="8" t="s">
        <v>269</v>
      </c>
      <c r="E672" s="8" t="s">
        <v>2450</v>
      </c>
      <c r="F672" s="9" t="s">
        <v>2465</v>
      </c>
      <c r="G672" s="9" t="s">
        <v>14</v>
      </c>
      <c r="H672" s="9" t="s">
        <v>14</v>
      </c>
      <c r="I672" s="9" t="s">
        <v>69</v>
      </c>
      <c r="J672" s="10" t="s">
        <v>173</v>
      </c>
      <c r="K672" s="15" t="str">
        <f>VLOOKUP(J672,DADOS!$A$3:$B$101,2,FALSE)</f>
        <v>EE-GI-001-006</v>
      </c>
      <c r="L672" s="15" t="s">
        <v>260</v>
      </c>
      <c r="M672" s="18" t="b">
        <v>1</v>
      </c>
      <c r="N672" s="17" t="b">
        <v>1</v>
      </c>
      <c r="O672" s="17" t="b">
        <v>1</v>
      </c>
      <c r="P672" s="17" t="b">
        <v>1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1</v>
      </c>
      <c r="W672" s="11" t="s">
        <v>269</v>
      </c>
      <c r="X672" s="12" t="s">
        <v>14</v>
      </c>
      <c r="Y672" s="12" t="s">
        <v>14</v>
      </c>
      <c r="Z672" s="13" t="s">
        <v>261</v>
      </c>
    </row>
    <row r="673" spans="1:26" ht="19.95" customHeight="1" x14ac:dyDescent="0.3">
      <c r="A673" s="6">
        <v>45716</v>
      </c>
      <c r="B673" s="7" t="s">
        <v>930</v>
      </c>
      <c r="C673" s="8" t="s">
        <v>2466</v>
      </c>
      <c r="D673" s="8" t="s">
        <v>269</v>
      </c>
      <c r="E673" s="8" t="s">
        <v>2450</v>
      </c>
      <c r="F673" s="9" t="s">
        <v>2467</v>
      </c>
      <c r="G673" s="9" t="s">
        <v>14</v>
      </c>
      <c r="H673" s="9" t="s">
        <v>14</v>
      </c>
      <c r="I673" s="9" t="s">
        <v>69</v>
      </c>
      <c r="J673" s="10" t="s">
        <v>173</v>
      </c>
      <c r="K673" s="15" t="str">
        <f>VLOOKUP(J673,DADOS!$A$3:$B$101,2,FALSE)</f>
        <v>EE-GI-001-006</v>
      </c>
      <c r="L673" s="15" t="s">
        <v>260</v>
      </c>
      <c r="M673" s="18" t="b">
        <v>1</v>
      </c>
      <c r="N673" s="17" t="b">
        <v>1</v>
      </c>
      <c r="O673" s="17" t="b">
        <v>1</v>
      </c>
      <c r="P673" s="17" t="b">
        <v>1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1</v>
      </c>
      <c r="W673" s="11" t="s">
        <v>269</v>
      </c>
      <c r="X673" s="12" t="s">
        <v>14</v>
      </c>
      <c r="Y673" s="12" t="s">
        <v>14</v>
      </c>
      <c r="Z673" s="13" t="s">
        <v>261</v>
      </c>
    </row>
    <row r="674" spans="1:26" ht="19.95" customHeight="1" x14ac:dyDescent="0.3">
      <c r="A674" s="6">
        <v>45714</v>
      </c>
      <c r="B674" s="7" t="s">
        <v>529</v>
      </c>
      <c r="C674" s="8" t="s">
        <v>1075</v>
      </c>
      <c r="D674" s="8" t="s">
        <v>364</v>
      </c>
      <c r="E674" s="8" t="s">
        <v>1062</v>
      </c>
      <c r="F674" s="9" t="s">
        <v>1077</v>
      </c>
      <c r="G674" s="9" t="s">
        <v>533</v>
      </c>
      <c r="H674" s="9" t="s">
        <v>1078</v>
      </c>
      <c r="I674" s="9" t="s">
        <v>69</v>
      </c>
      <c r="J674" s="10" t="s">
        <v>15</v>
      </c>
      <c r="K674" s="15" t="str">
        <f>VLOOKUP(J674,DADOS!$A$3:$B$101,2,FALSE)</f>
        <v>EE-GI-001-002</v>
      </c>
      <c r="L674" s="15" t="s">
        <v>303</v>
      </c>
      <c r="M674" s="18" t="b">
        <v>1</v>
      </c>
      <c r="N674" s="17" t="b">
        <v>1</v>
      </c>
      <c r="O674" s="17" t="b">
        <v>1</v>
      </c>
      <c r="P674" s="17" t="b">
        <v>1</v>
      </c>
      <c r="Q674" s="17" t="b">
        <v>0</v>
      </c>
      <c r="R674" s="17" t="b">
        <v>1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 t="s">
        <v>364</v>
      </c>
      <c r="X674" s="12" t="s">
        <v>14</v>
      </c>
      <c r="Y674" s="12" t="s">
        <v>14</v>
      </c>
      <c r="Z674" s="13" t="s">
        <v>261</v>
      </c>
    </row>
    <row r="675" spans="1:26" ht="19.95" customHeight="1" x14ac:dyDescent="0.3">
      <c r="A675" s="6">
        <v>45714</v>
      </c>
      <c r="B675" s="7" t="s">
        <v>529</v>
      </c>
      <c r="C675" s="8" t="s">
        <v>1076</v>
      </c>
      <c r="D675" s="8" t="s">
        <v>466</v>
      </c>
      <c r="E675" s="8" t="s">
        <v>1062</v>
      </c>
      <c r="F675" s="9" t="s">
        <v>1079</v>
      </c>
      <c r="G675" s="9" t="s">
        <v>533</v>
      </c>
      <c r="H675" s="9" t="s">
        <v>1078</v>
      </c>
      <c r="I675" s="9" t="s">
        <v>68</v>
      </c>
      <c r="J675" s="10" t="s">
        <v>15</v>
      </c>
      <c r="K675" s="15" t="str">
        <f>VLOOKUP(J675,DADOS!$A$3:$B$101,2,FALSE)</f>
        <v>EE-GI-001-002</v>
      </c>
      <c r="L675" s="15" t="s">
        <v>303</v>
      </c>
      <c r="M675" s="18" t="b">
        <v>1</v>
      </c>
      <c r="N675" s="17" t="b">
        <v>1</v>
      </c>
      <c r="O675" s="17" t="b">
        <v>1</v>
      </c>
      <c r="P675" s="17" t="b">
        <v>1</v>
      </c>
      <c r="Q675" s="17" t="b">
        <v>0</v>
      </c>
      <c r="R675" s="17" t="b">
        <v>1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 t="s">
        <v>466</v>
      </c>
      <c r="X675" s="12" t="s">
        <v>14</v>
      </c>
      <c r="Y675" s="12" t="s">
        <v>14</v>
      </c>
      <c r="Z675" s="13" t="s">
        <v>261</v>
      </c>
    </row>
    <row r="676" spans="1:26" ht="19.95" customHeight="1" x14ac:dyDescent="0.3">
      <c r="A676" s="6">
        <v>45714</v>
      </c>
      <c r="B676" s="7" t="s">
        <v>529</v>
      </c>
      <c r="C676" s="8" t="s">
        <v>1080</v>
      </c>
      <c r="D676" s="8" t="s">
        <v>287</v>
      </c>
      <c r="E676" s="8" t="s">
        <v>1062</v>
      </c>
      <c r="F676" s="9" t="s">
        <v>1081</v>
      </c>
      <c r="G676" s="9" t="s">
        <v>1082</v>
      </c>
      <c r="H676" s="9" t="s">
        <v>1083</v>
      </c>
      <c r="I676" s="9" t="s">
        <v>65</v>
      </c>
      <c r="J676" s="10" t="s">
        <v>16</v>
      </c>
      <c r="K676" s="15" t="str">
        <f>VLOOKUP(J676,DADOS!$A$3:$B$101,2,FALSE)</f>
        <v>EE-GI-001-003</v>
      </c>
      <c r="L676" s="15" t="s">
        <v>303</v>
      </c>
      <c r="M676" s="18" t="b">
        <v>1</v>
      </c>
      <c r="N676" s="17" t="b">
        <v>1</v>
      </c>
      <c r="O676" s="17" t="b">
        <v>1</v>
      </c>
      <c r="P676" s="17" t="b">
        <v>1</v>
      </c>
      <c r="Q676" s="17" t="b">
        <v>0</v>
      </c>
      <c r="R676" s="17" t="b">
        <v>1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 t="s">
        <v>287</v>
      </c>
      <c r="X676" s="12" t="s">
        <v>14</v>
      </c>
      <c r="Y676" s="12" t="s">
        <v>14</v>
      </c>
      <c r="Z676" s="13" t="s">
        <v>261</v>
      </c>
    </row>
    <row r="677" spans="1:26" ht="19.95" customHeight="1" x14ac:dyDescent="0.3">
      <c r="A677" s="6">
        <v>45714</v>
      </c>
      <c r="B677" s="7" t="s">
        <v>529</v>
      </c>
      <c r="C677" s="8" t="s">
        <v>1085</v>
      </c>
      <c r="D677" s="8" t="s">
        <v>364</v>
      </c>
      <c r="E677" s="8" t="s">
        <v>1062</v>
      </c>
      <c r="F677" s="9" t="s">
        <v>1084</v>
      </c>
      <c r="G677" s="9" t="s">
        <v>1082</v>
      </c>
      <c r="H677" s="9" t="s">
        <v>1083</v>
      </c>
      <c r="I677" s="9" t="s">
        <v>65</v>
      </c>
      <c r="J677" s="10" t="s">
        <v>16</v>
      </c>
      <c r="K677" s="15" t="str">
        <f>VLOOKUP(J677,DADOS!$A$3:$B$101,2,FALSE)</f>
        <v>EE-GI-001-003</v>
      </c>
      <c r="L677" s="15" t="s">
        <v>303</v>
      </c>
      <c r="M677" s="18" t="b">
        <v>1</v>
      </c>
      <c r="N677" s="17" t="b">
        <v>1</v>
      </c>
      <c r="O677" s="17" t="b">
        <v>1</v>
      </c>
      <c r="P677" s="17" t="b">
        <v>1</v>
      </c>
      <c r="Q677" s="17" t="b">
        <v>0</v>
      </c>
      <c r="R677" s="17" t="b">
        <v>1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 t="s">
        <v>364</v>
      </c>
      <c r="X677" s="12" t="s">
        <v>14</v>
      </c>
      <c r="Y677" s="12" t="s">
        <v>14</v>
      </c>
      <c r="Z677" s="13" t="s">
        <v>261</v>
      </c>
    </row>
    <row r="678" spans="1:26" ht="19.95" customHeight="1" x14ac:dyDescent="0.3">
      <c r="A678" s="6">
        <v>45714</v>
      </c>
      <c r="B678" s="7" t="s">
        <v>254</v>
      </c>
      <c r="C678" s="8" t="s">
        <v>292</v>
      </c>
      <c r="D678" s="8" t="s">
        <v>1105</v>
      </c>
      <c r="E678" s="8" t="s">
        <v>1106</v>
      </c>
      <c r="F678" s="9" t="s">
        <v>635</v>
      </c>
      <c r="G678" s="9" t="s">
        <v>273</v>
      </c>
      <c r="H678" s="9" t="s">
        <v>1108</v>
      </c>
      <c r="I678" s="9" t="s">
        <v>65</v>
      </c>
      <c r="J678" s="10" t="s">
        <v>16</v>
      </c>
      <c r="K678" s="15" t="str">
        <f>VLOOKUP(J678,DADOS!$A$3:$B$101,2,FALSE)</f>
        <v>EE-GI-001-003</v>
      </c>
      <c r="L678" s="15" t="s">
        <v>260</v>
      </c>
      <c r="M678" s="18" t="b">
        <v>1</v>
      </c>
      <c r="N678" s="17" t="b">
        <v>1</v>
      </c>
      <c r="O678" s="17" t="b">
        <v>1</v>
      </c>
      <c r="P678" s="17" t="b">
        <v>1</v>
      </c>
      <c r="Q678" s="17" t="b">
        <v>0</v>
      </c>
      <c r="R678" s="17" t="b">
        <v>1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 t="s">
        <v>14</v>
      </c>
      <c r="X678" s="12" t="s">
        <v>1105</v>
      </c>
      <c r="Y678" s="12" t="s">
        <v>1113</v>
      </c>
      <c r="Z678" s="12" t="s">
        <v>261</v>
      </c>
    </row>
    <row r="679" spans="1:26" ht="19.95" customHeight="1" x14ac:dyDescent="0.3">
      <c r="A679" s="6">
        <v>45714</v>
      </c>
      <c r="B679" s="7" t="s">
        <v>254</v>
      </c>
      <c r="C679" s="8" t="s">
        <v>292</v>
      </c>
      <c r="D679" s="8" t="s">
        <v>466</v>
      </c>
      <c r="E679" s="8" t="s">
        <v>1106</v>
      </c>
      <c r="F679" s="9" t="s">
        <v>1107</v>
      </c>
      <c r="G679" s="9" t="s">
        <v>273</v>
      </c>
      <c r="H679" s="9" t="s">
        <v>1108</v>
      </c>
      <c r="I679" s="9" t="s">
        <v>65</v>
      </c>
      <c r="J679" s="10" t="s">
        <v>16</v>
      </c>
      <c r="K679" s="15" t="str">
        <f>VLOOKUP(J679,DADOS!$A$3:$B$101,2,FALSE)</f>
        <v>EE-GI-001-003</v>
      </c>
      <c r="L679" s="15" t="s">
        <v>260</v>
      </c>
      <c r="M679" s="18" t="b">
        <v>1</v>
      </c>
      <c r="N679" s="17" t="b">
        <v>1</v>
      </c>
      <c r="O679" s="17" t="b">
        <v>1</v>
      </c>
      <c r="P679" s="17" t="b">
        <v>1</v>
      </c>
      <c r="Q679" s="17" t="b">
        <v>0</v>
      </c>
      <c r="R679" s="17" t="b">
        <v>1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 t="s">
        <v>14</v>
      </c>
      <c r="X679" s="12" t="s">
        <v>466</v>
      </c>
      <c r="Y679" s="12" t="s">
        <v>1113</v>
      </c>
      <c r="Z679" s="12" t="s">
        <v>261</v>
      </c>
    </row>
    <row r="680" spans="1:26" ht="19.95" customHeight="1" x14ac:dyDescent="0.3">
      <c r="A680" s="6">
        <v>45714</v>
      </c>
      <c r="B680" s="7" t="s">
        <v>254</v>
      </c>
      <c r="C680" s="8" t="s">
        <v>1109</v>
      </c>
      <c r="D680" s="8" t="s">
        <v>287</v>
      </c>
      <c r="E680" s="8" t="s">
        <v>1110</v>
      </c>
      <c r="F680" s="9" t="s">
        <v>1111</v>
      </c>
      <c r="G680" s="9" t="s">
        <v>368</v>
      </c>
      <c r="H680" s="9" t="s">
        <v>1112</v>
      </c>
      <c r="I680" s="9" t="s">
        <v>65</v>
      </c>
      <c r="J680" s="10" t="s">
        <v>16</v>
      </c>
      <c r="K680" s="15" t="str">
        <f>VLOOKUP(J680,DADOS!$A$3:$B$101,2,FALSE)</f>
        <v>EE-GI-001-003</v>
      </c>
      <c r="L680" s="15" t="s">
        <v>260</v>
      </c>
      <c r="M680" s="18" t="b">
        <v>1</v>
      </c>
      <c r="N680" s="17" t="b">
        <v>1</v>
      </c>
      <c r="O680" s="17" t="b">
        <v>1</v>
      </c>
      <c r="P680" s="17" t="b">
        <v>1</v>
      </c>
      <c r="Q680" s="17" t="b">
        <v>0</v>
      </c>
      <c r="R680" s="17" t="b">
        <v>1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 t="s">
        <v>14</v>
      </c>
      <c r="X680" s="12" t="s">
        <v>287</v>
      </c>
      <c r="Y680" s="12" t="s">
        <v>1114</v>
      </c>
      <c r="Z680" s="12" t="s">
        <v>261</v>
      </c>
    </row>
    <row r="681" spans="1:26" ht="19.95" customHeight="1" x14ac:dyDescent="0.3">
      <c r="A681" s="6">
        <v>45714</v>
      </c>
      <c r="B681" s="7" t="s">
        <v>254</v>
      </c>
      <c r="C681" s="8" t="s">
        <v>1115</v>
      </c>
      <c r="D681" s="8" t="s">
        <v>281</v>
      </c>
      <c r="E681" s="8" t="s">
        <v>1110</v>
      </c>
      <c r="F681" s="9" t="s">
        <v>1116</v>
      </c>
      <c r="G681" s="9" t="s">
        <v>273</v>
      </c>
      <c r="H681" s="9" t="s">
        <v>1117</v>
      </c>
      <c r="I681" s="9" t="s">
        <v>65</v>
      </c>
      <c r="J681" s="10" t="s">
        <v>16</v>
      </c>
      <c r="K681" s="15" t="str">
        <f>VLOOKUP(J681,DADOS!$A$3:$B$101,2,FALSE)</f>
        <v>EE-GI-001-003</v>
      </c>
      <c r="L681" s="15" t="s">
        <v>260</v>
      </c>
      <c r="M681" s="18" t="b">
        <v>1</v>
      </c>
      <c r="N681" s="17" t="b">
        <v>1</v>
      </c>
      <c r="O681" s="17" t="b">
        <v>1</v>
      </c>
      <c r="P681" s="17" t="b">
        <v>1</v>
      </c>
      <c r="Q681" s="17" t="b">
        <v>0</v>
      </c>
      <c r="R681" s="17" t="b">
        <v>1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 t="s">
        <v>281</v>
      </c>
      <c r="X681" s="12" t="s">
        <v>14</v>
      </c>
      <c r="Y681" s="12" t="s">
        <v>14</v>
      </c>
      <c r="Z681" s="13" t="s">
        <v>261</v>
      </c>
    </row>
    <row r="682" spans="1:26" ht="19.95" customHeight="1" x14ac:dyDescent="0.3">
      <c r="A682" s="6">
        <v>45714</v>
      </c>
      <c r="B682" s="7" t="s">
        <v>254</v>
      </c>
      <c r="C682" s="8" t="s">
        <v>1118</v>
      </c>
      <c r="D682" s="8" t="s">
        <v>696</v>
      </c>
      <c r="E682" s="8" t="s">
        <v>1119</v>
      </c>
      <c r="F682" s="9" t="s">
        <v>1120</v>
      </c>
      <c r="G682" s="9" t="s">
        <v>643</v>
      </c>
      <c r="H682" s="9" t="s">
        <v>1121</v>
      </c>
      <c r="I682" s="9" t="s">
        <v>70</v>
      </c>
      <c r="J682" s="10" t="s">
        <v>15</v>
      </c>
      <c r="K682" s="15" t="str">
        <f>VLOOKUP(J682,DADOS!$A$3:$B$101,2,FALSE)</f>
        <v>EE-GI-001-002</v>
      </c>
      <c r="L682" s="15" t="s">
        <v>260</v>
      </c>
      <c r="M682" s="18" t="b">
        <v>1</v>
      </c>
      <c r="N682" s="17" t="b">
        <v>1</v>
      </c>
      <c r="O682" s="17" t="b">
        <v>1</v>
      </c>
      <c r="P682" s="17" t="b">
        <v>1</v>
      </c>
      <c r="Q682" s="17" t="b">
        <v>0</v>
      </c>
      <c r="R682" s="17" t="b">
        <v>1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 t="s">
        <v>696</v>
      </c>
      <c r="X682" s="12" t="s">
        <v>14</v>
      </c>
      <c r="Y682" s="12" t="s">
        <v>14</v>
      </c>
      <c r="Z682" s="13" t="s">
        <v>261</v>
      </c>
    </row>
    <row r="683" spans="1:26" ht="19.95" customHeight="1" x14ac:dyDescent="0.3">
      <c r="A683" s="6">
        <v>45714</v>
      </c>
      <c r="B683" s="7" t="s">
        <v>254</v>
      </c>
      <c r="C683" s="8" t="s">
        <v>267</v>
      </c>
      <c r="D683" s="8" t="s">
        <v>268</v>
      </c>
      <c r="E683" s="8" t="s">
        <v>1122</v>
      </c>
      <c r="F683" s="9" t="s">
        <v>1123</v>
      </c>
      <c r="G683" s="9" t="s">
        <v>273</v>
      </c>
      <c r="H683" s="9" t="s">
        <v>1124</v>
      </c>
      <c r="I683" s="9" t="s">
        <v>65</v>
      </c>
      <c r="J683" s="10" t="s">
        <v>16</v>
      </c>
      <c r="K683" s="15" t="str">
        <f>VLOOKUP(J683,DADOS!$A$3:$B$101,2,FALSE)</f>
        <v>EE-GI-001-003</v>
      </c>
      <c r="L683" s="15" t="s">
        <v>260</v>
      </c>
      <c r="M683" s="18" t="b">
        <v>1</v>
      </c>
      <c r="N683" s="17" t="b">
        <v>1</v>
      </c>
      <c r="O683" s="17" t="b">
        <v>1</v>
      </c>
      <c r="P683" s="17" t="b">
        <v>1</v>
      </c>
      <c r="Q683" s="17" t="b">
        <v>0</v>
      </c>
      <c r="R683" s="17" t="b">
        <v>1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 t="s">
        <v>14</v>
      </c>
      <c r="X683" s="12" t="s">
        <v>268</v>
      </c>
      <c r="Y683" s="12" t="s">
        <v>1125</v>
      </c>
      <c r="Z683" s="12" t="s">
        <v>261</v>
      </c>
    </row>
    <row r="684" spans="1:26" ht="19.95" customHeight="1" x14ac:dyDescent="0.3">
      <c r="A684" s="6">
        <v>45714</v>
      </c>
      <c r="B684" s="7" t="s">
        <v>578</v>
      </c>
      <c r="C684" s="8" t="s">
        <v>608</v>
      </c>
      <c r="D684" s="8" t="s">
        <v>1126</v>
      </c>
      <c r="E684" s="8" t="s">
        <v>1127</v>
      </c>
      <c r="F684" s="9" t="s">
        <v>610</v>
      </c>
      <c r="G684" s="9" t="s">
        <v>588</v>
      </c>
      <c r="H684" s="9" t="s">
        <v>1299</v>
      </c>
      <c r="I684" s="9" t="s">
        <v>66</v>
      </c>
      <c r="J684" s="10" t="s">
        <v>174</v>
      </c>
      <c r="K684" s="15" t="str">
        <f>VLOOKUP(J684,DADOS!$A$3:$B$101,2,FALSE)</f>
        <v>EE-GI-001-007</v>
      </c>
      <c r="L684" s="15" t="s">
        <v>260</v>
      </c>
      <c r="M684" s="18" t="b">
        <v>1</v>
      </c>
      <c r="N684" s="17" t="b">
        <v>1</v>
      </c>
      <c r="O684" s="17" t="b">
        <v>1</v>
      </c>
      <c r="P684" s="17" t="b">
        <v>1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1</v>
      </c>
      <c r="W684" s="11" t="s">
        <v>1126</v>
      </c>
      <c r="X684" s="12" t="s">
        <v>14</v>
      </c>
      <c r="Y684" s="12" t="s">
        <v>14</v>
      </c>
      <c r="Z684" s="13" t="s">
        <v>261</v>
      </c>
    </row>
    <row r="685" spans="1:26" ht="19.95" customHeight="1" x14ac:dyDescent="0.3">
      <c r="A685" s="6">
        <v>45714</v>
      </c>
      <c r="B685" s="7" t="s">
        <v>578</v>
      </c>
      <c r="C685" s="8" t="s">
        <v>1129</v>
      </c>
      <c r="D685" s="8" t="s">
        <v>1128</v>
      </c>
      <c r="E685" s="8" t="s">
        <v>1127</v>
      </c>
      <c r="F685" s="9" t="s">
        <v>1130</v>
      </c>
      <c r="G685" s="9" t="s">
        <v>1131</v>
      </c>
      <c r="H685" s="9" t="s">
        <v>1300</v>
      </c>
      <c r="I685" s="9" t="s">
        <v>66</v>
      </c>
      <c r="J685" s="10" t="s">
        <v>174</v>
      </c>
      <c r="K685" s="15" t="str">
        <f>VLOOKUP(J685,DADOS!$A$3:$B$101,2,FALSE)</f>
        <v>EE-GI-001-007</v>
      </c>
      <c r="L685" s="15" t="s">
        <v>260</v>
      </c>
      <c r="M685" s="18" t="b">
        <v>1</v>
      </c>
      <c r="N685" s="17" t="b">
        <v>1</v>
      </c>
      <c r="O685" s="17" t="b">
        <v>1</v>
      </c>
      <c r="P685" s="17" t="b">
        <v>1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1</v>
      </c>
      <c r="W685" s="11" t="s">
        <v>1128</v>
      </c>
      <c r="X685" s="12" t="s">
        <v>14</v>
      </c>
      <c r="Y685" s="12" t="s">
        <v>14</v>
      </c>
      <c r="Z685" s="13" t="s">
        <v>261</v>
      </c>
    </row>
    <row r="686" spans="1:26" ht="19.95" customHeight="1" x14ac:dyDescent="0.3">
      <c r="A686" s="6">
        <v>45714</v>
      </c>
      <c r="B686" s="7" t="s">
        <v>578</v>
      </c>
      <c r="C686" s="8" t="s">
        <v>618</v>
      </c>
      <c r="D686" s="8" t="s">
        <v>1132</v>
      </c>
      <c r="E686" s="8" t="s">
        <v>1127</v>
      </c>
      <c r="F686" s="9" t="s">
        <v>620</v>
      </c>
      <c r="G686" s="9" t="s">
        <v>621</v>
      </c>
      <c r="H686" s="9" t="s">
        <v>1301</v>
      </c>
      <c r="I686" s="9" t="s">
        <v>66</v>
      </c>
      <c r="J686" s="10" t="s">
        <v>186</v>
      </c>
      <c r="K686" s="15" t="str">
        <f>VLOOKUP(J686,DADOS!$A$3:$B$101,2,FALSE)</f>
        <v>EE-GI-001-008</v>
      </c>
      <c r="L686" s="15" t="s">
        <v>260</v>
      </c>
      <c r="M686" s="18" t="b">
        <v>1</v>
      </c>
      <c r="N686" s="17" t="b">
        <v>1</v>
      </c>
      <c r="O686" s="17" t="b">
        <v>1</v>
      </c>
      <c r="P686" s="17" t="b">
        <v>1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1</v>
      </c>
      <c r="W686" s="11" t="s">
        <v>1132</v>
      </c>
      <c r="X686" s="12" t="s">
        <v>14</v>
      </c>
      <c r="Y686" s="12" t="s">
        <v>14</v>
      </c>
      <c r="Z686" s="13" t="s">
        <v>261</v>
      </c>
    </row>
    <row r="687" spans="1:26" ht="19.95" customHeight="1" x14ac:dyDescent="0.3">
      <c r="A687" s="6">
        <v>45714</v>
      </c>
      <c r="B687" s="7" t="s">
        <v>345</v>
      </c>
      <c r="C687" s="8" t="s">
        <v>1133</v>
      </c>
      <c r="D687" s="8" t="s">
        <v>1134</v>
      </c>
      <c r="E687" s="8" t="s">
        <v>1135</v>
      </c>
      <c r="F687" s="9" t="s">
        <v>1136</v>
      </c>
      <c r="G687" s="9" t="s">
        <v>1137</v>
      </c>
      <c r="H687" s="9" t="s">
        <v>1138</v>
      </c>
      <c r="I687" s="9" t="s">
        <v>66</v>
      </c>
      <c r="J687" s="10" t="s">
        <v>186</v>
      </c>
      <c r="K687" s="15" t="str">
        <f>VLOOKUP(J687,DADOS!$A$3:$B$101,2,FALSE)</f>
        <v>EE-GI-001-008</v>
      </c>
      <c r="L687" s="15" t="s">
        <v>303</v>
      </c>
      <c r="M687" s="18" t="b">
        <v>1</v>
      </c>
      <c r="N687" s="17" t="b">
        <v>1</v>
      </c>
      <c r="O687" s="17" t="b">
        <v>1</v>
      </c>
      <c r="P687" s="17" t="b">
        <v>1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1</v>
      </c>
      <c r="W687" s="11" t="s">
        <v>1139</v>
      </c>
      <c r="X687" s="12" t="s">
        <v>269</v>
      </c>
      <c r="Y687" s="12" t="s">
        <v>1140</v>
      </c>
      <c r="Z687" s="12" t="s">
        <v>261</v>
      </c>
    </row>
    <row r="688" spans="1:26" ht="19.95" customHeight="1" x14ac:dyDescent="0.3">
      <c r="A688" s="6">
        <v>45714</v>
      </c>
      <c r="B688" s="7" t="s">
        <v>2710</v>
      </c>
      <c r="C688" s="8" t="s">
        <v>1197</v>
      </c>
      <c r="D688" s="8" t="s">
        <v>269</v>
      </c>
      <c r="E688" s="8" t="s">
        <v>1198</v>
      </c>
      <c r="F688" s="9" t="s">
        <v>1199</v>
      </c>
      <c r="G688" s="9" t="s">
        <v>1200</v>
      </c>
      <c r="H688" s="9" t="s">
        <v>1550</v>
      </c>
      <c r="I688" s="9" t="s">
        <v>97</v>
      </c>
      <c r="J688" s="10" t="s">
        <v>173</v>
      </c>
      <c r="K688" s="15" t="str">
        <f>VLOOKUP(J688,DADOS!$A$3:$B$101,2,FALSE)</f>
        <v>EE-GI-001-006</v>
      </c>
      <c r="L688" s="15" t="s">
        <v>303</v>
      </c>
      <c r="M688" s="18" t="b">
        <v>1</v>
      </c>
      <c r="N688" s="17" t="b">
        <v>1</v>
      </c>
      <c r="O688" s="17" t="b">
        <v>1</v>
      </c>
      <c r="P688" s="17" t="b">
        <v>1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1</v>
      </c>
      <c r="W688" s="11" t="s">
        <v>269</v>
      </c>
      <c r="X688" s="12" t="s">
        <v>14</v>
      </c>
      <c r="Y688" s="12" t="s">
        <v>14</v>
      </c>
      <c r="Z688" s="13" t="s">
        <v>261</v>
      </c>
    </row>
    <row r="689" spans="1:26" ht="19.95" customHeight="1" x14ac:dyDescent="0.3">
      <c r="A689" s="6">
        <v>45714</v>
      </c>
      <c r="B689" s="7" t="s">
        <v>2710</v>
      </c>
      <c r="C689" s="8" t="s">
        <v>1201</v>
      </c>
      <c r="D689" s="8" t="s">
        <v>373</v>
      </c>
      <c r="E689" s="8" t="s">
        <v>1202</v>
      </c>
      <c r="F689" s="9" t="s">
        <v>1203</v>
      </c>
      <c r="G689" s="9" t="s">
        <v>1204</v>
      </c>
      <c r="H689" s="9" t="s">
        <v>1551</v>
      </c>
      <c r="I689" s="9" t="s">
        <v>70</v>
      </c>
      <c r="J689" s="10" t="s">
        <v>173</v>
      </c>
      <c r="K689" s="15" t="str">
        <f>VLOOKUP(J689,DADOS!$A$3:$B$101,2,FALSE)</f>
        <v>EE-GI-001-006</v>
      </c>
      <c r="L689" s="15" t="s">
        <v>303</v>
      </c>
      <c r="M689" s="18" t="b">
        <v>1</v>
      </c>
      <c r="N689" s="17" t="b">
        <v>1</v>
      </c>
      <c r="O689" s="17" t="b">
        <v>1</v>
      </c>
      <c r="P689" s="17" t="b">
        <v>1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1</v>
      </c>
      <c r="W689" s="11" t="s">
        <v>373</v>
      </c>
      <c r="X689" s="12" t="s">
        <v>14</v>
      </c>
      <c r="Y689" s="12" t="s">
        <v>14</v>
      </c>
      <c r="Z689" s="13" t="s">
        <v>261</v>
      </c>
    </row>
    <row r="690" spans="1:26" ht="19.95" customHeight="1" x14ac:dyDescent="0.3">
      <c r="A690" s="6">
        <v>45714</v>
      </c>
      <c r="B690" s="7" t="s">
        <v>1087</v>
      </c>
      <c r="C690" s="8" t="s">
        <v>1256</v>
      </c>
      <c r="D690" s="8" t="s">
        <v>1257</v>
      </c>
      <c r="E690" s="8" t="s">
        <v>1258</v>
      </c>
      <c r="F690" s="9" t="s">
        <v>1091</v>
      </c>
      <c r="G690" s="9" t="s">
        <v>1259</v>
      </c>
      <c r="H690" s="9" t="s">
        <v>1260</v>
      </c>
      <c r="I690" s="9" t="s">
        <v>66</v>
      </c>
      <c r="J690" s="10" t="s">
        <v>19</v>
      </c>
      <c r="K690" s="15" t="str">
        <f>VLOOKUP(J690,DADOS!$A$3:$B$101,2,FALSE)</f>
        <v>EE-GI-221-033</v>
      </c>
      <c r="L690" s="15" t="s">
        <v>754</v>
      </c>
      <c r="M690" s="18" t="b">
        <v>1</v>
      </c>
      <c r="N690" s="17" t="b">
        <v>1</v>
      </c>
      <c r="O690" s="17" t="b">
        <v>1</v>
      </c>
      <c r="P690" s="17" t="b">
        <v>1</v>
      </c>
      <c r="Q690" s="17" t="b">
        <v>1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 t="s">
        <v>1257</v>
      </c>
      <c r="X690" s="12" t="s">
        <v>14</v>
      </c>
      <c r="Y690" s="12" t="s">
        <v>14</v>
      </c>
      <c r="Z690" s="13" t="s">
        <v>261</v>
      </c>
    </row>
    <row r="691" spans="1:26" ht="19.95" customHeight="1" x14ac:dyDescent="0.3">
      <c r="A691" s="6">
        <v>45714</v>
      </c>
      <c r="B691" s="7" t="s">
        <v>1568</v>
      </c>
      <c r="C691" s="8" t="s">
        <v>2110</v>
      </c>
      <c r="D691" s="8" t="s">
        <v>281</v>
      </c>
      <c r="E691" s="8" t="s">
        <v>2111</v>
      </c>
      <c r="F691" s="9" t="s">
        <v>2112</v>
      </c>
      <c r="G691" s="9" t="s">
        <v>2113</v>
      </c>
      <c r="H691" s="9" t="s">
        <v>2114</v>
      </c>
      <c r="I691" s="9" t="s">
        <v>69</v>
      </c>
      <c r="J691" s="10" t="s">
        <v>185</v>
      </c>
      <c r="K691" s="15" t="str">
        <f>VLOOKUP(J691,DADOS!$A$3:$B$101,2,FALSE)</f>
        <v>EE-GI-001-031</v>
      </c>
      <c r="L691" s="15" t="s">
        <v>260</v>
      </c>
      <c r="M691" s="18" t="b">
        <v>1</v>
      </c>
      <c r="N691" s="17" t="b">
        <v>1</v>
      </c>
      <c r="O691" s="17" t="b">
        <v>1</v>
      </c>
      <c r="P691" s="17" t="b">
        <v>1</v>
      </c>
      <c r="Q691" s="17" t="b">
        <v>0</v>
      </c>
      <c r="R691" s="17" t="b">
        <v>1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 t="s">
        <v>281</v>
      </c>
      <c r="X691" s="12" t="s">
        <v>14</v>
      </c>
      <c r="Y691" s="12" t="s">
        <v>14</v>
      </c>
      <c r="Z691" s="13" t="s">
        <v>355</v>
      </c>
    </row>
    <row r="692" spans="1:26" ht="19.95" customHeight="1" x14ac:dyDescent="0.3">
      <c r="A692" s="6">
        <v>45714</v>
      </c>
      <c r="B692" s="7" t="s">
        <v>1568</v>
      </c>
      <c r="C692" s="8" t="s">
        <v>2110</v>
      </c>
      <c r="D692" s="8" t="s">
        <v>281</v>
      </c>
      <c r="E692" s="8" t="s">
        <v>2111</v>
      </c>
      <c r="F692" s="9" t="s">
        <v>2115</v>
      </c>
      <c r="G692" s="9" t="s">
        <v>2116</v>
      </c>
      <c r="H692" s="9" t="s">
        <v>2114</v>
      </c>
      <c r="I692" s="9" t="s">
        <v>69</v>
      </c>
      <c r="J692" s="10" t="s">
        <v>185</v>
      </c>
      <c r="K692" s="15" t="str">
        <f>VLOOKUP(J692,DADOS!$A$3:$B$101,2,FALSE)</f>
        <v>EE-GI-001-031</v>
      </c>
      <c r="L692" s="15" t="s">
        <v>260</v>
      </c>
      <c r="M692" s="18" t="b">
        <v>1</v>
      </c>
      <c r="N692" s="17" t="b">
        <v>1</v>
      </c>
      <c r="O692" s="17" t="b">
        <v>1</v>
      </c>
      <c r="P692" s="17" t="b">
        <v>1</v>
      </c>
      <c r="Q692" s="17" t="b">
        <v>0</v>
      </c>
      <c r="R692" s="17" t="b">
        <v>1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 t="s">
        <v>281</v>
      </c>
      <c r="X692" s="12" t="s">
        <v>14</v>
      </c>
      <c r="Y692" s="12" t="s">
        <v>14</v>
      </c>
      <c r="Z692" s="13" t="s">
        <v>355</v>
      </c>
    </row>
    <row r="693" spans="1:26" ht="19.95" customHeight="1" x14ac:dyDescent="0.3">
      <c r="A693" s="6">
        <v>45714</v>
      </c>
      <c r="B693" s="7" t="s">
        <v>1568</v>
      </c>
      <c r="C693" s="8" t="s">
        <v>2117</v>
      </c>
      <c r="D693" s="8" t="s">
        <v>281</v>
      </c>
      <c r="E693" s="8" t="s">
        <v>2111</v>
      </c>
      <c r="F693" s="9" t="s">
        <v>2118</v>
      </c>
      <c r="G693" s="9" t="s">
        <v>2119</v>
      </c>
      <c r="H693" s="9" t="s">
        <v>2120</v>
      </c>
      <c r="I693" s="9" t="s">
        <v>69</v>
      </c>
      <c r="J693" s="10" t="s">
        <v>185</v>
      </c>
      <c r="K693" s="15" t="str">
        <f>VLOOKUP(J693,DADOS!$A$3:$B$101,2,FALSE)</f>
        <v>EE-GI-001-031</v>
      </c>
      <c r="L693" s="15" t="s">
        <v>1955</v>
      </c>
      <c r="M693" s="18" t="b">
        <v>1</v>
      </c>
      <c r="N693" s="17" t="b">
        <v>1</v>
      </c>
      <c r="O693" s="17" t="b">
        <v>1</v>
      </c>
      <c r="P693" s="17" t="b">
        <v>1</v>
      </c>
      <c r="Q693" s="17" t="b">
        <v>0</v>
      </c>
      <c r="R693" s="17" t="b">
        <v>1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 t="s">
        <v>281</v>
      </c>
      <c r="X693" s="12" t="s">
        <v>14</v>
      </c>
      <c r="Y693" s="12" t="s">
        <v>14</v>
      </c>
      <c r="Z693" s="13" t="s">
        <v>355</v>
      </c>
    </row>
    <row r="694" spans="1:26" ht="19.95" customHeight="1" x14ac:dyDescent="0.3">
      <c r="A694" s="6">
        <v>45713</v>
      </c>
      <c r="B694" s="7" t="s">
        <v>339</v>
      </c>
      <c r="C694" s="8" t="s">
        <v>2423</v>
      </c>
      <c r="D694" s="8" t="s">
        <v>1101</v>
      </c>
      <c r="E694" s="8" t="s">
        <v>1602</v>
      </c>
      <c r="F694" s="9" t="s">
        <v>2424</v>
      </c>
      <c r="G694" s="9" t="s">
        <v>2425</v>
      </c>
      <c r="H694" s="9" t="s">
        <v>14</v>
      </c>
      <c r="I694" s="9" t="s">
        <v>66</v>
      </c>
      <c r="J694" s="10" t="s">
        <v>186</v>
      </c>
      <c r="K694" s="15" t="str">
        <f>VLOOKUP(J694,DADOS!$A$3:$B$101,2,FALSE)</f>
        <v>EE-GI-001-008</v>
      </c>
      <c r="L694" s="15" t="s">
        <v>260</v>
      </c>
      <c r="M694" s="18" t="b">
        <v>1</v>
      </c>
      <c r="N694" s="17" t="b">
        <v>1</v>
      </c>
      <c r="O694" s="17" t="b">
        <v>1</v>
      </c>
      <c r="P694" s="17" t="b">
        <v>1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1</v>
      </c>
      <c r="W694" s="11" t="s">
        <v>1101</v>
      </c>
      <c r="X694" s="12" t="s">
        <v>14</v>
      </c>
      <c r="Y694" s="12" t="s">
        <v>14</v>
      </c>
      <c r="Z694" s="13" t="s">
        <v>355</v>
      </c>
    </row>
    <row r="695" spans="1:26" ht="19.95" customHeight="1" x14ac:dyDescent="0.3">
      <c r="A695" s="6">
        <v>45712</v>
      </c>
      <c r="B695" s="7" t="s">
        <v>930</v>
      </c>
      <c r="C695" s="8" t="s">
        <v>2449</v>
      </c>
      <c r="D695" s="8" t="s">
        <v>1714</v>
      </c>
      <c r="E695" s="8" t="s">
        <v>2450</v>
      </c>
      <c r="F695" s="9" t="s">
        <v>2451</v>
      </c>
      <c r="G695" s="9" t="s">
        <v>2452</v>
      </c>
      <c r="H695" s="9" t="s">
        <v>2453</v>
      </c>
      <c r="I695" s="9" t="s">
        <v>65</v>
      </c>
      <c r="J695" s="10" t="s">
        <v>174</v>
      </c>
      <c r="K695" s="15" t="str">
        <f>VLOOKUP(J695,DADOS!$A$3:$B$101,2,FALSE)</f>
        <v>EE-GI-001-007</v>
      </c>
      <c r="L695" s="15" t="s">
        <v>260</v>
      </c>
      <c r="M695" s="18" t="b">
        <v>1</v>
      </c>
      <c r="N695" s="17" t="b">
        <v>1</v>
      </c>
      <c r="O695" s="17" t="b">
        <v>1</v>
      </c>
      <c r="P695" s="17" t="b">
        <v>1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1</v>
      </c>
      <c r="W695" s="11" t="s">
        <v>1714</v>
      </c>
      <c r="X695" s="12" t="s">
        <v>14</v>
      </c>
      <c r="Y695" s="12" t="s">
        <v>14</v>
      </c>
      <c r="Z695" s="13" t="s">
        <v>261</v>
      </c>
    </row>
    <row r="696" spans="1:26" ht="19.95" customHeight="1" x14ac:dyDescent="0.3">
      <c r="A696" s="6">
        <v>45711</v>
      </c>
      <c r="B696" s="7" t="s">
        <v>930</v>
      </c>
      <c r="C696" s="8" t="s">
        <v>2454</v>
      </c>
      <c r="D696" s="8" t="s">
        <v>466</v>
      </c>
      <c r="E696" s="8" t="s">
        <v>2450</v>
      </c>
      <c r="F696" s="9" t="s">
        <v>2455</v>
      </c>
      <c r="G696" s="9" t="s">
        <v>2456</v>
      </c>
      <c r="H696" s="9" t="s">
        <v>2453</v>
      </c>
      <c r="I696" s="9" t="s">
        <v>65</v>
      </c>
      <c r="J696" s="10" t="s">
        <v>174</v>
      </c>
      <c r="K696" s="15" t="str">
        <f>VLOOKUP(J696,DADOS!$A$3:$B$101,2,FALSE)</f>
        <v>EE-GI-001-007</v>
      </c>
      <c r="L696" s="15" t="s">
        <v>1955</v>
      </c>
      <c r="M696" s="18" t="b">
        <v>1</v>
      </c>
      <c r="N696" s="17" t="b">
        <v>1</v>
      </c>
      <c r="O696" s="17" t="b">
        <v>1</v>
      </c>
      <c r="P696" s="17" t="b">
        <v>1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1</v>
      </c>
      <c r="W696" s="11" t="s">
        <v>466</v>
      </c>
      <c r="X696" s="12" t="s">
        <v>14</v>
      </c>
      <c r="Y696" s="12" t="s">
        <v>14</v>
      </c>
      <c r="Z696" s="13" t="s">
        <v>261</v>
      </c>
    </row>
    <row r="697" spans="1:26" ht="19.95" customHeight="1" x14ac:dyDescent="0.3">
      <c r="A697" s="6">
        <v>45715</v>
      </c>
      <c r="B697" s="7" t="s">
        <v>377</v>
      </c>
      <c r="C697" s="8" t="s">
        <v>1141</v>
      </c>
      <c r="D697" s="8" t="s">
        <v>434</v>
      </c>
      <c r="E697" s="8" t="s">
        <v>1142</v>
      </c>
      <c r="F697" s="9" t="s">
        <v>1143</v>
      </c>
      <c r="G697" s="9" t="s">
        <v>773</v>
      </c>
      <c r="H697" s="9" t="s">
        <v>1146</v>
      </c>
      <c r="I697" s="9" t="s">
        <v>96</v>
      </c>
      <c r="J697" s="10" t="s">
        <v>15</v>
      </c>
      <c r="K697" s="15" t="str">
        <f>VLOOKUP(J697,DADOS!$A$3:$B$101,2,FALSE)</f>
        <v>EE-GI-001-002</v>
      </c>
      <c r="L697" s="15" t="s">
        <v>354</v>
      </c>
      <c r="M697" s="18" t="b">
        <v>1</v>
      </c>
      <c r="N697" s="17" t="b">
        <v>1</v>
      </c>
      <c r="O697" s="17" t="b">
        <v>1</v>
      </c>
      <c r="P697" s="17" t="b">
        <v>1</v>
      </c>
      <c r="Q697" s="17" t="b">
        <v>0</v>
      </c>
      <c r="R697" s="17" t="b">
        <v>0</v>
      </c>
      <c r="S697" s="17" t="b">
        <v>0</v>
      </c>
      <c r="T697" s="17" t="b">
        <v>1</v>
      </c>
      <c r="U697" s="17" t="b">
        <v>1</v>
      </c>
      <c r="V697" s="17" t="b">
        <v>1</v>
      </c>
      <c r="W697" s="11" t="s">
        <v>14</v>
      </c>
      <c r="X697" s="12" t="s">
        <v>434</v>
      </c>
      <c r="Y697" s="12" t="s">
        <v>1147</v>
      </c>
      <c r="Z697" s="12" t="s">
        <v>355</v>
      </c>
    </row>
    <row r="698" spans="1:26" ht="19.95" customHeight="1" x14ac:dyDescent="0.3">
      <c r="A698" s="6">
        <v>45715</v>
      </c>
      <c r="B698" s="7" t="s">
        <v>377</v>
      </c>
      <c r="C698" s="8" t="s">
        <v>1148</v>
      </c>
      <c r="D698" s="8" t="s">
        <v>434</v>
      </c>
      <c r="E698" s="8" t="s">
        <v>1142</v>
      </c>
      <c r="F698" s="9" t="s">
        <v>1145</v>
      </c>
      <c r="G698" s="9" t="s">
        <v>367</v>
      </c>
      <c r="H698" s="9" t="s">
        <v>1149</v>
      </c>
      <c r="I698" s="9" t="s">
        <v>96</v>
      </c>
      <c r="J698" s="10" t="s">
        <v>173</v>
      </c>
      <c r="K698" s="15" t="str">
        <f>VLOOKUP(J698,DADOS!$A$3:$B$101,2,FALSE)</f>
        <v>EE-GI-001-006</v>
      </c>
      <c r="L698" s="15" t="s">
        <v>354</v>
      </c>
      <c r="M698" s="18" t="b">
        <v>1</v>
      </c>
      <c r="N698" s="17" t="b">
        <v>1</v>
      </c>
      <c r="O698" s="17" t="b">
        <v>1</v>
      </c>
      <c r="P698" s="17" t="b">
        <v>1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1</v>
      </c>
      <c r="W698" s="11" t="s">
        <v>14</v>
      </c>
      <c r="X698" s="12" t="s">
        <v>434</v>
      </c>
      <c r="Y698" s="12" t="s">
        <v>1150</v>
      </c>
      <c r="Z698" s="12" t="s">
        <v>1151</v>
      </c>
    </row>
    <row r="699" spans="1:26" ht="19.95" customHeight="1" x14ac:dyDescent="0.3">
      <c r="A699" s="6">
        <v>45715</v>
      </c>
      <c r="B699" s="7" t="s">
        <v>377</v>
      </c>
      <c r="C699" s="8" t="s">
        <v>1152</v>
      </c>
      <c r="D699" s="8" t="s">
        <v>434</v>
      </c>
      <c r="E699" s="8" t="s">
        <v>1142</v>
      </c>
      <c r="F699" s="8" t="s">
        <v>1144</v>
      </c>
      <c r="G699" s="9" t="s">
        <v>746</v>
      </c>
      <c r="H699" s="9" t="s">
        <v>1153</v>
      </c>
      <c r="I699" s="9" t="s">
        <v>96</v>
      </c>
      <c r="J699" s="10" t="s">
        <v>15</v>
      </c>
      <c r="K699" s="15" t="str">
        <f>VLOOKUP(J699,DADOS!$A$3:$B$101,2,FALSE)</f>
        <v>EE-GI-001-002</v>
      </c>
      <c r="L699" s="15" t="s">
        <v>354</v>
      </c>
      <c r="M699" s="18" t="b">
        <v>1</v>
      </c>
      <c r="N699" s="17" t="b">
        <v>1</v>
      </c>
      <c r="O699" s="17" t="b">
        <v>1</v>
      </c>
      <c r="P699" s="17" t="b">
        <v>1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1</v>
      </c>
      <c r="W699" s="11" t="s">
        <v>14</v>
      </c>
      <c r="X699" s="12" t="s">
        <v>434</v>
      </c>
      <c r="Y699" s="12" t="s">
        <v>1154</v>
      </c>
      <c r="Z699" s="12" t="s">
        <v>355</v>
      </c>
    </row>
    <row r="700" spans="1:26" ht="19.95" customHeight="1" x14ac:dyDescent="0.3">
      <c r="A700" s="6">
        <v>45715</v>
      </c>
      <c r="B700" s="7" t="s">
        <v>377</v>
      </c>
      <c r="C700" s="8" t="s">
        <v>2480</v>
      </c>
      <c r="D700" s="8" t="s">
        <v>287</v>
      </c>
      <c r="E700" s="8" t="s">
        <v>2481</v>
      </c>
      <c r="F700" s="8" t="s">
        <v>2482</v>
      </c>
      <c r="G700" s="9" t="s">
        <v>2483</v>
      </c>
      <c r="H700" s="9" t="s">
        <v>2484</v>
      </c>
      <c r="I700" s="9" t="s">
        <v>74</v>
      </c>
      <c r="J700" s="10" t="s">
        <v>16</v>
      </c>
      <c r="K700" s="15" t="str">
        <f>VLOOKUP(J700,DADOS!$A$3:$B$101,2,FALSE)</f>
        <v>EE-GI-001-003</v>
      </c>
      <c r="L700" s="15" t="s">
        <v>2485</v>
      </c>
      <c r="M700" s="18" t="b">
        <v>1</v>
      </c>
      <c r="N700" s="17" t="b">
        <v>1</v>
      </c>
      <c r="O700" s="17" t="b">
        <v>1</v>
      </c>
      <c r="P700" s="17" t="b">
        <v>1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1</v>
      </c>
      <c r="W700" s="11" t="s">
        <v>287</v>
      </c>
      <c r="X700" s="12" t="s">
        <v>14</v>
      </c>
      <c r="Y700" s="12" t="s">
        <v>14</v>
      </c>
      <c r="Z700" s="13" t="s">
        <v>355</v>
      </c>
    </row>
    <row r="701" spans="1:26" ht="19.95" customHeight="1" x14ac:dyDescent="0.3">
      <c r="A701" s="6">
        <v>45715</v>
      </c>
      <c r="B701" s="7" t="s">
        <v>377</v>
      </c>
      <c r="C701" s="8" t="s">
        <v>2486</v>
      </c>
      <c r="D701" s="8" t="s">
        <v>364</v>
      </c>
      <c r="E701" s="8" t="s">
        <v>2487</v>
      </c>
      <c r="F701" s="8" t="s">
        <v>2488</v>
      </c>
      <c r="G701" s="9" t="s">
        <v>2489</v>
      </c>
      <c r="H701" s="9" t="s">
        <v>2490</v>
      </c>
      <c r="I701" s="9" t="s">
        <v>74</v>
      </c>
      <c r="J701" s="10" t="s">
        <v>15</v>
      </c>
      <c r="K701" s="15" t="str">
        <f>VLOOKUP(J701,DADOS!$A$3:$B$101,2,FALSE)</f>
        <v>EE-GI-001-002</v>
      </c>
      <c r="L701" s="15" t="s">
        <v>2485</v>
      </c>
      <c r="M701" s="18" t="b">
        <v>1</v>
      </c>
      <c r="N701" s="17" t="b">
        <v>1</v>
      </c>
      <c r="O701" s="17" t="b">
        <v>1</v>
      </c>
      <c r="P701" s="17" t="b">
        <v>1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1</v>
      </c>
      <c r="W701" s="11" t="s">
        <v>364</v>
      </c>
      <c r="X701" s="12" t="s">
        <v>14</v>
      </c>
      <c r="Y701" s="12" t="s">
        <v>14</v>
      </c>
      <c r="Z701" s="13" t="s">
        <v>355</v>
      </c>
    </row>
    <row r="702" spans="1:26" ht="19.95" customHeight="1" x14ac:dyDescent="0.3">
      <c r="A702" s="6">
        <v>45715</v>
      </c>
      <c r="B702" s="7" t="s">
        <v>377</v>
      </c>
      <c r="C702" s="8" t="s">
        <v>2491</v>
      </c>
      <c r="D702" s="8" t="s">
        <v>364</v>
      </c>
      <c r="E702" s="8" t="s">
        <v>2487</v>
      </c>
      <c r="F702" s="8" t="s">
        <v>2492</v>
      </c>
      <c r="G702" s="9" t="s">
        <v>2493</v>
      </c>
      <c r="H702" s="9" t="s">
        <v>2494</v>
      </c>
      <c r="I702" s="9" t="s">
        <v>74</v>
      </c>
      <c r="J702" s="10" t="s">
        <v>186</v>
      </c>
      <c r="K702" s="15" t="str">
        <f>VLOOKUP(J702,DADOS!$A$3:$B$101,2,FALSE)</f>
        <v>EE-GI-001-008</v>
      </c>
      <c r="L702" s="15" t="s">
        <v>2485</v>
      </c>
      <c r="M702" s="18" t="b">
        <v>1</v>
      </c>
      <c r="N702" s="17" t="b">
        <v>1</v>
      </c>
      <c r="O702" s="17" t="b">
        <v>1</v>
      </c>
      <c r="P702" s="17" t="b">
        <v>1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1</v>
      </c>
      <c r="W702" s="11" t="s">
        <v>364</v>
      </c>
      <c r="X702" s="12" t="s">
        <v>14</v>
      </c>
      <c r="Y702" s="12" t="s">
        <v>14</v>
      </c>
      <c r="Z702" s="13" t="s">
        <v>355</v>
      </c>
    </row>
    <row r="703" spans="1:26" ht="19.95" customHeight="1" x14ac:dyDescent="0.3">
      <c r="A703" s="6">
        <v>45715</v>
      </c>
      <c r="B703" s="7" t="s">
        <v>578</v>
      </c>
      <c r="C703" s="8" t="s">
        <v>1280</v>
      </c>
      <c r="D703" s="8" t="s">
        <v>281</v>
      </c>
      <c r="E703" s="8" t="s">
        <v>1180</v>
      </c>
      <c r="F703" s="8" t="s">
        <v>1281</v>
      </c>
      <c r="G703" s="9" t="s">
        <v>1233</v>
      </c>
      <c r="H703" s="9" t="s">
        <v>1282</v>
      </c>
      <c r="I703" s="9" t="s">
        <v>69</v>
      </c>
      <c r="J703" s="10" t="s">
        <v>17</v>
      </c>
      <c r="K703" s="15" t="str">
        <f>VLOOKUP(J703,DADOS!$A$3:$B$101,2,FALSE)</f>
        <v>EE-GI-001-001</v>
      </c>
      <c r="L703" s="15" t="s">
        <v>303</v>
      </c>
      <c r="M703" s="18" t="b">
        <v>1</v>
      </c>
      <c r="N703" s="17" t="b">
        <v>1</v>
      </c>
      <c r="O703" s="17" t="b">
        <v>1</v>
      </c>
      <c r="P703" s="17" t="b">
        <v>1</v>
      </c>
      <c r="Q703" s="17" t="b">
        <v>0</v>
      </c>
      <c r="R703" s="17" t="b">
        <v>0</v>
      </c>
      <c r="S703" s="17" t="b">
        <v>0</v>
      </c>
      <c r="T703" s="17" t="b">
        <v>1</v>
      </c>
      <c r="U703" s="17" t="b">
        <v>1</v>
      </c>
      <c r="V703" s="17" t="b">
        <v>1</v>
      </c>
      <c r="W703" s="11" t="s">
        <v>281</v>
      </c>
      <c r="X703" s="12" t="s">
        <v>14</v>
      </c>
      <c r="Y703" s="12" t="s">
        <v>14</v>
      </c>
      <c r="Z703" s="13" t="s">
        <v>261</v>
      </c>
    </row>
    <row r="704" spans="1:26" ht="19.95" customHeight="1" x14ac:dyDescent="0.3">
      <c r="A704" s="6">
        <v>45715</v>
      </c>
      <c r="B704" s="7" t="s">
        <v>578</v>
      </c>
      <c r="C704" s="8" t="s">
        <v>1283</v>
      </c>
      <c r="D704" s="8" t="s">
        <v>373</v>
      </c>
      <c r="E704" s="8" t="s">
        <v>1180</v>
      </c>
      <c r="F704" s="8" t="s">
        <v>1284</v>
      </c>
      <c r="G704" s="9" t="s">
        <v>1285</v>
      </c>
      <c r="H704" s="9" t="s">
        <v>1286</v>
      </c>
      <c r="I704" s="9" t="s">
        <v>68</v>
      </c>
      <c r="J704" s="10" t="s">
        <v>174</v>
      </c>
      <c r="K704" s="15" t="str">
        <f>VLOOKUP(J704,DADOS!$A$3:$B$101,2,FALSE)</f>
        <v>EE-GI-001-007</v>
      </c>
      <c r="L704" s="15" t="s">
        <v>260</v>
      </c>
      <c r="M704" s="18" t="b">
        <v>1</v>
      </c>
      <c r="N704" s="17" t="b">
        <v>1</v>
      </c>
      <c r="O704" s="17" t="b">
        <v>1</v>
      </c>
      <c r="P704" s="17" t="b">
        <v>1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1</v>
      </c>
      <c r="W704" s="11" t="s">
        <v>14</v>
      </c>
      <c r="X704" s="12" t="s">
        <v>373</v>
      </c>
      <c r="Y704" s="12" t="s">
        <v>1287</v>
      </c>
      <c r="Z704" s="12" t="s">
        <v>261</v>
      </c>
    </row>
    <row r="705" spans="1:26" ht="19.95" customHeight="1" x14ac:dyDescent="0.3">
      <c r="A705" s="6">
        <v>45715</v>
      </c>
      <c r="B705" s="7" t="s">
        <v>578</v>
      </c>
      <c r="C705" s="8" t="s">
        <v>608</v>
      </c>
      <c r="D705" s="8" t="s">
        <v>1292</v>
      </c>
      <c r="E705" s="8" t="s">
        <v>1180</v>
      </c>
      <c r="F705" s="8" t="s">
        <v>610</v>
      </c>
      <c r="G705" s="9" t="s">
        <v>588</v>
      </c>
      <c r="H705" s="9" t="s">
        <v>1293</v>
      </c>
      <c r="I705" s="9" t="s">
        <v>66</v>
      </c>
      <c r="J705" s="10" t="s">
        <v>174</v>
      </c>
      <c r="K705" s="15" t="str">
        <f>VLOOKUP(J705,DADOS!$A$3:$B$101,2,FALSE)</f>
        <v>EE-GI-001-007</v>
      </c>
      <c r="L705" s="15" t="s">
        <v>260</v>
      </c>
      <c r="M705" s="18" t="b">
        <v>1</v>
      </c>
      <c r="N705" s="17" t="b">
        <v>1</v>
      </c>
      <c r="O705" s="17" t="b">
        <v>1</v>
      </c>
      <c r="P705" s="17" t="b">
        <v>1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1</v>
      </c>
      <c r="W705" s="11" t="s">
        <v>1292</v>
      </c>
      <c r="X705" s="12" t="s">
        <v>14</v>
      </c>
      <c r="Y705" s="12" t="s">
        <v>14</v>
      </c>
      <c r="Z705" s="13" t="s">
        <v>261</v>
      </c>
    </row>
    <row r="706" spans="1:26" ht="19.95" customHeight="1" x14ac:dyDescent="0.3">
      <c r="A706" s="6">
        <v>45715</v>
      </c>
      <c r="B706" s="7" t="s">
        <v>578</v>
      </c>
      <c r="C706" s="8" t="s">
        <v>1129</v>
      </c>
      <c r="D706" s="8" t="s">
        <v>1294</v>
      </c>
      <c r="E706" s="8" t="s">
        <v>1180</v>
      </c>
      <c r="F706" s="8" t="s">
        <v>1275</v>
      </c>
      <c r="G706" s="9" t="s">
        <v>1276</v>
      </c>
      <c r="H706" s="9" t="s">
        <v>1296</v>
      </c>
      <c r="I706" s="9" t="s">
        <v>66</v>
      </c>
      <c r="J706" s="10" t="s">
        <v>174</v>
      </c>
      <c r="K706" s="15" t="str">
        <f>VLOOKUP(J706,DADOS!$A$3:$B$101,2,FALSE)</f>
        <v>EE-GI-001-007</v>
      </c>
      <c r="L706" s="15" t="s">
        <v>260</v>
      </c>
      <c r="M706" s="18" t="b">
        <v>1</v>
      </c>
      <c r="N706" s="17" t="b">
        <v>1</v>
      </c>
      <c r="O706" s="17" t="b">
        <v>1</v>
      </c>
      <c r="P706" s="17" t="b">
        <v>1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1</v>
      </c>
      <c r="W706" s="11" t="s">
        <v>1294</v>
      </c>
      <c r="X706" s="12" t="s">
        <v>14</v>
      </c>
      <c r="Y706" s="12" t="s">
        <v>14</v>
      </c>
      <c r="Z706" s="13" t="s">
        <v>261</v>
      </c>
    </row>
    <row r="707" spans="1:26" ht="19.95" customHeight="1" x14ac:dyDescent="0.3">
      <c r="A707" s="6">
        <v>45715</v>
      </c>
      <c r="B707" s="7" t="s">
        <v>578</v>
      </c>
      <c r="C707" s="8" t="s">
        <v>1129</v>
      </c>
      <c r="D707" s="8" t="s">
        <v>1295</v>
      </c>
      <c r="E707" s="8" t="s">
        <v>1180</v>
      </c>
      <c r="F707" s="8" t="s">
        <v>1130</v>
      </c>
      <c r="G707" s="9" t="s">
        <v>1276</v>
      </c>
      <c r="H707" s="9" t="s">
        <v>1296</v>
      </c>
      <c r="I707" s="9" t="s">
        <v>66</v>
      </c>
      <c r="J707" s="10" t="s">
        <v>174</v>
      </c>
      <c r="K707" s="15" t="str">
        <f>VLOOKUP(J707,DADOS!$A$3:$B$101,2,FALSE)</f>
        <v>EE-GI-001-007</v>
      </c>
      <c r="L707" s="15" t="s">
        <v>260</v>
      </c>
      <c r="M707" s="18" t="b">
        <v>1</v>
      </c>
      <c r="N707" s="17" t="b">
        <v>1</v>
      </c>
      <c r="O707" s="17" t="b">
        <v>1</v>
      </c>
      <c r="P707" s="17" t="b">
        <v>1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1</v>
      </c>
      <c r="W707" s="11" t="s">
        <v>1295</v>
      </c>
      <c r="X707" s="12" t="s">
        <v>14</v>
      </c>
      <c r="Y707" s="12" t="s">
        <v>14</v>
      </c>
      <c r="Z707" s="13" t="s">
        <v>261</v>
      </c>
    </row>
    <row r="708" spans="1:26" ht="19.95" customHeight="1" x14ac:dyDescent="0.3">
      <c r="A708" s="6">
        <v>45715</v>
      </c>
      <c r="B708" s="7" t="s">
        <v>254</v>
      </c>
      <c r="C708" s="8" t="s">
        <v>660</v>
      </c>
      <c r="D708" s="8" t="s">
        <v>964</v>
      </c>
      <c r="E708" s="8" t="s">
        <v>1415</v>
      </c>
      <c r="F708" s="8" t="s">
        <v>662</v>
      </c>
      <c r="G708" s="9" t="s">
        <v>663</v>
      </c>
      <c r="H708" s="9" t="s">
        <v>1416</v>
      </c>
      <c r="I708" s="9" t="s">
        <v>66</v>
      </c>
      <c r="J708" s="10" t="s">
        <v>15</v>
      </c>
      <c r="K708" s="15" t="str">
        <f>VLOOKUP(J708,DADOS!$A$3:$B$101,2,FALSE)</f>
        <v>EE-GI-001-002</v>
      </c>
      <c r="L708" s="15" t="s">
        <v>260</v>
      </c>
      <c r="M708" s="18" t="b">
        <v>1</v>
      </c>
      <c r="N708" s="17" t="b">
        <v>1</v>
      </c>
      <c r="O708" s="17" t="b">
        <v>1</v>
      </c>
      <c r="P708" s="17" t="b">
        <v>1</v>
      </c>
      <c r="Q708" s="17" t="b">
        <v>0</v>
      </c>
      <c r="R708" s="17" t="b">
        <v>1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 t="s">
        <v>964</v>
      </c>
      <c r="X708" s="12" t="s">
        <v>14</v>
      </c>
      <c r="Y708" s="12" t="s">
        <v>14</v>
      </c>
      <c r="Z708" s="13" t="s">
        <v>261</v>
      </c>
    </row>
    <row r="709" spans="1:26" ht="19.95" customHeight="1" x14ac:dyDescent="0.3">
      <c r="A709" s="6">
        <v>45715</v>
      </c>
      <c r="B709" s="7" t="s">
        <v>254</v>
      </c>
      <c r="C709" s="8" t="s">
        <v>1417</v>
      </c>
      <c r="D709" s="8" t="s">
        <v>269</v>
      </c>
      <c r="E709" s="8" t="s">
        <v>1430</v>
      </c>
      <c r="F709" s="8" t="s">
        <v>1431</v>
      </c>
      <c r="G709" s="9" t="s">
        <v>659</v>
      </c>
      <c r="H709" s="9" t="s">
        <v>1432</v>
      </c>
      <c r="I709" s="9" t="s">
        <v>66</v>
      </c>
      <c r="J709" s="10" t="s">
        <v>15</v>
      </c>
      <c r="K709" s="15" t="str">
        <f>VLOOKUP(J709,DADOS!$A$3:$B$101,2,FALSE)</f>
        <v>EE-GI-001-002</v>
      </c>
      <c r="L709" s="15" t="s">
        <v>260</v>
      </c>
      <c r="M709" s="18" t="b">
        <v>1</v>
      </c>
      <c r="N709" s="17" t="b">
        <v>1</v>
      </c>
      <c r="O709" s="17" t="b">
        <v>1</v>
      </c>
      <c r="P709" s="17" t="b">
        <v>1</v>
      </c>
      <c r="Q709" s="17" t="b">
        <v>0</v>
      </c>
      <c r="R709" s="17" t="b">
        <v>1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 t="s">
        <v>269</v>
      </c>
      <c r="X709" s="12" t="s">
        <v>14</v>
      </c>
      <c r="Y709" s="12" t="s">
        <v>14</v>
      </c>
      <c r="Z709" s="13" t="s">
        <v>261</v>
      </c>
    </row>
    <row r="710" spans="1:26" ht="19.95" customHeight="1" x14ac:dyDescent="0.3">
      <c r="A710" s="6">
        <v>45715</v>
      </c>
      <c r="B710" s="7" t="s">
        <v>254</v>
      </c>
      <c r="C710" s="8" t="s">
        <v>1417</v>
      </c>
      <c r="D710" s="8" t="s">
        <v>693</v>
      </c>
      <c r="E710" s="8" t="s">
        <v>1430</v>
      </c>
      <c r="F710" s="8" t="s">
        <v>1425</v>
      </c>
      <c r="G710" s="9" t="s">
        <v>659</v>
      </c>
      <c r="H710" s="9" t="s">
        <v>1432</v>
      </c>
      <c r="I710" s="9" t="s">
        <v>66</v>
      </c>
      <c r="J710" s="10" t="s">
        <v>15</v>
      </c>
      <c r="K710" s="15" t="str">
        <f>VLOOKUP(J710,DADOS!$A$3:$B$101,2,FALSE)</f>
        <v>EE-GI-001-002</v>
      </c>
      <c r="L710" s="15" t="s">
        <v>260</v>
      </c>
      <c r="M710" s="18" t="b">
        <v>1</v>
      </c>
      <c r="N710" s="17" t="b">
        <v>1</v>
      </c>
      <c r="O710" s="17" t="b">
        <v>1</v>
      </c>
      <c r="P710" s="17" t="b">
        <v>1</v>
      </c>
      <c r="Q710" s="17" t="b">
        <v>0</v>
      </c>
      <c r="R710" s="17" t="b">
        <v>1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 t="s">
        <v>693</v>
      </c>
      <c r="X710" s="12" t="s">
        <v>14</v>
      </c>
      <c r="Y710" s="12" t="s">
        <v>14</v>
      </c>
      <c r="Z710" s="13" t="s">
        <v>261</v>
      </c>
    </row>
    <row r="711" spans="1:26" ht="19.95" customHeight="1" x14ac:dyDescent="0.3">
      <c r="A711" s="6">
        <v>45715</v>
      </c>
      <c r="B711" s="7" t="s">
        <v>254</v>
      </c>
      <c r="C711" s="8" t="s">
        <v>1433</v>
      </c>
      <c r="D711" s="8" t="s">
        <v>269</v>
      </c>
      <c r="E711" s="8" t="s">
        <v>1435</v>
      </c>
      <c r="F711" s="8" t="s">
        <v>1436</v>
      </c>
      <c r="G711" s="9" t="s">
        <v>1407</v>
      </c>
      <c r="H711" s="9" t="s">
        <v>1437</v>
      </c>
      <c r="I711" s="9" t="s">
        <v>69</v>
      </c>
      <c r="J711" s="10" t="s">
        <v>17</v>
      </c>
      <c r="K711" s="15" t="str">
        <f>VLOOKUP(J711,DADOS!$A$3:$B$101,2,FALSE)</f>
        <v>EE-GI-001-001</v>
      </c>
      <c r="L711" s="15" t="s">
        <v>260</v>
      </c>
      <c r="M711" s="18" t="b">
        <v>1</v>
      </c>
      <c r="N711" s="17" t="b">
        <v>1</v>
      </c>
      <c r="O711" s="17" t="b">
        <v>1</v>
      </c>
      <c r="P711" s="17" t="b">
        <v>1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 t="s">
        <v>269</v>
      </c>
      <c r="X711" s="12" t="s">
        <v>14</v>
      </c>
      <c r="Y711" s="12" t="s">
        <v>14</v>
      </c>
      <c r="Z711" s="13" t="s">
        <v>261</v>
      </c>
    </row>
    <row r="712" spans="1:26" ht="19.95" customHeight="1" x14ac:dyDescent="0.3">
      <c r="A712" s="6">
        <v>45715</v>
      </c>
      <c r="B712" s="7" t="s">
        <v>254</v>
      </c>
      <c r="C712" s="8" t="s">
        <v>1438</v>
      </c>
      <c r="D712" s="8" t="s">
        <v>269</v>
      </c>
      <c r="E712" s="8" t="s">
        <v>1440</v>
      </c>
      <c r="F712" s="8" t="s">
        <v>1441</v>
      </c>
      <c r="G712" s="9" t="s">
        <v>659</v>
      </c>
      <c r="H712" s="9" t="s">
        <v>1442</v>
      </c>
      <c r="I712" s="9" t="s">
        <v>69</v>
      </c>
      <c r="J712" s="10" t="s">
        <v>15</v>
      </c>
      <c r="K712" s="15" t="str">
        <f>VLOOKUP(J712,DADOS!$A$3:$B$101,2,FALSE)</f>
        <v>EE-GI-001-002</v>
      </c>
      <c r="L712" s="15" t="s">
        <v>260</v>
      </c>
      <c r="M712" s="18" t="b">
        <v>1</v>
      </c>
      <c r="N712" s="17" t="b">
        <v>1</v>
      </c>
      <c r="O712" s="17" t="b">
        <v>1</v>
      </c>
      <c r="P712" s="17" t="b">
        <v>1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 t="s">
        <v>269</v>
      </c>
      <c r="X712" s="12" t="s">
        <v>14</v>
      </c>
      <c r="Y712" s="12" t="s">
        <v>14</v>
      </c>
      <c r="Z712" s="13" t="s">
        <v>261</v>
      </c>
    </row>
    <row r="713" spans="1:26" ht="19.95" customHeight="1" x14ac:dyDescent="0.3">
      <c r="A713" s="6">
        <v>45715</v>
      </c>
      <c r="B713" s="7" t="s">
        <v>254</v>
      </c>
      <c r="C713" s="8" t="s">
        <v>1454</v>
      </c>
      <c r="D713" s="8" t="s">
        <v>269</v>
      </c>
      <c r="E713" s="8" t="s">
        <v>1439</v>
      </c>
      <c r="F713" s="8" t="s">
        <v>1455</v>
      </c>
      <c r="G713" s="9" t="s">
        <v>1022</v>
      </c>
      <c r="H713" s="9" t="s">
        <v>1464</v>
      </c>
      <c r="I713" s="9" t="s">
        <v>94</v>
      </c>
      <c r="J713" s="10" t="s">
        <v>186</v>
      </c>
      <c r="K713" s="15" t="str">
        <f>VLOOKUP(J713,DADOS!$A$3:$B$101,2,FALSE)</f>
        <v>EE-GI-001-008</v>
      </c>
      <c r="L713" s="15" t="s">
        <v>260</v>
      </c>
      <c r="M713" s="18" t="b">
        <v>1</v>
      </c>
      <c r="N713" s="17" t="b">
        <v>1</v>
      </c>
      <c r="O713" s="17" t="b">
        <v>1</v>
      </c>
      <c r="P713" s="17" t="b">
        <v>1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 t="s">
        <v>269</v>
      </c>
      <c r="X713" s="12" t="s">
        <v>14</v>
      </c>
      <c r="Y713" s="12" t="s">
        <v>14</v>
      </c>
      <c r="Z713" s="13" t="s">
        <v>261</v>
      </c>
    </row>
    <row r="714" spans="1:26" ht="19.95" customHeight="1" x14ac:dyDescent="0.3">
      <c r="A714" s="6">
        <v>45715</v>
      </c>
      <c r="B714" s="7" t="s">
        <v>254</v>
      </c>
      <c r="C714" s="8" t="s">
        <v>1454</v>
      </c>
      <c r="D714" s="8" t="s">
        <v>269</v>
      </c>
      <c r="E714" s="8" t="s">
        <v>1466</v>
      </c>
      <c r="F714" s="8" t="s">
        <v>1455</v>
      </c>
      <c r="G714" s="9" t="s">
        <v>1022</v>
      </c>
      <c r="H714" s="9" t="s">
        <v>1467</v>
      </c>
      <c r="I714" s="9" t="s">
        <v>94</v>
      </c>
      <c r="J714" s="10" t="s">
        <v>186</v>
      </c>
      <c r="K714" s="15" t="str">
        <f>VLOOKUP(J714,DADOS!$A$3:$B$101,2,FALSE)</f>
        <v>EE-GI-001-008</v>
      </c>
      <c r="L714" s="15" t="s">
        <v>260</v>
      </c>
      <c r="M714" s="18" t="b">
        <v>1</v>
      </c>
      <c r="N714" s="17" t="b">
        <v>1</v>
      </c>
      <c r="O714" s="17" t="b">
        <v>1</v>
      </c>
      <c r="P714" s="17" t="b">
        <v>1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 t="s">
        <v>269</v>
      </c>
      <c r="X714" s="12" t="s">
        <v>14</v>
      </c>
      <c r="Y714" s="12" t="s">
        <v>14</v>
      </c>
      <c r="Z714" s="13" t="s">
        <v>261</v>
      </c>
    </row>
    <row r="715" spans="1:26" ht="19.95" customHeight="1" x14ac:dyDescent="0.3">
      <c r="A715" s="6">
        <v>45715</v>
      </c>
      <c r="B715" s="7" t="s">
        <v>254</v>
      </c>
      <c r="C715" s="8" t="s">
        <v>1396</v>
      </c>
      <c r="D715" s="8" t="s">
        <v>281</v>
      </c>
      <c r="E715" s="8" t="s">
        <v>1468</v>
      </c>
      <c r="F715" s="8" t="s">
        <v>1469</v>
      </c>
      <c r="G715" s="9" t="s">
        <v>651</v>
      </c>
      <c r="H715" s="9" t="s">
        <v>1470</v>
      </c>
      <c r="I715" s="9" t="s">
        <v>90</v>
      </c>
      <c r="J715" s="10" t="s">
        <v>15</v>
      </c>
      <c r="K715" s="15" t="str">
        <f>VLOOKUP(J715,DADOS!$A$3:$B$101,2,FALSE)</f>
        <v>EE-GI-001-002</v>
      </c>
      <c r="L715" s="15" t="s">
        <v>303</v>
      </c>
      <c r="M715" s="18" t="b">
        <v>1</v>
      </c>
      <c r="N715" s="17" t="b">
        <v>1</v>
      </c>
      <c r="O715" s="17" t="b">
        <v>1</v>
      </c>
      <c r="P715" s="17" t="b">
        <v>1</v>
      </c>
      <c r="Q715" s="17" t="b">
        <v>0</v>
      </c>
      <c r="R715" s="17" t="b">
        <v>1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 t="s">
        <v>281</v>
      </c>
      <c r="X715" s="12" t="s">
        <v>14</v>
      </c>
      <c r="Y715" s="12" t="s">
        <v>14</v>
      </c>
      <c r="Z715" s="13" t="s">
        <v>261</v>
      </c>
    </row>
    <row r="716" spans="1:26" ht="19.95" customHeight="1" x14ac:dyDescent="0.3">
      <c r="A716" s="6">
        <v>45715</v>
      </c>
      <c r="B716" s="7" t="s">
        <v>254</v>
      </c>
      <c r="C716" s="8" t="s">
        <v>1396</v>
      </c>
      <c r="D716" s="8" t="s">
        <v>269</v>
      </c>
      <c r="E716" s="8" t="s">
        <v>1471</v>
      </c>
      <c r="F716" s="8" t="s">
        <v>1472</v>
      </c>
      <c r="G716" s="9" t="s">
        <v>651</v>
      </c>
      <c r="H716" s="9" t="s">
        <v>1473</v>
      </c>
      <c r="I716" s="9" t="s">
        <v>90</v>
      </c>
      <c r="J716" s="10" t="s">
        <v>15</v>
      </c>
      <c r="K716" s="15" t="str">
        <f>VLOOKUP(J716,DADOS!$A$3:$B$101,2,FALSE)</f>
        <v>EE-GI-001-002</v>
      </c>
      <c r="L716" s="15" t="s">
        <v>303</v>
      </c>
      <c r="M716" s="18" t="b">
        <v>1</v>
      </c>
      <c r="N716" s="17" t="b">
        <v>1</v>
      </c>
      <c r="O716" s="17" t="b">
        <v>1</v>
      </c>
      <c r="P716" s="17" t="b">
        <v>1</v>
      </c>
      <c r="Q716" s="17" t="b">
        <v>0</v>
      </c>
      <c r="R716" s="17" t="b">
        <v>1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 t="s">
        <v>269</v>
      </c>
      <c r="X716" s="12" t="s">
        <v>14</v>
      </c>
      <c r="Y716" s="12" t="s">
        <v>14</v>
      </c>
      <c r="Z716" s="13" t="s">
        <v>261</v>
      </c>
    </row>
    <row r="717" spans="1:26" ht="19.95" customHeight="1" x14ac:dyDescent="0.3">
      <c r="A717" s="6">
        <v>45715</v>
      </c>
      <c r="B717" s="7" t="s">
        <v>254</v>
      </c>
      <c r="C717" s="8" t="s">
        <v>1474</v>
      </c>
      <c r="D717" s="8" t="s">
        <v>269</v>
      </c>
      <c r="E717" s="8" t="s">
        <v>1465</v>
      </c>
      <c r="F717" s="8" t="s">
        <v>1475</v>
      </c>
      <c r="G717" s="9" t="s">
        <v>1476</v>
      </c>
      <c r="H717" s="9" t="s">
        <v>1477</v>
      </c>
      <c r="I717" s="9" t="s">
        <v>65</v>
      </c>
      <c r="J717" s="10" t="s">
        <v>17</v>
      </c>
      <c r="K717" s="15" t="str">
        <f>VLOOKUP(J717,DADOS!$A$3:$B$101,2,FALSE)</f>
        <v>EE-GI-001-001</v>
      </c>
      <c r="L717" s="15" t="s">
        <v>303</v>
      </c>
      <c r="M717" s="18" t="b">
        <v>1</v>
      </c>
      <c r="N717" s="17" t="b">
        <v>1</v>
      </c>
      <c r="O717" s="17" t="b">
        <v>1</v>
      </c>
      <c r="P717" s="17" t="b">
        <v>1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 t="s">
        <v>269</v>
      </c>
      <c r="X717" s="12" t="s">
        <v>14</v>
      </c>
      <c r="Y717" s="12" t="s">
        <v>14</v>
      </c>
      <c r="Z717" s="13" t="s">
        <v>261</v>
      </c>
    </row>
    <row r="718" spans="1:26" ht="19.95" customHeight="1" x14ac:dyDescent="0.3">
      <c r="A718" s="6">
        <v>45715</v>
      </c>
      <c r="B718" s="7" t="s">
        <v>254</v>
      </c>
      <c r="C718" s="8" t="s">
        <v>1404</v>
      </c>
      <c r="D718" s="8" t="s">
        <v>269</v>
      </c>
      <c r="E718" s="8" t="s">
        <v>1434</v>
      </c>
      <c r="F718" s="8" t="s">
        <v>1406</v>
      </c>
      <c r="G718" s="9" t="s">
        <v>1407</v>
      </c>
      <c r="H718" s="9" t="s">
        <v>1478</v>
      </c>
      <c r="I718" s="9" t="s">
        <v>69</v>
      </c>
      <c r="J718" s="10" t="s">
        <v>17</v>
      </c>
      <c r="K718" s="15" t="str">
        <f>VLOOKUP(J718,DADOS!$A$3:$B$101,2,FALSE)</f>
        <v>EE-GI-001-001</v>
      </c>
      <c r="L718" s="15" t="s">
        <v>303</v>
      </c>
      <c r="M718" s="18" t="b">
        <v>1</v>
      </c>
      <c r="N718" s="17" t="b">
        <v>1</v>
      </c>
      <c r="O718" s="17" t="b">
        <v>1</v>
      </c>
      <c r="P718" s="17" t="b">
        <v>1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 t="s">
        <v>269</v>
      </c>
      <c r="X718" s="12" t="s">
        <v>14</v>
      </c>
      <c r="Y718" s="12" t="s">
        <v>14</v>
      </c>
      <c r="Z718" s="13" t="s">
        <v>261</v>
      </c>
    </row>
    <row r="719" spans="1:26" ht="19.95" customHeight="1" x14ac:dyDescent="0.3">
      <c r="A719" s="6">
        <v>45715</v>
      </c>
      <c r="B719" s="7" t="s">
        <v>254</v>
      </c>
      <c r="C719" s="8" t="s">
        <v>292</v>
      </c>
      <c r="D719" s="8" t="s">
        <v>373</v>
      </c>
      <c r="E719" s="8" t="s">
        <v>1479</v>
      </c>
      <c r="F719" s="8" t="s">
        <v>1107</v>
      </c>
      <c r="G719" s="9" t="s">
        <v>273</v>
      </c>
      <c r="H719" s="9" t="s">
        <v>1480</v>
      </c>
      <c r="I719" s="9" t="s">
        <v>65</v>
      </c>
      <c r="J719" s="10" t="s">
        <v>16</v>
      </c>
      <c r="K719" s="15" t="str">
        <f>VLOOKUP(J719,DADOS!$A$3:$B$101,2,FALSE)</f>
        <v>EE-GI-001-003</v>
      </c>
      <c r="L719" s="15" t="s">
        <v>260</v>
      </c>
      <c r="M719" s="18" t="b">
        <v>1</v>
      </c>
      <c r="N719" s="17" t="b">
        <v>1</v>
      </c>
      <c r="O719" s="17" t="b">
        <v>1</v>
      </c>
      <c r="P719" s="17" t="b">
        <v>1</v>
      </c>
      <c r="Q719" s="17" t="b">
        <v>0</v>
      </c>
      <c r="R719" s="17" t="b">
        <v>1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 t="s">
        <v>373</v>
      </c>
      <c r="X719" s="12" t="s">
        <v>14</v>
      </c>
      <c r="Y719" s="12" t="s">
        <v>14</v>
      </c>
      <c r="Z719" s="13" t="s">
        <v>261</v>
      </c>
    </row>
    <row r="720" spans="1:26" ht="19.95" customHeight="1" x14ac:dyDescent="0.3">
      <c r="A720" s="6">
        <v>45715</v>
      </c>
      <c r="B720" s="7" t="s">
        <v>254</v>
      </c>
      <c r="C720" s="8" t="s">
        <v>1118</v>
      </c>
      <c r="D720" s="8" t="s">
        <v>281</v>
      </c>
      <c r="E720" s="8" t="s">
        <v>1481</v>
      </c>
      <c r="F720" s="8" t="s">
        <v>1482</v>
      </c>
      <c r="G720" s="9" t="s">
        <v>643</v>
      </c>
      <c r="H720" s="9" t="s">
        <v>1483</v>
      </c>
      <c r="I720" s="9" t="s">
        <v>70</v>
      </c>
      <c r="J720" s="10" t="s">
        <v>15</v>
      </c>
      <c r="K720" s="15" t="str">
        <f>VLOOKUP(J720,DADOS!$A$3:$B$101,2,FALSE)</f>
        <v>EE-GI-001-002</v>
      </c>
      <c r="L720" s="15" t="s">
        <v>260</v>
      </c>
      <c r="M720" s="18" t="b">
        <v>1</v>
      </c>
      <c r="N720" s="17" t="b">
        <v>1</v>
      </c>
      <c r="O720" s="17" t="b">
        <v>1</v>
      </c>
      <c r="P720" s="17" t="b">
        <v>1</v>
      </c>
      <c r="Q720" s="17" t="b">
        <v>0</v>
      </c>
      <c r="R720" s="17" t="b">
        <v>1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 t="s">
        <v>281</v>
      </c>
      <c r="X720" s="12" t="s">
        <v>14</v>
      </c>
      <c r="Y720" s="12" t="s">
        <v>14</v>
      </c>
      <c r="Z720" s="13" t="s">
        <v>261</v>
      </c>
    </row>
    <row r="721" spans="1:26" ht="19.95" customHeight="1" x14ac:dyDescent="0.3">
      <c r="A721" s="6">
        <v>45715</v>
      </c>
      <c r="B721" s="7" t="s">
        <v>254</v>
      </c>
      <c r="C721" s="8" t="s">
        <v>1484</v>
      </c>
      <c r="D721" s="8" t="s">
        <v>269</v>
      </c>
      <c r="E721" s="8" t="s">
        <v>1486</v>
      </c>
      <c r="F721" s="8" t="s">
        <v>1487</v>
      </c>
      <c r="G721" s="9" t="s">
        <v>1488</v>
      </c>
      <c r="H721" s="9" t="s">
        <v>1489</v>
      </c>
      <c r="I721" s="9" t="s">
        <v>74</v>
      </c>
      <c r="J721" s="10" t="s">
        <v>17</v>
      </c>
      <c r="K721" s="15" t="str">
        <f>VLOOKUP(J721,DADOS!$A$3:$B$101,2,FALSE)</f>
        <v>EE-GI-001-001</v>
      </c>
      <c r="L721" s="15" t="s">
        <v>323</v>
      </c>
      <c r="M721" s="18" t="b">
        <v>1</v>
      </c>
      <c r="N721" s="17" t="b">
        <v>1</v>
      </c>
      <c r="O721" s="17" t="b">
        <v>1</v>
      </c>
      <c r="P721" s="17" t="b">
        <v>1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 t="s">
        <v>269</v>
      </c>
      <c r="X721" s="12" t="s">
        <v>14</v>
      </c>
      <c r="Y721" s="12" t="s">
        <v>14</v>
      </c>
      <c r="Z721" s="13" t="s">
        <v>261</v>
      </c>
    </row>
    <row r="722" spans="1:26" ht="19.95" customHeight="1" x14ac:dyDescent="0.3">
      <c r="A722" s="6">
        <v>45715</v>
      </c>
      <c r="B722" s="7" t="s">
        <v>254</v>
      </c>
      <c r="C722" s="8" t="s">
        <v>638</v>
      </c>
      <c r="D722" s="8" t="s">
        <v>269</v>
      </c>
      <c r="E722" s="8" t="s">
        <v>1485</v>
      </c>
      <c r="F722" s="8" t="s">
        <v>1490</v>
      </c>
      <c r="G722" s="9" t="s">
        <v>643</v>
      </c>
      <c r="H722" s="9" t="s">
        <v>1491</v>
      </c>
      <c r="I722" s="9" t="s">
        <v>69</v>
      </c>
      <c r="J722" s="10" t="s">
        <v>15</v>
      </c>
      <c r="K722" s="15" t="str">
        <f>VLOOKUP(J722,DADOS!$A$3:$B$101,2,FALSE)</f>
        <v>EE-GI-001-002</v>
      </c>
      <c r="L722" s="15" t="s">
        <v>260</v>
      </c>
      <c r="M722" s="18" t="b">
        <v>1</v>
      </c>
      <c r="N722" s="17" t="b">
        <v>1</v>
      </c>
      <c r="O722" s="17" t="b">
        <v>1</v>
      </c>
      <c r="P722" s="17" t="b">
        <v>1</v>
      </c>
      <c r="Q722" s="17" t="b">
        <v>0</v>
      </c>
      <c r="R722" s="17" t="b">
        <v>1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 t="s">
        <v>269</v>
      </c>
      <c r="X722" s="12" t="s">
        <v>14</v>
      </c>
      <c r="Y722" s="12" t="s">
        <v>14</v>
      </c>
      <c r="Z722" s="13" t="s">
        <v>261</v>
      </c>
    </row>
    <row r="723" spans="1:26" ht="19.95" customHeight="1" x14ac:dyDescent="0.3">
      <c r="A723" s="6">
        <v>45715</v>
      </c>
      <c r="B723" s="7" t="s">
        <v>254</v>
      </c>
      <c r="C723" s="8" t="s">
        <v>286</v>
      </c>
      <c r="D723" s="8" t="s">
        <v>414</v>
      </c>
      <c r="E723" s="8" t="s">
        <v>1539</v>
      </c>
      <c r="F723" s="8" t="s">
        <v>288</v>
      </c>
      <c r="G723" s="9" t="s">
        <v>1540</v>
      </c>
      <c r="H723" s="9" t="s">
        <v>1541</v>
      </c>
      <c r="I723" s="9" t="s">
        <v>65</v>
      </c>
      <c r="J723" s="10" t="s">
        <v>15</v>
      </c>
      <c r="K723" s="15" t="str">
        <f>VLOOKUP(J723,DADOS!$A$3:$B$101,2,FALSE)</f>
        <v>EE-GI-001-002</v>
      </c>
      <c r="L723" s="15" t="s">
        <v>260</v>
      </c>
      <c r="M723" s="18" t="b">
        <v>1</v>
      </c>
      <c r="N723" s="17" t="b">
        <v>1</v>
      </c>
      <c r="O723" s="17" t="b">
        <v>1</v>
      </c>
      <c r="P723" s="17" t="b">
        <v>1</v>
      </c>
      <c r="Q723" s="17" t="b">
        <v>0</v>
      </c>
      <c r="R723" s="17" t="b">
        <v>1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 t="s">
        <v>414</v>
      </c>
      <c r="X723" s="12" t="s">
        <v>14</v>
      </c>
      <c r="Y723" s="12" t="s">
        <v>14</v>
      </c>
      <c r="Z723" s="13" t="s">
        <v>261</v>
      </c>
    </row>
    <row r="724" spans="1:26" ht="19.95" customHeight="1" x14ac:dyDescent="0.3">
      <c r="A724" s="6">
        <v>45715</v>
      </c>
      <c r="B724" s="7" t="s">
        <v>406</v>
      </c>
      <c r="C724" s="8" t="s">
        <v>1330</v>
      </c>
      <c r="D724" s="8" t="s">
        <v>281</v>
      </c>
      <c r="E724" s="8" t="s">
        <v>1331</v>
      </c>
      <c r="F724" s="8" t="s">
        <v>1332</v>
      </c>
      <c r="G724" s="9" t="s">
        <v>1333</v>
      </c>
      <c r="H724" s="9" t="s">
        <v>1334</v>
      </c>
      <c r="I724" s="9" t="s">
        <v>97</v>
      </c>
      <c r="J724" s="10" t="s">
        <v>190</v>
      </c>
      <c r="K724" s="15" t="str">
        <f>VLOOKUP(J724,DADOS!$A$3:$B$101,2,FALSE)</f>
        <v>EE-GI-001-037</v>
      </c>
      <c r="L724" s="15" t="s">
        <v>260</v>
      </c>
      <c r="M724" s="18" t="b">
        <v>1</v>
      </c>
      <c r="N724" s="17" t="b">
        <v>1</v>
      </c>
      <c r="O724" s="17" t="b">
        <v>1</v>
      </c>
      <c r="P724" s="17" t="b">
        <v>1</v>
      </c>
      <c r="Q724" s="17" t="b">
        <v>0</v>
      </c>
      <c r="R724" s="17" t="b">
        <v>1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 t="s">
        <v>281</v>
      </c>
      <c r="X724" s="12" t="s">
        <v>14</v>
      </c>
      <c r="Y724" s="12" t="s">
        <v>14</v>
      </c>
      <c r="Z724" s="13" t="s">
        <v>261</v>
      </c>
    </row>
    <row r="725" spans="1:26" ht="19.95" customHeight="1" x14ac:dyDescent="0.3">
      <c r="A725" s="6">
        <v>45715</v>
      </c>
      <c r="B725" s="7" t="s">
        <v>406</v>
      </c>
      <c r="C725" s="8" t="s">
        <v>1335</v>
      </c>
      <c r="D725" s="8" t="s">
        <v>281</v>
      </c>
      <c r="E725" s="8" t="s">
        <v>1331</v>
      </c>
      <c r="F725" s="8" t="s">
        <v>1336</v>
      </c>
      <c r="G725" s="9" t="s">
        <v>1342</v>
      </c>
      <c r="H725" s="9" t="s">
        <v>1338</v>
      </c>
      <c r="I725" s="9" t="s">
        <v>97</v>
      </c>
      <c r="J725" s="10" t="s">
        <v>190</v>
      </c>
      <c r="K725" s="15" t="str">
        <f>VLOOKUP(J725,DADOS!$A$3:$B$101,2,FALSE)</f>
        <v>EE-GI-001-037</v>
      </c>
      <c r="L725" s="15" t="s">
        <v>260</v>
      </c>
      <c r="M725" s="18" t="b">
        <v>1</v>
      </c>
      <c r="N725" s="17" t="b">
        <v>1</v>
      </c>
      <c r="O725" s="17" t="b">
        <v>1</v>
      </c>
      <c r="P725" s="17" t="b">
        <v>1</v>
      </c>
      <c r="Q725" s="17" t="b">
        <v>0</v>
      </c>
      <c r="R725" s="17" t="b">
        <v>1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 t="s">
        <v>281</v>
      </c>
      <c r="X725" s="12" t="s">
        <v>14</v>
      </c>
      <c r="Y725" s="12" t="s">
        <v>14</v>
      </c>
      <c r="Z725" s="13" t="s">
        <v>261</v>
      </c>
    </row>
    <row r="726" spans="1:26" ht="19.95" customHeight="1" x14ac:dyDescent="0.3">
      <c r="A726" s="6">
        <v>45715</v>
      </c>
      <c r="B726" s="7" t="s">
        <v>406</v>
      </c>
      <c r="C726" s="8" t="s">
        <v>1339</v>
      </c>
      <c r="D726" s="8" t="s">
        <v>269</v>
      </c>
      <c r="E726" s="8" t="s">
        <v>1331</v>
      </c>
      <c r="F726" s="8" t="s">
        <v>1340</v>
      </c>
      <c r="G726" s="9" t="s">
        <v>1349</v>
      </c>
      <c r="H726" s="9" t="s">
        <v>1343</v>
      </c>
      <c r="I726" s="9" t="s">
        <v>69</v>
      </c>
      <c r="J726" s="10" t="s">
        <v>190</v>
      </c>
      <c r="K726" s="15" t="str">
        <f>VLOOKUP(J726,DADOS!$A$3:$B$101,2,FALSE)</f>
        <v>EE-GI-001-037</v>
      </c>
      <c r="L726" s="15" t="s">
        <v>260</v>
      </c>
      <c r="M726" s="18" t="b">
        <v>1</v>
      </c>
      <c r="N726" s="17" t="b">
        <v>1</v>
      </c>
      <c r="O726" s="17" t="b">
        <v>1</v>
      </c>
      <c r="P726" s="17" t="b">
        <v>1</v>
      </c>
      <c r="Q726" s="17" t="b">
        <v>0</v>
      </c>
      <c r="R726" s="17" t="b">
        <v>1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 t="s">
        <v>269</v>
      </c>
      <c r="X726" s="12" t="s">
        <v>14</v>
      </c>
      <c r="Y726" s="12" t="s">
        <v>14</v>
      </c>
      <c r="Z726" s="13" t="s">
        <v>261</v>
      </c>
    </row>
    <row r="727" spans="1:26" ht="19.95" customHeight="1" x14ac:dyDescent="0.3">
      <c r="A727" s="6">
        <v>45715</v>
      </c>
      <c r="B727" s="7" t="s">
        <v>406</v>
      </c>
      <c r="C727" s="8" t="s">
        <v>1339</v>
      </c>
      <c r="D727" s="8" t="s">
        <v>269</v>
      </c>
      <c r="E727" s="8" t="s">
        <v>1331</v>
      </c>
      <c r="F727" s="8" t="s">
        <v>1341</v>
      </c>
      <c r="G727" s="9" t="s">
        <v>1337</v>
      </c>
      <c r="H727" s="9" t="s">
        <v>1343</v>
      </c>
      <c r="I727" s="9" t="s">
        <v>69</v>
      </c>
      <c r="J727" s="10" t="s">
        <v>190</v>
      </c>
      <c r="K727" s="15" t="str">
        <f>VLOOKUP(J727,DADOS!$A$3:$B$101,2,FALSE)</f>
        <v>EE-GI-001-037</v>
      </c>
      <c r="L727" s="15" t="s">
        <v>260</v>
      </c>
      <c r="M727" s="18" t="b">
        <v>1</v>
      </c>
      <c r="N727" s="17" t="b">
        <v>1</v>
      </c>
      <c r="O727" s="17" t="b">
        <v>1</v>
      </c>
      <c r="P727" s="17" t="b">
        <v>1</v>
      </c>
      <c r="Q727" s="17" t="b">
        <v>0</v>
      </c>
      <c r="R727" s="17" t="b">
        <v>1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 t="s">
        <v>269</v>
      </c>
      <c r="X727" s="12" t="s">
        <v>14</v>
      </c>
      <c r="Y727" s="12" t="s">
        <v>14</v>
      </c>
      <c r="Z727" s="13" t="s">
        <v>261</v>
      </c>
    </row>
    <row r="728" spans="1:26" ht="19.95" customHeight="1" x14ac:dyDescent="0.3">
      <c r="A728" s="6">
        <v>45715</v>
      </c>
      <c r="B728" s="7" t="s">
        <v>406</v>
      </c>
      <c r="C728" s="8" t="s">
        <v>407</v>
      </c>
      <c r="D728" s="8" t="s">
        <v>1350</v>
      </c>
      <c r="E728" s="8" t="s">
        <v>1353</v>
      </c>
      <c r="F728" s="8" t="s">
        <v>1354</v>
      </c>
      <c r="G728" s="9" t="s">
        <v>1356</v>
      </c>
      <c r="H728" s="9" t="s">
        <v>1357</v>
      </c>
      <c r="I728" s="9" t="s">
        <v>66</v>
      </c>
      <c r="J728" s="10" t="s">
        <v>15</v>
      </c>
      <c r="K728" s="15" t="str">
        <f>VLOOKUP(J728,DADOS!$A$3:$B$101,2,FALSE)</f>
        <v>EE-GI-001-002</v>
      </c>
      <c r="L728" s="15" t="s">
        <v>260</v>
      </c>
      <c r="M728" s="18" t="b">
        <v>1</v>
      </c>
      <c r="N728" s="17" t="b">
        <v>1</v>
      </c>
      <c r="O728" s="17" t="b">
        <v>1</v>
      </c>
      <c r="P728" s="17" t="b">
        <v>1</v>
      </c>
      <c r="Q728" s="17" t="b">
        <v>0</v>
      </c>
      <c r="R728" s="17" t="b">
        <v>1</v>
      </c>
      <c r="S728" s="17" t="b">
        <v>0</v>
      </c>
      <c r="T728" s="17" t="b">
        <v>0</v>
      </c>
      <c r="U728" s="17" t="b">
        <v>0</v>
      </c>
      <c r="V728" s="17" t="b">
        <v>1</v>
      </c>
      <c r="W728" s="11" t="s">
        <v>1350</v>
      </c>
      <c r="X728" s="12" t="s">
        <v>14</v>
      </c>
      <c r="Y728" s="12" t="s">
        <v>14</v>
      </c>
      <c r="Z728" s="13" t="s">
        <v>261</v>
      </c>
    </row>
    <row r="729" spans="1:26" ht="19.95" customHeight="1" x14ac:dyDescent="0.3">
      <c r="A729" s="6">
        <v>45715</v>
      </c>
      <c r="B729" s="7" t="s">
        <v>406</v>
      </c>
      <c r="C729" s="8" t="s">
        <v>407</v>
      </c>
      <c r="D729" s="8" t="s">
        <v>1351</v>
      </c>
      <c r="E729" s="8" t="s">
        <v>1353</v>
      </c>
      <c r="F729" s="8" t="s">
        <v>451</v>
      </c>
      <c r="G729" s="9" t="s">
        <v>1359</v>
      </c>
      <c r="H729" s="9" t="s">
        <v>1361</v>
      </c>
      <c r="I729" s="9" t="s">
        <v>66</v>
      </c>
      <c r="J729" s="10" t="s">
        <v>15</v>
      </c>
      <c r="K729" s="15" t="str">
        <f>VLOOKUP(J729,DADOS!$A$3:$B$101,2,FALSE)</f>
        <v>EE-GI-001-002</v>
      </c>
      <c r="L729" s="15" t="s">
        <v>260</v>
      </c>
      <c r="M729" s="18" t="b">
        <v>1</v>
      </c>
      <c r="N729" s="17" t="b">
        <v>1</v>
      </c>
      <c r="O729" s="17" t="b">
        <v>1</v>
      </c>
      <c r="P729" s="17" t="b">
        <v>1</v>
      </c>
      <c r="Q729" s="17" t="b">
        <v>0</v>
      </c>
      <c r="R729" s="17" t="b">
        <v>1</v>
      </c>
      <c r="S729" s="17" t="b">
        <v>0</v>
      </c>
      <c r="T729" s="17" t="b">
        <v>0</v>
      </c>
      <c r="U729" s="17" t="b">
        <v>0</v>
      </c>
      <c r="V729" s="17" t="b">
        <v>1</v>
      </c>
      <c r="W729" s="11" t="s">
        <v>1351</v>
      </c>
      <c r="X729" s="12" t="s">
        <v>14</v>
      </c>
      <c r="Y729" s="12" t="s">
        <v>14</v>
      </c>
      <c r="Z729" s="13" t="s">
        <v>261</v>
      </c>
    </row>
    <row r="730" spans="1:26" ht="19.95" customHeight="1" x14ac:dyDescent="0.3">
      <c r="A730" s="6">
        <v>45715</v>
      </c>
      <c r="B730" s="7" t="s">
        <v>406</v>
      </c>
      <c r="C730" s="8" t="s">
        <v>407</v>
      </c>
      <c r="D730" s="8" t="s">
        <v>1352</v>
      </c>
      <c r="E730" s="8" t="s">
        <v>1353</v>
      </c>
      <c r="F730" s="8" t="s">
        <v>1355</v>
      </c>
      <c r="G730" s="9" t="s">
        <v>1360</v>
      </c>
      <c r="H730" s="9" t="s">
        <v>1362</v>
      </c>
      <c r="I730" s="9" t="s">
        <v>66</v>
      </c>
      <c r="J730" s="10" t="s">
        <v>15</v>
      </c>
      <c r="K730" s="15" t="str">
        <f>VLOOKUP(J730,DADOS!$A$3:$B$101,2,FALSE)</f>
        <v>EE-GI-001-002</v>
      </c>
      <c r="L730" s="15" t="s">
        <v>260</v>
      </c>
      <c r="M730" s="18" t="b">
        <v>1</v>
      </c>
      <c r="N730" s="17" t="b">
        <v>1</v>
      </c>
      <c r="O730" s="17" t="b">
        <v>1</v>
      </c>
      <c r="P730" s="17" t="b">
        <v>1</v>
      </c>
      <c r="Q730" s="17" t="b">
        <v>0</v>
      </c>
      <c r="R730" s="17" t="b">
        <v>1</v>
      </c>
      <c r="S730" s="17" t="b">
        <v>0</v>
      </c>
      <c r="T730" s="17" t="b">
        <v>0</v>
      </c>
      <c r="U730" s="17" t="b">
        <v>0</v>
      </c>
      <c r="V730" s="17" t="b">
        <v>1</v>
      </c>
      <c r="W730" s="11" t="s">
        <v>307</v>
      </c>
      <c r="X730" s="12" t="s">
        <v>1363</v>
      </c>
      <c r="Y730" s="12" t="s">
        <v>1358</v>
      </c>
      <c r="Z730" s="12" t="s">
        <v>261</v>
      </c>
    </row>
    <row r="731" spans="1:26" ht="19.95" customHeight="1" x14ac:dyDescent="0.3">
      <c r="A731" s="6">
        <v>45715</v>
      </c>
      <c r="B731" s="7" t="s">
        <v>916</v>
      </c>
      <c r="C731" s="8" t="s">
        <v>1769</v>
      </c>
      <c r="D731" s="8" t="s">
        <v>364</v>
      </c>
      <c r="E731" s="8" t="s">
        <v>1770</v>
      </c>
      <c r="F731" s="8" t="s">
        <v>1771</v>
      </c>
      <c r="G731" s="9" t="s">
        <v>367</v>
      </c>
      <c r="H731" s="9" t="s">
        <v>14</v>
      </c>
      <c r="I731" s="9" t="s">
        <v>70</v>
      </c>
      <c r="J731" s="10" t="s">
        <v>14</v>
      </c>
      <c r="K731" s="15" t="e">
        <f>VLOOKUP(J731,DADOS!$A$3:$B$101,2,FALSE)</f>
        <v>#N/A</v>
      </c>
      <c r="L731" s="15" t="s">
        <v>260</v>
      </c>
      <c r="M731" s="18" t="b">
        <v>0</v>
      </c>
      <c r="N731" s="17" t="b">
        <v>1</v>
      </c>
      <c r="O731" s="17" t="b">
        <v>0</v>
      </c>
      <c r="P731" s="17" t="b">
        <v>1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1</v>
      </c>
      <c r="W731" s="11" t="s">
        <v>364</v>
      </c>
      <c r="X731" s="12" t="s">
        <v>14</v>
      </c>
      <c r="Y731" s="12" t="s">
        <v>14</v>
      </c>
      <c r="Z731" s="13" t="s">
        <v>355</v>
      </c>
    </row>
    <row r="732" spans="1:26" ht="19.95" customHeight="1" x14ac:dyDescent="0.3">
      <c r="A732" s="6">
        <v>45715</v>
      </c>
      <c r="B732" s="7" t="s">
        <v>916</v>
      </c>
      <c r="C732" s="8" t="s">
        <v>1772</v>
      </c>
      <c r="D732" s="8" t="s">
        <v>364</v>
      </c>
      <c r="E732" s="8" t="s">
        <v>1770</v>
      </c>
      <c r="F732" s="8" t="s">
        <v>1773</v>
      </c>
      <c r="G732" s="9" t="s">
        <v>1775</v>
      </c>
      <c r="H732" s="9" t="s">
        <v>1776</v>
      </c>
      <c r="I732" s="9" t="s">
        <v>70</v>
      </c>
      <c r="J732" s="10" t="s">
        <v>17</v>
      </c>
      <c r="K732" s="15" t="str">
        <f>VLOOKUP(J732,DADOS!$A$3:$B$101,2,FALSE)</f>
        <v>EE-GI-001-001</v>
      </c>
      <c r="L732" s="15" t="s">
        <v>260</v>
      </c>
      <c r="M732" s="18" t="b">
        <v>1</v>
      </c>
      <c r="N732" s="17" t="b">
        <v>1</v>
      </c>
      <c r="O732" s="17" t="b">
        <v>1</v>
      </c>
      <c r="P732" s="17" t="b">
        <v>1</v>
      </c>
      <c r="Q732" s="17" t="b">
        <v>0</v>
      </c>
      <c r="R732" s="17" t="b">
        <v>0</v>
      </c>
      <c r="S732" s="17" t="b">
        <v>0</v>
      </c>
      <c r="T732" s="17" t="b">
        <v>1</v>
      </c>
      <c r="U732" s="17" t="b">
        <v>1</v>
      </c>
      <c r="V732" s="17" t="b">
        <v>1</v>
      </c>
      <c r="W732" s="11" t="s">
        <v>364</v>
      </c>
      <c r="X732" s="12" t="s">
        <v>14</v>
      </c>
      <c r="Y732" s="12" t="s">
        <v>14</v>
      </c>
      <c r="Z732" s="13" t="s">
        <v>355</v>
      </c>
    </row>
    <row r="733" spans="1:26" ht="19.95" customHeight="1" x14ac:dyDescent="0.3">
      <c r="A733" s="6">
        <v>45715</v>
      </c>
      <c r="B733" s="7" t="s">
        <v>916</v>
      </c>
      <c r="C733" s="8" t="s">
        <v>1772</v>
      </c>
      <c r="D733" s="8" t="s">
        <v>287</v>
      </c>
      <c r="E733" s="8" t="s">
        <v>1770</v>
      </c>
      <c r="F733" s="8" t="s">
        <v>1774</v>
      </c>
      <c r="G733" s="9" t="s">
        <v>1775</v>
      </c>
      <c r="H733" s="9" t="s">
        <v>1776</v>
      </c>
      <c r="I733" s="9" t="s">
        <v>70</v>
      </c>
      <c r="J733" s="10" t="s">
        <v>17</v>
      </c>
      <c r="K733" s="15" t="str">
        <f>VLOOKUP(J733,DADOS!$A$3:$B$101,2,FALSE)</f>
        <v>EE-GI-001-001</v>
      </c>
      <c r="L733" s="15" t="s">
        <v>260</v>
      </c>
      <c r="M733" s="18" t="b">
        <v>1</v>
      </c>
      <c r="N733" s="17" t="b">
        <v>1</v>
      </c>
      <c r="O733" s="17" t="b">
        <v>1</v>
      </c>
      <c r="P733" s="17" t="b">
        <v>1</v>
      </c>
      <c r="Q733" s="17" t="b">
        <v>0</v>
      </c>
      <c r="R733" s="17" t="b">
        <v>0</v>
      </c>
      <c r="S733" s="17" t="b">
        <v>0</v>
      </c>
      <c r="T733" s="17" t="b">
        <v>1</v>
      </c>
      <c r="U733" s="17" t="b">
        <v>1</v>
      </c>
      <c r="V733" s="17" t="b">
        <v>1</v>
      </c>
      <c r="W733" s="11" t="s">
        <v>287</v>
      </c>
      <c r="X733" s="12" t="s">
        <v>14</v>
      </c>
      <c r="Y733" s="12" t="s">
        <v>14</v>
      </c>
      <c r="Z733" s="13" t="s">
        <v>355</v>
      </c>
    </row>
    <row r="734" spans="1:26" ht="19.95" customHeight="1" x14ac:dyDescent="0.3">
      <c r="A734" s="6">
        <v>45715</v>
      </c>
      <c r="B734" s="7" t="s">
        <v>916</v>
      </c>
      <c r="C734" s="8" t="s">
        <v>1777</v>
      </c>
      <c r="D734" s="8" t="s">
        <v>287</v>
      </c>
      <c r="E734" s="8" t="s">
        <v>1778</v>
      </c>
      <c r="F734" s="8" t="s">
        <v>1779</v>
      </c>
      <c r="G734" s="9" t="s">
        <v>1780</v>
      </c>
      <c r="H734" s="9" t="s">
        <v>1781</v>
      </c>
      <c r="I734" s="9" t="s">
        <v>65</v>
      </c>
      <c r="J734" s="10" t="s">
        <v>17</v>
      </c>
      <c r="K734" s="15" t="str">
        <f>VLOOKUP(J734,DADOS!$A$3:$B$101,2,FALSE)</f>
        <v>EE-GI-001-001</v>
      </c>
      <c r="L734" s="15" t="s">
        <v>260</v>
      </c>
      <c r="M734" s="18" t="b">
        <v>1</v>
      </c>
      <c r="N734" s="17" t="b">
        <v>1</v>
      </c>
      <c r="O734" s="17" t="b">
        <v>1</v>
      </c>
      <c r="P734" s="17" t="b">
        <v>1</v>
      </c>
      <c r="Q734" s="17" t="b">
        <v>0</v>
      </c>
      <c r="R734" s="17" t="b">
        <v>0</v>
      </c>
      <c r="S734" s="17" t="b">
        <v>0</v>
      </c>
      <c r="T734" s="17" t="b">
        <v>1</v>
      </c>
      <c r="U734" s="17" t="b">
        <v>1</v>
      </c>
      <c r="V734" s="17" t="b">
        <v>1</v>
      </c>
      <c r="W734" s="11" t="s">
        <v>287</v>
      </c>
      <c r="X734" s="12" t="s">
        <v>14</v>
      </c>
      <c r="Y734" s="12" t="s">
        <v>14</v>
      </c>
      <c r="Z734" s="13" t="s">
        <v>355</v>
      </c>
    </row>
    <row r="735" spans="1:26" ht="19.95" customHeight="1" x14ac:dyDescent="0.3">
      <c r="A735" s="6">
        <v>45715</v>
      </c>
      <c r="B735" s="7" t="s">
        <v>916</v>
      </c>
      <c r="C735" s="8" t="s">
        <v>1782</v>
      </c>
      <c r="D735" s="8" t="s">
        <v>269</v>
      </c>
      <c r="E735" s="8" t="s">
        <v>1778</v>
      </c>
      <c r="F735" s="8" t="s">
        <v>1783</v>
      </c>
      <c r="G735" s="9" t="s">
        <v>1784</v>
      </c>
      <c r="H735" s="9" t="s">
        <v>1785</v>
      </c>
      <c r="I735" s="9" t="s">
        <v>70</v>
      </c>
      <c r="J735" s="10" t="s">
        <v>17</v>
      </c>
      <c r="K735" s="15" t="str">
        <f>VLOOKUP(J735,DADOS!$A$3:$B$101,2,FALSE)</f>
        <v>EE-GI-001-001</v>
      </c>
      <c r="L735" s="15" t="s">
        <v>260</v>
      </c>
      <c r="M735" s="18" t="b">
        <v>1</v>
      </c>
      <c r="N735" s="17" t="b">
        <v>1</v>
      </c>
      <c r="O735" s="17" t="b">
        <v>1</v>
      </c>
      <c r="P735" s="17" t="b">
        <v>1</v>
      </c>
      <c r="Q735" s="17" t="b">
        <v>0</v>
      </c>
      <c r="R735" s="17" t="b">
        <v>0</v>
      </c>
      <c r="S735" s="17" t="b">
        <v>0</v>
      </c>
      <c r="T735" s="17" t="b">
        <v>1</v>
      </c>
      <c r="U735" s="17" t="b">
        <v>1</v>
      </c>
      <c r="V735" s="17" t="b">
        <v>1</v>
      </c>
      <c r="W735" s="11" t="s">
        <v>269</v>
      </c>
      <c r="X735" s="12" t="s">
        <v>14</v>
      </c>
      <c r="Y735" s="12" t="s">
        <v>14</v>
      </c>
      <c r="Z735" s="13" t="s">
        <v>355</v>
      </c>
    </row>
    <row r="736" spans="1:26" ht="19.95" customHeight="1" x14ac:dyDescent="0.3">
      <c r="A736" s="6">
        <v>45715</v>
      </c>
      <c r="B736" s="7" t="s">
        <v>916</v>
      </c>
      <c r="C736" s="8" t="s">
        <v>1782</v>
      </c>
      <c r="D736" s="8" t="s">
        <v>269</v>
      </c>
      <c r="E736" s="8" t="s">
        <v>1778</v>
      </c>
      <c r="F736" s="8" t="s">
        <v>1786</v>
      </c>
      <c r="G736" s="9" t="s">
        <v>1784</v>
      </c>
      <c r="H736" s="9" t="s">
        <v>1787</v>
      </c>
      <c r="I736" s="9" t="s">
        <v>70</v>
      </c>
      <c r="J736" s="10" t="s">
        <v>17</v>
      </c>
      <c r="K736" s="15" t="str">
        <f>VLOOKUP(J736,DADOS!$A$3:$B$101,2,FALSE)</f>
        <v>EE-GI-001-001</v>
      </c>
      <c r="L736" s="15" t="s">
        <v>260</v>
      </c>
      <c r="M736" s="18" t="b">
        <v>1</v>
      </c>
      <c r="N736" s="17" t="b">
        <v>1</v>
      </c>
      <c r="O736" s="17" t="b">
        <v>1</v>
      </c>
      <c r="P736" s="17" t="b">
        <v>1</v>
      </c>
      <c r="Q736" s="17" t="b">
        <v>0</v>
      </c>
      <c r="R736" s="17" t="b">
        <v>0</v>
      </c>
      <c r="S736" s="17" t="b">
        <v>0</v>
      </c>
      <c r="T736" s="17" t="b">
        <v>1</v>
      </c>
      <c r="U736" s="17" t="b">
        <v>1</v>
      </c>
      <c r="V736" s="17" t="b">
        <v>1</v>
      </c>
      <c r="W736" s="11" t="s">
        <v>269</v>
      </c>
      <c r="X736" s="12" t="s">
        <v>14</v>
      </c>
      <c r="Y736" s="12" t="s">
        <v>14</v>
      </c>
      <c r="Z736" s="13" t="s">
        <v>355</v>
      </c>
    </row>
    <row r="737" spans="1:26" ht="19.95" customHeight="1" x14ac:dyDescent="0.3">
      <c r="A737" s="6">
        <v>45715</v>
      </c>
      <c r="B737" s="7" t="s">
        <v>916</v>
      </c>
      <c r="C737" s="8" t="s">
        <v>2640</v>
      </c>
      <c r="D737" s="8" t="s">
        <v>693</v>
      </c>
      <c r="E737" s="8" t="s">
        <v>1770</v>
      </c>
      <c r="F737" s="8" t="s">
        <v>2641</v>
      </c>
      <c r="G737" s="9" t="s">
        <v>2642</v>
      </c>
      <c r="H737" s="9" t="s">
        <v>2643</v>
      </c>
      <c r="I737" s="9" t="s">
        <v>70</v>
      </c>
      <c r="J737" s="10" t="s">
        <v>17</v>
      </c>
      <c r="K737" s="15" t="str">
        <f>VLOOKUP(J737,DADOS!$A$3:$B$101,2,FALSE)</f>
        <v>EE-GI-001-001</v>
      </c>
      <c r="L737" s="15" t="s">
        <v>260</v>
      </c>
      <c r="M737" s="18" t="b">
        <v>1</v>
      </c>
      <c r="N737" s="17" t="b">
        <v>1</v>
      </c>
      <c r="O737" s="17" t="b">
        <v>1</v>
      </c>
      <c r="P737" s="17" t="b">
        <v>1</v>
      </c>
      <c r="Q737" s="17" t="b">
        <v>0</v>
      </c>
      <c r="R737" s="17" t="b">
        <v>0</v>
      </c>
      <c r="S737" s="17" t="b">
        <v>0</v>
      </c>
      <c r="T737" s="17" t="b">
        <v>1</v>
      </c>
      <c r="U737" s="17" t="b">
        <v>1</v>
      </c>
      <c r="V737" s="17" t="b">
        <v>1</v>
      </c>
      <c r="W737" s="11" t="s">
        <v>693</v>
      </c>
      <c r="X737" s="12" t="s">
        <v>14</v>
      </c>
      <c r="Y737" s="12" t="s">
        <v>14</v>
      </c>
      <c r="Z737" s="13" t="s">
        <v>2536</v>
      </c>
    </row>
    <row r="738" spans="1:26" ht="19.95" customHeight="1" x14ac:dyDescent="0.3">
      <c r="A738" s="6">
        <v>45715</v>
      </c>
      <c r="B738" s="7" t="s">
        <v>916</v>
      </c>
      <c r="C738" s="8" t="s">
        <v>2644</v>
      </c>
      <c r="D738" s="8" t="s">
        <v>269</v>
      </c>
      <c r="E738" s="8" t="s">
        <v>1778</v>
      </c>
      <c r="F738" s="8" t="s">
        <v>2645</v>
      </c>
      <c r="G738" s="9" t="s">
        <v>2646</v>
      </c>
      <c r="H738" s="9" t="s">
        <v>2647</v>
      </c>
      <c r="I738" s="9" t="s">
        <v>69</v>
      </c>
      <c r="J738" s="10" t="s">
        <v>17</v>
      </c>
      <c r="K738" s="15" t="str">
        <f>VLOOKUP(J738,DADOS!$A$3:$B$101,2,FALSE)</f>
        <v>EE-GI-001-001</v>
      </c>
      <c r="L738" s="15" t="s">
        <v>260</v>
      </c>
      <c r="M738" s="18" t="b">
        <v>1</v>
      </c>
      <c r="N738" s="17" t="b">
        <v>1</v>
      </c>
      <c r="O738" s="17" t="b">
        <v>1</v>
      </c>
      <c r="P738" s="17" t="b">
        <v>1</v>
      </c>
      <c r="Q738" s="17" t="b">
        <v>0</v>
      </c>
      <c r="R738" s="17" t="b">
        <v>0</v>
      </c>
      <c r="S738" s="17" t="b">
        <v>0</v>
      </c>
      <c r="T738" s="17" t="b">
        <v>1</v>
      </c>
      <c r="U738" s="17" t="b">
        <v>1</v>
      </c>
      <c r="V738" s="17" t="b">
        <v>1</v>
      </c>
      <c r="W738" s="11" t="s">
        <v>269</v>
      </c>
      <c r="X738" s="12" t="s">
        <v>14</v>
      </c>
      <c r="Y738" s="12" t="s">
        <v>14</v>
      </c>
      <c r="Z738" s="13" t="s">
        <v>2536</v>
      </c>
    </row>
    <row r="739" spans="1:26" ht="19.95" customHeight="1" x14ac:dyDescent="0.3">
      <c r="A739" s="6">
        <v>45715</v>
      </c>
      <c r="B739" s="7" t="s">
        <v>700</v>
      </c>
      <c r="C739" s="8" t="s">
        <v>2126</v>
      </c>
      <c r="D739" s="8" t="s">
        <v>281</v>
      </c>
      <c r="E739" s="8" t="s">
        <v>2127</v>
      </c>
      <c r="F739" s="8" t="s">
        <v>2128</v>
      </c>
      <c r="G739" s="9" t="s">
        <v>2129</v>
      </c>
      <c r="H739" s="9" t="s">
        <v>2130</v>
      </c>
      <c r="I739" s="9" t="s">
        <v>68</v>
      </c>
      <c r="J739" s="10" t="s">
        <v>17</v>
      </c>
      <c r="K739" s="15" t="str">
        <f>VLOOKUP(J739,DADOS!$A$3:$B$101,2,FALSE)</f>
        <v>EE-GI-001-001</v>
      </c>
      <c r="L739" s="15" t="s">
        <v>2131</v>
      </c>
      <c r="M739" s="18" t="b">
        <v>1</v>
      </c>
      <c r="N739" s="17" t="b">
        <v>1</v>
      </c>
      <c r="O739" s="17" t="b">
        <v>1</v>
      </c>
      <c r="P739" s="17" t="b">
        <v>1</v>
      </c>
      <c r="Q739" s="17" t="b">
        <v>0</v>
      </c>
      <c r="R739" s="17" t="b">
        <v>1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 t="s">
        <v>281</v>
      </c>
      <c r="X739" s="12" t="s">
        <v>14</v>
      </c>
      <c r="Y739" s="12" t="s">
        <v>14</v>
      </c>
      <c r="Z739" s="13" t="s">
        <v>355</v>
      </c>
    </row>
    <row r="740" spans="1:26" ht="19.95" customHeight="1" x14ac:dyDescent="0.3">
      <c r="A740" s="6">
        <v>45715</v>
      </c>
      <c r="B740" s="7" t="s">
        <v>700</v>
      </c>
      <c r="C740" s="8" t="s">
        <v>2132</v>
      </c>
      <c r="D740" s="8" t="s">
        <v>269</v>
      </c>
      <c r="E740" s="8" t="s">
        <v>2133</v>
      </c>
      <c r="F740" s="8" t="s">
        <v>2134</v>
      </c>
      <c r="G740" s="9" t="s">
        <v>2135</v>
      </c>
      <c r="H740" s="9" t="s">
        <v>2136</v>
      </c>
      <c r="I740" s="9" t="s">
        <v>69</v>
      </c>
      <c r="J740" s="10" t="s">
        <v>17</v>
      </c>
      <c r="K740" s="15" t="str">
        <f>VLOOKUP(J740,DADOS!$A$3:$B$101,2,FALSE)</f>
        <v>EE-GI-001-001</v>
      </c>
      <c r="L740" s="15" t="s">
        <v>2131</v>
      </c>
      <c r="M740" s="18" t="b">
        <v>1</v>
      </c>
      <c r="N740" s="17" t="b">
        <v>1</v>
      </c>
      <c r="O740" s="17" t="b">
        <v>1</v>
      </c>
      <c r="P740" s="17" t="b">
        <v>1</v>
      </c>
      <c r="Q740" s="17" t="b">
        <v>0</v>
      </c>
      <c r="R740" s="17" t="b">
        <v>1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 t="s">
        <v>269</v>
      </c>
      <c r="X740" s="12" t="s">
        <v>14</v>
      </c>
      <c r="Y740" s="12" t="s">
        <v>14</v>
      </c>
      <c r="Z740" s="13" t="s">
        <v>355</v>
      </c>
    </row>
    <row r="741" spans="1:26" ht="19.95" customHeight="1" x14ac:dyDescent="0.3">
      <c r="A741" s="6">
        <v>45715</v>
      </c>
      <c r="B741" s="7" t="s">
        <v>700</v>
      </c>
      <c r="C741" s="8" t="s">
        <v>2137</v>
      </c>
      <c r="D741" s="8" t="s">
        <v>434</v>
      </c>
      <c r="E741" s="8" t="s">
        <v>2138</v>
      </c>
      <c r="F741" s="8" t="s">
        <v>2139</v>
      </c>
      <c r="G741" s="9" t="s">
        <v>2140</v>
      </c>
      <c r="H741" s="9" t="s">
        <v>2141</v>
      </c>
      <c r="I741" s="9" t="s">
        <v>65</v>
      </c>
      <c r="J741" s="10" t="s">
        <v>16</v>
      </c>
      <c r="K741" s="15" t="str">
        <f>VLOOKUP(J741,DADOS!$A$3:$B$101,2,FALSE)</f>
        <v>EE-GI-001-003</v>
      </c>
      <c r="L741" s="15" t="s">
        <v>260</v>
      </c>
      <c r="M741" s="18" t="b">
        <v>1</v>
      </c>
      <c r="N741" s="17" t="b">
        <v>1</v>
      </c>
      <c r="O741" s="17" t="b">
        <v>1</v>
      </c>
      <c r="P741" s="17" t="b">
        <v>1</v>
      </c>
      <c r="Q741" s="17" t="b">
        <v>0</v>
      </c>
      <c r="R741" s="17" t="b">
        <v>1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 t="s">
        <v>434</v>
      </c>
      <c r="X741" s="12" t="s">
        <v>14</v>
      </c>
      <c r="Y741" s="12" t="s">
        <v>14</v>
      </c>
      <c r="Z741" s="13" t="s">
        <v>355</v>
      </c>
    </row>
    <row r="742" spans="1:26" ht="19.95" customHeight="1" x14ac:dyDescent="0.3">
      <c r="A742" s="6">
        <v>45715</v>
      </c>
      <c r="B742" s="7" t="s">
        <v>700</v>
      </c>
      <c r="C742" s="8" t="s">
        <v>2142</v>
      </c>
      <c r="D742" s="8" t="s">
        <v>281</v>
      </c>
      <c r="E742" s="8" t="s">
        <v>2133</v>
      </c>
      <c r="F742" s="8" t="s">
        <v>2143</v>
      </c>
      <c r="G742" s="9" t="s">
        <v>2144</v>
      </c>
      <c r="H742" s="9" t="s">
        <v>2145</v>
      </c>
      <c r="I742" s="9" t="s">
        <v>69</v>
      </c>
      <c r="J742" s="10" t="s">
        <v>15</v>
      </c>
      <c r="K742" s="15" t="str">
        <f>VLOOKUP(J742,DADOS!$A$3:$B$101,2,FALSE)</f>
        <v>EE-GI-001-002</v>
      </c>
      <c r="L742" s="15" t="s">
        <v>2146</v>
      </c>
      <c r="M742" s="18" t="b">
        <v>1</v>
      </c>
      <c r="N742" s="17" t="b">
        <v>1</v>
      </c>
      <c r="O742" s="17" t="b">
        <v>1</v>
      </c>
      <c r="P742" s="17" t="b">
        <v>1</v>
      </c>
      <c r="Q742" s="17" t="b">
        <v>0</v>
      </c>
      <c r="R742" s="17" t="b">
        <v>1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 t="s">
        <v>281</v>
      </c>
      <c r="X742" s="12" t="s">
        <v>14</v>
      </c>
      <c r="Y742" s="12" t="s">
        <v>14</v>
      </c>
      <c r="Z742" s="13" t="s">
        <v>355</v>
      </c>
    </row>
    <row r="743" spans="1:26" ht="19.95" customHeight="1" x14ac:dyDescent="0.3">
      <c r="A743" s="6">
        <v>45715</v>
      </c>
      <c r="B743" s="7" t="s">
        <v>700</v>
      </c>
      <c r="C743" s="8" t="s">
        <v>2142</v>
      </c>
      <c r="D743" s="8" t="s">
        <v>269</v>
      </c>
      <c r="E743" s="8" t="s">
        <v>2133</v>
      </c>
      <c r="F743" s="8" t="s">
        <v>2147</v>
      </c>
      <c r="G743" s="9" t="s">
        <v>2144</v>
      </c>
      <c r="H743" s="9" t="s">
        <v>2145</v>
      </c>
      <c r="I743" s="9" t="s">
        <v>69</v>
      </c>
      <c r="J743" s="10" t="s">
        <v>15</v>
      </c>
      <c r="K743" s="15" t="str">
        <f>VLOOKUP(J743,DADOS!$A$3:$B$101,2,FALSE)</f>
        <v>EE-GI-001-002</v>
      </c>
      <c r="L743" s="15" t="s">
        <v>2146</v>
      </c>
      <c r="M743" s="18" t="b">
        <v>1</v>
      </c>
      <c r="N743" s="17" t="b">
        <v>1</v>
      </c>
      <c r="O743" s="17" t="b">
        <v>1</v>
      </c>
      <c r="P743" s="17" t="b">
        <v>1</v>
      </c>
      <c r="Q743" s="17" t="b">
        <v>0</v>
      </c>
      <c r="R743" s="17" t="b">
        <v>1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 t="s">
        <v>269</v>
      </c>
      <c r="X743" s="12" t="s">
        <v>14</v>
      </c>
      <c r="Y743" s="12" t="s">
        <v>14</v>
      </c>
      <c r="Z743" s="13" t="s">
        <v>355</v>
      </c>
    </row>
    <row r="744" spans="1:26" ht="19.95" customHeight="1" x14ac:dyDescent="0.3">
      <c r="A744" s="6">
        <v>45715</v>
      </c>
      <c r="B744" s="7" t="s">
        <v>700</v>
      </c>
      <c r="C744" s="8" t="s">
        <v>719</v>
      </c>
      <c r="D744" s="8" t="s">
        <v>269</v>
      </c>
      <c r="E744" s="8" t="s">
        <v>2148</v>
      </c>
      <c r="F744" s="8" t="s">
        <v>2149</v>
      </c>
      <c r="G744" s="9" t="s">
        <v>722</v>
      </c>
      <c r="H744" s="9" t="s">
        <v>2150</v>
      </c>
      <c r="I744" s="9" t="s">
        <v>68</v>
      </c>
      <c r="J744" s="10" t="s">
        <v>15</v>
      </c>
      <c r="K744" s="15" t="str">
        <f>VLOOKUP(J744,DADOS!$A$3:$B$101,2,FALSE)</f>
        <v>EE-GI-001-002</v>
      </c>
      <c r="L744" s="15" t="s">
        <v>2146</v>
      </c>
      <c r="M744" s="18" t="b">
        <v>1</v>
      </c>
      <c r="N744" s="17" t="b">
        <v>1</v>
      </c>
      <c r="O744" s="17" t="b">
        <v>1</v>
      </c>
      <c r="P744" s="17" t="b">
        <v>1</v>
      </c>
      <c r="Q744" s="17" t="b">
        <v>0</v>
      </c>
      <c r="R744" s="17" t="b">
        <v>1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 t="s">
        <v>269</v>
      </c>
      <c r="X744" s="12" t="s">
        <v>14</v>
      </c>
      <c r="Y744" s="12" t="s">
        <v>14</v>
      </c>
      <c r="Z744" s="13" t="s">
        <v>355</v>
      </c>
    </row>
    <row r="745" spans="1:26" ht="19.95" customHeight="1" x14ac:dyDescent="0.3">
      <c r="A745" s="6">
        <v>45715</v>
      </c>
      <c r="B745" s="7" t="s">
        <v>700</v>
      </c>
      <c r="C745" s="8" t="s">
        <v>2151</v>
      </c>
      <c r="D745" s="8" t="s">
        <v>364</v>
      </c>
      <c r="E745" s="8" t="s">
        <v>2152</v>
      </c>
      <c r="F745" s="8" t="s">
        <v>2153</v>
      </c>
      <c r="G745" s="9" t="s">
        <v>722</v>
      </c>
      <c r="H745" s="9" t="s">
        <v>2154</v>
      </c>
      <c r="I745" s="9" t="s">
        <v>64</v>
      </c>
      <c r="J745" s="10" t="s">
        <v>15</v>
      </c>
      <c r="K745" s="15" t="str">
        <f>VLOOKUP(J745,DADOS!$A$3:$B$101,2,FALSE)</f>
        <v>EE-GI-001-002</v>
      </c>
      <c r="L745" s="15" t="s">
        <v>1955</v>
      </c>
      <c r="M745" s="18" t="b">
        <v>1</v>
      </c>
      <c r="N745" s="17" t="b">
        <v>1</v>
      </c>
      <c r="O745" s="17" t="b">
        <v>1</v>
      </c>
      <c r="P745" s="17" t="b">
        <v>1</v>
      </c>
      <c r="Q745" s="17" t="b">
        <v>0</v>
      </c>
      <c r="R745" s="17" t="b">
        <v>1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 t="s">
        <v>364</v>
      </c>
      <c r="X745" s="12" t="s">
        <v>14</v>
      </c>
      <c r="Y745" s="12" t="s">
        <v>14</v>
      </c>
      <c r="Z745" s="13" t="s">
        <v>355</v>
      </c>
    </row>
    <row r="746" spans="1:26" ht="19.95" customHeight="1" x14ac:dyDescent="0.3">
      <c r="A746" s="6">
        <v>45715</v>
      </c>
      <c r="B746" s="7" t="s">
        <v>529</v>
      </c>
      <c r="C746" s="8" t="s">
        <v>2245</v>
      </c>
      <c r="D746" s="8" t="s">
        <v>269</v>
      </c>
      <c r="E746" s="8" t="s">
        <v>2246</v>
      </c>
      <c r="F746" s="8" t="s">
        <v>2247</v>
      </c>
      <c r="G746" s="9" t="s">
        <v>2248</v>
      </c>
      <c r="H746" s="9" t="s">
        <v>2249</v>
      </c>
      <c r="I746" s="9" t="s">
        <v>64</v>
      </c>
      <c r="J746" s="10" t="s">
        <v>186</v>
      </c>
      <c r="K746" s="15" t="str">
        <f>VLOOKUP(J746,DADOS!$A$3:$B$101,2,FALSE)</f>
        <v>EE-GI-001-008</v>
      </c>
      <c r="L746" s="15" t="s">
        <v>1955</v>
      </c>
      <c r="M746" s="18" t="b">
        <v>1</v>
      </c>
      <c r="N746" s="17" t="b">
        <v>1</v>
      </c>
      <c r="O746" s="17" t="b">
        <v>1</v>
      </c>
      <c r="P746" s="17" t="b">
        <v>1</v>
      </c>
      <c r="Q746" s="17" t="b">
        <v>0</v>
      </c>
      <c r="R746" s="17" t="b">
        <v>1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 t="s">
        <v>269</v>
      </c>
      <c r="X746" s="12" t="s">
        <v>14</v>
      </c>
      <c r="Y746" s="12" t="s">
        <v>14</v>
      </c>
      <c r="Z746" s="13" t="s">
        <v>355</v>
      </c>
    </row>
    <row r="747" spans="1:26" ht="19.95" customHeight="1" x14ac:dyDescent="0.3">
      <c r="A747" s="6">
        <v>45715</v>
      </c>
      <c r="B747" s="7" t="s">
        <v>529</v>
      </c>
      <c r="C747" s="8" t="s">
        <v>2245</v>
      </c>
      <c r="D747" s="8" t="s">
        <v>269</v>
      </c>
      <c r="E747" s="8" t="s">
        <v>2246</v>
      </c>
      <c r="F747" s="8" t="s">
        <v>2250</v>
      </c>
      <c r="G747" s="9" t="s">
        <v>2248</v>
      </c>
      <c r="H747" s="9" t="s">
        <v>2249</v>
      </c>
      <c r="I747" s="9" t="s">
        <v>64</v>
      </c>
      <c r="J747" s="10" t="s">
        <v>186</v>
      </c>
      <c r="K747" s="15" t="str">
        <f>VLOOKUP(J747,DADOS!$A$3:$B$101,2,FALSE)</f>
        <v>EE-GI-001-008</v>
      </c>
      <c r="L747" s="15" t="s">
        <v>1955</v>
      </c>
      <c r="M747" s="18" t="b">
        <v>1</v>
      </c>
      <c r="N747" s="17" t="b">
        <v>1</v>
      </c>
      <c r="O747" s="17" t="b">
        <v>1</v>
      </c>
      <c r="P747" s="17" t="b">
        <v>1</v>
      </c>
      <c r="Q747" s="17" t="b">
        <v>0</v>
      </c>
      <c r="R747" s="17" t="b">
        <v>1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 t="s">
        <v>269</v>
      </c>
      <c r="X747" s="12" t="s">
        <v>14</v>
      </c>
      <c r="Y747" s="12" t="s">
        <v>14</v>
      </c>
      <c r="Z747" s="13" t="s">
        <v>355</v>
      </c>
    </row>
    <row r="748" spans="1:26" ht="19.95" customHeight="1" x14ac:dyDescent="0.3">
      <c r="A748" s="6">
        <v>45715</v>
      </c>
      <c r="B748" s="7" t="s">
        <v>529</v>
      </c>
      <c r="C748" s="8" t="s">
        <v>2251</v>
      </c>
      <c r="D748" s="8" t="s">
        <v>281</v>
      </c>
      <c r="E748" s="8" t="s">
        <v>2246</v>
      </c>
      <c r="F748" s="8" t="s">
        <v>2252</v>
      </c>
      <c r="G748" s="9" t="s">
        <v>2248</v>
      </c>
      <c r="H748" s="9" t="s">
        <v>2249</v>
      </c>
      <c r="I748" s="9" t="s">
        <v>64</v>
      </c>
      <c r="J748" s="10" t="s">
        <v>186</v>
      </c>
      <c r="K748" s="15" t="str">
        <f>VLOOKUP(J748,DADOS!$A$3:$B$101,2,FALSE)</f>
        <v>EE-GI-001-008</v>
      </c>
      <c r="L748" s="15" t="s">
        <v>1955</v>
      </c>
      <c r="M748" s="18" t="b">
        <v>1</v>
      </c>
      <c r="N748" s="17" t="b">
        <v>1</v>
      </c>
      <c r="O748" s="17" t="b">
        <v>1</v>
      </c>
      <c r="P748" s="17" t="b">
        <v>1</v>
      </c>
      <c r="Q748" s="17" t="b">
        <v>0</v>
      </c>
      <c r="R748" s="17" t="b">
        <v>1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 t="s">
        <v>281</v>
      </c>
      <c r="X748" s="12" t="s">
        <v>14</v>
      </c>
      <c r="Y748" s="12" t="s">
        <v>14</v>
      </c>
      <c r="Z748" s="13" t="s">
        <v>355</v>
      </c>
    </row>
    <row r="749" spans="1:26" ht="19.95" customHeight="1" x14ac:dyDescent="0.3">
      <c r="A749" s="6">
        <v>45715</v>
      </c>
      <c r="B749" s="7" t="s">
        <v>529</v>
      </c>
      <c r="C749" s="8" t="s">
        <v>2253</v>
      </c>
      <c r="D749" s="8" t="s">
        <v>269</v>
      </c>
      <c r="E749" s="8" t="s">
        <v>2246</v>
      </c>
      <c r="F749" s="8" t="s">
        <v>2254</v>
      </c>
      <c r="G749" s="9" t="s">
        <v>2248</v>
      </c>
      <c r="H749" s="9" t="s">
        <v>2255</v>
      </c>
      <c r="I749" s="9" t="s">
        <v>64</v>
      </c>
      <c r="J749" s="10" t="s">
        <v>186</v>
      </c>
      <c r="K749" s="15" t="str">
        <f>VLOOKUP(J749,DADOS!$A$3:$B$101,2,FALSE)</f>
        <v>EE-GI-001-008</v>
      </c>
      <c r="L749" s="15" t="s">
        <v>1955</v>
      </c>
      <c r="M749" s="18" t="b">
        <v>1</v>
      </c>
      <c r="N749" s="17" t="b">
        <v>1</v>
      </c>
      <c r="O749" s="17" t="b">
        <v>1</v>
      </c>
      <c r="P749" s="17" t="b">
        <v>1</v>
      </c>
      <c r="Q749" s="17" t="b">
        <v>0</v>
      </c>
      <c r="R749" s="17" t="b">
        <v>1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 t="s">
        <v>269</v>
      </c>
      <c r="X749" s="12" t="s">
        <v>14</v>
      </c>
      <c r="Y749" s="12" t="s">
        <v>14</v>
      </c>
      <c r="Z749" s="13" t="s">
        <v>355</v>
      </c>
    </row>
    <row r="750" spans="1:26" ht="19.95" customHeight="1" x14ac:dyDescent="0.3">
      <c r="A750" s="6">
        <v>45715</v>
      </c>
      <c r="B750" s="7" t="s">
        <v>529</v>
      </c>
      <c r="C750" s="8" t="s">
        <v>312</v>
      </c>
      <c r="D750" s="8" t="s">
        <v>269</v>
      </c>
      <c r="E750" s="8" t="s">
        <v>2246</v>
      </c>
      <c r="F750" s="8" t="s">
        <v>2256</v>
      </c>
      <c r="G750" s="9" t="s">
        <v>2248</v>
      </c>
      <c r="H750" s="9" t="s">
        <v>2255</v>
      </c>
      <c r="I750" s="9" t="s">
        <v>64</v>
      </c>
      <c r="J750" s="10" t="s">
        <v>186</v>
      </c>
      <c r="K750" s="15" t="str">
        <f>VLOOKUP(J750,DADOS!$A$3:$B$101,2,FALSE)</f>
        <v>EE-GI-001-008</v>
      </c>
      <c r="L750" s="15" t="s">
        <v>1955</v>
      </c>
      <c r="M750" s="18" t="b">
        <v>1</v>
      </c>
      <c r="N750" s="17" t="b">
        <v>1</v>
      </c>
      <c r="O750" s="17" t="b">
        <v>1</v>
      </c>
      <c r="P750" s="17" t="b">
        <v>1</v>
      </c>
      <c r="Q750" s="17" t="b">
        <v>0</v>
      </c>
      <c r="R750" s="17" t="b">
        <v>1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 t="s">
        <v>269</v>
      </c>
      <c r="X750" s="12" t="s">
        <v>14</v>
      </c>
      <c r="Y750" s="12" t="s">
        <v>14</v>
      </c>
      <c r="Z750" s="13" t="s">
        <v>355</v>
      </c>
    </row>
    <row r="751" spans="1:26" ht="19.95" customHeight="1" x14ac:dyDescent="0.3">
      <c r="A751" s="6">
        <v>45715</v>
      </c>
      <c r="B751" s="7" t="s">
        <v>529</v>
      </c>
      <c r="C751" s="8" t="s">
        <v>312</v>
      </c>
      <c r="D751" s="8" t="s">
        <v>269</v>
      </c>
      <c r="E751" s="8" t="s">
        <v>2246</v>
      </c>
      <c r="F751" s="8" t="s">
        <v>2257</v>
      </c>
      <c r="G751" s="9" t="s">
        <v>2248</v>
      </c>
      <c r="H751" s="9" t="s">
        <v>2255</v>
      </c>
      <c r="I751" s="9" t="s">
        <v>64</v>
      </c>
      <c r="J751" s="10" t="s">
        <v>186</v>
      </c>
      <c r="K751" s="15" t="str">
        <f>VLOOKUP(J751,DADOS!$A$3:$B$101,2,FALSE)</f>
        <v>EE-GI-001-008</v>
      </c>
      <c r="L751" s="15" t="s">
        <v>1955</v>
      </c>
      <c r="M751" s="18" t="b">
        <v>1</v>
      </c>
      <c r="N751" s="17" t="b">
        <v>1</v>
      </c>
      <c r="O751" s="17" t="b">
        <v>1</v>
      </c>
      <c r="P751" s="17" t="b">
        <v>1</v>
      </c>
      <c r="Q751" s="17" t="b">
        <v>0</v>
      </c>
      <c r="R751" s="17" t="b">
        <v>1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 t="s">
        <v>269</v>
      </c>
      <c r="X751" s="12" t="s">
        <v>14</v>
      </c>
      <c r="Y751" s="12" t="s">
        <v>14</v>
      </c>
      <c r="Z751" s="13" t="s">
        <v>355</v>
      </c>
    </row>
    <row r="752" spans="1:26" ht="19.95" customHeight="1" x14ac:dyDescent="0.3">
      <c r="A752" s="6">
        <v>45715</v>
      </c>
      <c r="B752" s="7" t="s">
        <v>529</v>
      </c>
      <c r="C752" s="8" t="s">
        <v>2258</v>
      </c>
      <c r="D752" s="8" t="s">
        <v>373</v>
      </c>
      <c r="E752" s="8" t="s">
        <v>2246</v>
      </c>
      <c r="F752" s="8" t="s">
        <v>2259</v>
      </c>
      <c r="G752" s="9" t="s">
        <v>2248</v>
      </c>
      <c r="H752" s="9" t="s">
        <v>2255</v>
      </c>
      <c r="I752" s="9" t="s">
        <v>70</v>
      </c>
      <c r="J752" s="10" t="s">
        <v>186</v>
      </c>
      <c r="K752" s="15" t="str">
        <f>VLOOKUP(J752,DADOS!$A$3:$B$101,2,FALSE)</f>
        <v>EE-GI-001-008</v>
      </c>
      <c r="L752" s="15" t="s">
        <v>1955</v>
      </c>
      <c r="M752" s="18" t="b">
        <v>1</v>
      </c>
      <c r="N752" s="17" t="b">
        <v>1</v>
      </c>
      <c r="O752" s="17" t="b">
        <v>1</v>
      </c>
      <c r="P752" s="17" t="b">
        <v>1</v>
      </c>
      <c r="Q752" s="17" t="b">
        <v>0</v>
      </c>
      <c r="R752" s="17" t="b">
        <v>1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 t="s">
        <v>373</v>
      </c>
      <c r="X752" s="12" t="s">
        <v>14</v>
      </c>
      <c r="Y752" s="12" t="s">
        <v>14</v>
      </c>
      <c r="Z752" s="13" t="s">
        <v>355</v>
      </c>
    </row>
    <row r="753" spans="1:26" ht="19.95" customHeight="1" x14ac:dyDescent="0.3">
      <c r="A753" s="6">
        <v>45715</v>
      </c>
      <c r="B753" s="7" t="s">
        <v>529</v>
      </c>
      <c r="C753" s="8" t="s">
        <v>2258</v>
      </c>
      <c r="D753" s="8" t="s">
        <v>269</v>
      </c>
      <c r="E753" s="8" t="s">
        <v>2246</v>
      </c>
      <c r="F753" s="8" t="s">
        <v>2260</v>
      </c>
      <c r="G753" s="9" t="s">
        <v>2248</v>
      </c>
      <c r="H753" s="9" t="s">
        <v>2255</v>
      </c>
      <c r="I753" s="9" t="s">
        <v>70</v>
      </c>
      <c r="J753" s="10" t="s">
        <v>186</v>
      </c>
      <c r="K753" s="15" t="str">
        <f>VLOOKUP(J753,DADOS!$A$3:$B$101,2,FALSE)</f>
        <v>EE-GI-001-008</v>
      </c>
      <c r="L753" s="15" t="s">
        <v>1955</v>
      </c>
      <c r="M753" s="18" t="b">
        <v>1</v>
      </c>
      <c r="N753" s="17" t="b">
        <v>1</v>
      </c>
      <c r="O753" s="17" t="b">
        <v>1</v>
      </c>
      <c r="P753" s="17" t="b">
        <v>1</v>
      </c>
      <c r="Q753" s="17" t="b">
        <v>0</v>
      </c>
      <c r="R753" s="17" t="b">
        <v>1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 t="s">
        <v>269</v>
      </c>
      <c r="X753" s="12" t="s">
        <v>14</v>
      </c>
      <c r="Y753" s="12" t="s">
        <v>14</v>
      </c>
      <c r="Z753" s="13" t="s">
        <v>355</v>
      </c>
    </row>
    <row r="754" spans="1:26" ht="19.95" customHeight="1" x14ac:dyDescent="0.3">
      <c r="A754" s="6">
        <v>45715</v>
      </c>
      <c r="B754" s="7" t="s">
        <v>529</v>
      </c>
      <c r="C754" s="8" t="s">
        <v>2261</v>
      </c>
      <c r="D754" s="8" t="s">
        <v>373</v>
      </c>
      <c r="E754" s="8" t="s">
        <v>2246</v>
      </c>
      <c r="F754" s="8" t="s">
        <v>2262</v>
      </c>
      <c r="G754" s="9" t="s">
        <v>533</v>
      </c>
      <c r="H754" s="9" t="s">
        <v>2263</v>
      </c>
      <c r="I754" s="9" t="s">
        <v>68</v>
      </c>
      <c r="J754" s="10" t="s">
        <v>15</v>
      </c>
      <c r="K754" s="15" t="str">
        <f>VLOOKUP(J754,DADOS!$A$3:$B$101,2,FALSE)</f>
        <v>EE-GI-001-002</v>
      </c>
      <c r="L754" s="15" t="s">
        <v>1955</v>
      </c>
      <c r="M754" s="18" t="b">
        <v>1</v>
      </c>
      <c r="N754" s="17" t="b">
        <v>1</v>
      </c>
      <c r="O754" s="17" t="b">
        <v>1</v>
      </c>
      <c r="P754" s="17" t="b">
        <v>1</v>
      </c>
      <c r="Q754" s="17" t="b">
        <v>0</v>
      </c>
      <c r="R754" s="17" t="b">
        <v>1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 t="s">
        <v>373</v>
      </c>
      <c r="X754" s="12" t="s">
        <v>14</v>
      </c>
      <c r="Y754" s="12" t="s">
        <v>14</v>
      </c>
      <c r="Z754" s="13" t="s">
        <v>355</v>
      </c>
    </row>
    <row r="755" spans="1:26" ht="19.95" customHeight="1" x14ac:dyDescent="0.3">
      <c r="A755" s="6">
        <v>45715</v>
      </c>
      <c r="B755" s="7" t="s">
        <v>529</v>
      </c>
      <c r="C755" s="8" t="s">
        <v>2264</v>
      </c>
      <c r="D755" s="8" t="s">
        <v>287</v>
      </c>
      <c r="E755" s="8" t="s">
        <v>2246</v>
      </c>
      <c r="F755" s="8" t="s">
        <v>2265</v>
      </c>
      <c r="G755" s="9" t="s">
        <v>533</v>
      </c>
      <c r="H755" s="9" t="s">
        <v>2263</v>
      </c>
      <c r="I755" s="9" t="s">
        <v>65</v>
      </c>
      <c r="J755" s="10" t="s">
        <v>15</v>
      </c>
      <c r="K755" s="15" t="str">
        <f>VLOOKUP(J755,DADOS!$A$3:$B$101,2,FALSE)</f>
        <v>EE-GI-001-002</v>
      </c>
      <c r="L755" s="15" t="s">
        <v>1955</v>
      </c>
      <c r="M755" s="18" t="b">
        <v>1</v>
      </c>
      <c r="N755" s="17" t="b">
        <v>1</v>
      </c>
      <c r="O755" s="17" t="b">
        <v>1</v>
      </c>
      <c r="P755" s="17" t="b">
        <v>1</v>
      </c>
      <c r="Q755" s="17" t="b">
        <v>0</v>
      </c>
      <c r="R755" s="17" t="b">
        <v>1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 t="s">
        <v>287</v>
      </c>
      <c r="X755" s="12" t="s">
        <v>14</v>
      </c>
      <c r="Y755" s="12" t="s">
        <v>14</v>
      </c>
      <c r="Z755" s="13" t="s">
        <v>355</v>
      </c>
    </row>
    <row r="756" spans="1:26" ht="19.95" customHeight="1" x14ac:dyDescent="0.3">
      <c r="A756" s="6">
        <v>45715</v>
      </c>
      <c r="B756" s="7" t="s">
        <v>529</v>
      </c>
      <c r="C756" s="8" t="s">
        <v>2266</v>
      </c>
      <c r="D756" s="8" t="s">
        <v>269</v>
      </c>
      <c r="E756" s="8" t="s">
        <v>2246</v>
      </c>
      <c r="F756" s="8" t="s">
        <v>2267</v>
      </c>
      <c r="G756" s="9" t="s">
        <v>2268</v>
      </c>
      <c r="H756" s="9" t="s">
        <v>2263</v>
      </c>
      <c r="I756" s="9" t="s">
        <v>69</v>
      </c>
      <c r="J756" s="10" t="s">
        <v>15</v>
      </c>
      <c r="K756" s="15" t="str">
        <f>VLOOKUP(J756,DADOS!$A$3:$B$101,2,FALSE)</f>
        <v>EE-GI-001-002</v>
      </c>
      <c r="L756" s="15" t="s">
        <v>1955</v>
      </c>
      <c r="M756" s="18" t="b">
        <v>1</v>
      </c>
      <c r="N756" s="17" t="b">
        <v>1</v>
      </c>
      <c r="O756" s="17" t="b">
        <v>1</v>
      </c>
      <c r="P756" s="17" t="b">
        <v>1</v>
      </c>
      <c r="Q756" s="17" t="b">
        <v>0</v>
      </c>
      <c r="R756" s="17" t="b">
        <v>1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 t="s">
        <v>269</v>
      </c>
      <c r="X756" s="12" t="s">
        <v>14</v>
      </c>
      <c r="Y756" s="12" t="s">
        <v>14</v>
      </c>
      <c r="Z756" s="13" t="s">
        <v>355</v>
      </c>
    </row>
    <row r="757" spans="1:26" ht="19.95" customHeight="1" x14ac:dyDescent="0.3">
      <c r="A757" s="6">
        <v>45715</v>
      </c>
      <c r="B757" s="7" t="s">
        <v>529</v>
      </c>
      <c r="C757" s="8" t="s">
        <v>2269</v>
      </c>
      <c r="D757" s="8" t="s">
        <v>269</v>
      </c>
      <c r="E757" s="8" t="s">
        <v>2246</v>
      </c>
      <c r="F757" s="8" t="s">
        <v>2270</v>
      </c>
      <c r="G757" s="9" t="s">
        <v>533</v>
      </c>
      <c r="H757" s="9" t="s">
        <v>2263</v>
      </c>
      <c r="I757" s="9" t="s">
        <v>65</v>
      </c>
      <c r="J757" s="10" t="s">
        <v>15</v>
      </c>
      <c r="K757" s="15" t="str">
        <f>VLOOKUP(J757,DADOS!$A$3:$B$101,2,FALSE)</f>
        <v>EE-GI-001-002</v>
      </c>
      <c r="L757" s="15" t="s">
        <v>1955</v>
      </c>
      <c r="M757" s="18" t="b">
        <v>1</v>
      </c>
      <c r="N757" s="17" t="b">
        <v>1</v>
      </c>
      <c r="O757" s="17" t="b">
        <v>1</v>
      </c>
      <c r="P757" s="17" t="b">
        <v>1</v>
      </c>
      <c r="Q757" s="17" t="b">
        <v>0</v>
      </c>
      <c r="R757" s="17" t="b">
        <v>1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 t="s">
        <v>269</v>
      </c>
      <c r="X757" s="12" t="s">
        <v>14</v>
      </c>
      <c r="Y757" s="12" t="s">
        <v>14</v>
      </c>
      <c r="Z757" s="13" t="s">
        <v>355</v>
      </c>
    </row>
    <row r="758" spans="1:26" ht="19.95" customHeight="1" x14ac:dyDescent="0.3">
      <c r="A758" s="6">
        <v>45715</v>
      </c>
      <c r="B758" s="7" t="s">
        <v>529</v>
      </c>
      <c r="C758" s="8" t="s">
        <v>2261</v>
      </c>
      <c r="D758" s="8" t="s">
        <v>287</v>
      </c>
      <c r="E758" s="8" t="s">
        <v>2246</v>
      </c>
      <c r="F758" s="8" t="s">
        <v>1079</v>
      </c>
      <c r="G758" s="9" t="s">
        <v>533</v>
      </c>
      <c r="H758" s="9" t="s">
        <v>2271</v>
      </c>
      <c r="I758" s="9" t="s">
        <v>68</v>
      </c>
      <c r="J758" s="10" t="s">
        <v>15</v>
      </c>
      <c r="K758" s="15" t="str">
        <f>VLOOKUP(J758,DADOS!$A$3:$B$101,2,FALSE)</f>
        <v>EE-GI-001-002</v>
      </c>
      <c r="L758" s="15" t="s">
        <v>1955</v>
      </c>
      <c r="M758" s="18" t="b">
        <v>1</v>
      </c>
      <c r="N758" s="17" t="b">
        <v>1</v>
      </c>
      <c r="O758" s="17" t="b">
        <v>1</v>
      </c>
      <c r="P758" s="17" t="b">
        <v>1</v>
      </c>
      <c r="Q758" s="17" t="b">
        <v>0</v>
      </c>
      <c r="R758" s="17" t="b">
        <v>1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 t="s">
        <v>287</v>
      </c>
      <c r="X758" s="12" t="s">
        <v>14</v>
      </c>
      <c r="Y758" s="12" t="s">
        <v>14</v>
      </c>
      <c r="Z758" s="13" t="s">
        <v>355</v>
      </c>
    </row>
    <row r="759" spans="1:26" ht="19.95" customHeight="1" x14ac:dyDescent="0.3">
      <c r="A759" s="6">
        <v>45715</v>
      </c>
      <c r="B759" s="7" t="s">
        <v>529</v>
      </c>
      <c r="C759" s="8" t="s">
        <v>1085</v>
      </c>
      <c r="D759" s="8" t="s">
        <v>373</v>
      </c>
      <c r="E759" s="8" t="s">
        <v>2246</v>
      </c>
      <c r="F759" s="8" t="s">
        <v>2272</v>
      </c>
      <c r="G759" s="9" t="s">
        <v>1082</v>
      </c>
      <c r="H759" s="9" t="s">
        <v>2273</v>
      </c>
      <c r="I759" s="9" t="s">
        <v>65</v>
      </c>
      <c r="J759" s="10" t="s">
        <v>16</v>
      </c>
      <c r="K759" s="15" t="str">
        <f>VLOOKUP(J759,DADOS!$A$3:$B$101,2,FALSE)</f>
        <v>EE-GI-001-003</v>
      </c>
      <c r="L759" s="15" t="s">
        <v>1955</v>
      </c>
      <c r="M759" s="18" t="b">
        <v>1</v>
      </c>
      <c r="N759" s="17" t="b">
        <v>1</v>
      </c>
      <c r="O759" s="17" t="b">
        <v>1</v>
      </c>
      <c r="P759" s="17" t="b">
        <v>1</v>
      </c>
      <c r="Q759" s="17" t="b">
        <v>0</v>
      </c>
      <c r="R759" s="17" t="b">
        <v>1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 t="s">
        <v>373</v>
      </c>
      <c r="X759" s="12" t="s">
        <v>14</v>
      </c>
      <c r="Y759" s="12" t="s">
        <v>14</v>
      </c>
      <c r="Z759" s="13" t="s">
        <v>355</v>
      </c>
    </row>
    <row r="760" spans="1:26" ht="19.95" customHeight="1" x14ac:dyDescent="0.3">
      <c r="A760" s="6">
        <v>45715</v>
      </c>
      <c r="B760" s="7" t="s">
        <v>529</v>
      </c>
      <c r="C760" s="8" t="s">
        <v>1080</v>
      </c>
      <c r="D760" s="8" t="s">
        <v>281</v>
      </c>
      <c r="E760" s="8" t="s">
        <v>2246</v>
      </c>
      <c r="F760" s="8" t="s">
        <v>1081</v>
      </c>
      <c r="G760" s="9" t="s">
        <v>1082</v>
      </c>
      <c r="H760" s="9" t="s">
        <v>2273</v>
      </c>
      <c r="I760" s="9" t="s">
        <v>65</v>
      </c>
      <c r="J760" s="10" t="s">
        <v>16</v>
      </c>
      <c r="K760" s="15" t="str">
        <f>VLOOKUP(J760,DADOS!$A$3:$B$101,2,FALSE)</f>
        <v>EE-GI-001-003</v>
      </c>
      <c r="L760" s="15" t="s">
        <v>1955</v>
      </c>
      <c r="M760" s="18" t="b">
        <v>1</v>
      </c>
      <c r="N760" s="17" t="b">
        <v>1</v>
      </c>
      <c r="O760" s="17" t="b">
        <v>1</v>
      </c>
      <c r="P760" s="17" t="b">
        <v>1</v>
      </c>
      <c r="Q760" s="17" t="b">
        <v>0</v>
      </c>
      <c r="R760" s="17" t="b">
        <v>1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 t="s">
        <v>281</v>
      </c>
      <c r="X760" s="12" t="s">
        <v>14</v>
      </c>
      <c r="Y760" s="12" t="s">
        <v>14</v>
      </c>
      <c r="Z760" s="13" t="s">
        <v>355</v>
      </c>
    </row>
    <row r="761" spans="1:26" ht="19.95" customHeight="1" x14ac:dyDescent="0.3">
      <c r="A761" s="6">
        <v>45715</v>
      </c>
      <c r="B761" s="7" t="s">
        <v>529</v>
      </c>
      <c r="C761" s="8" t="s">
        <v>1080</v>
      </c>
      <c r="D761" s="8" t="s">
        <v>287</v>
      </c>
      <c r="E761" s="8" t="s">
        <v>2246</v>
      </c>
      <c r="F761" s="8" t="s">
        <v>2274</v>
      </c>
      <c r="G761" s="9" t="s">
        <v>1082</v>
      </c>
      <c r="H761" s="9" t="s">
        <v>2273</v>
      </c>
      <c r="I761" s="9" t="s">
        <v>65</v>
      </c>
      <c r="J761" s="10" t="s">
        <v>16</v>
      </c>
      <c r="K761" s="15" t="str">
        <f>VLOOKUP(J761,DADOS!$A$3:$B$101,2,FALSE)</f>
        <v>EE-GI-001-003</v>
      </c>
      <c r="L761" s="15" t="s">
        <v>1955</v>
      </c>
      <c r="M761" s="18" t="b">
        <v>1</v>
      </c>
      <c r="N761" s="17" t="b">
        <v>1</v>
      </c>
      <c r="O761" s="17" t="b">
        <v>1</v>
      </c>
      <c r="P761" s="17" t="b">
        <v>1</v>
      </c>
      <c r="Q761" s="17" t="b">
        <v>0</v>
      </c>
      <c r="R761" s="17" t="b">
        <v>1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 t="s">
        <v>287</v>
      </c>
      <c r="X761" s="12" t="s">
        <v>14</v>
      </c>
      <c r="Y761" s="12" t="s">
        <v>14</v>
      </c>
      <c r="Z761" s="13" t="s">
        <v>355</v>
      </c>
    </row>
    <row r="762" spans="1:26" ht="19.95" customHeight="1" x14ac:dyDescent="0.3">
      <c r="A762" s="6">
        <v>45715</v>
      </c>
      <c r="B762" s="7" t="s">
        <v>529</v>
      </c>
      <c r="C762" s="8" t="s">
        <v>2275</v>
      </c>
      <c r="D762" s="8" t="s">
        <v>281</v>
      </c>
      <c r="E762" s="8" t="s">
        <v>2246</v>
      </c>
      <c r="F762" s="8" t="s">
        <v>2276</v>
      </c>
      <c r="G762" s="9" t="s">
        <v>1082</v>
      </c>
      <c r="H762" s="9" t="s">
        <v>2277</v>
      </c>
      <c r="I762" s="9" t="s">
        <v>65</v>
      </c>
      <c r="J762" s="10" t="s">
        <v>16</v>
      </c>
      <c r="K762" s="15" t="str">
        <f>VLOOKUP(J762,DADOS!$A$3:$B$101,2,FALSE)</f>
        <v>EE-GI-001-003</v>
      </c>
      <c r="L762" s="15" t="s">
        <v>2096</v>
      </c>
      <c r="M762" s="18" t="b">
        <v>1</v>
      </c>
      <c r="N762" s="17" t="b">
        <v>1</v>
      </c>
      <c r="O762" s="17" t="b">
        <v>1</v>
      </c>
      <c r="P762" s="17" t="b">
        <v>1</v>
      </c>
      <c r="Q762" s="17" t="b">
        <v>0</v>
      </c>
      <c r="R762" s="17" t="b">
        <v>1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 t="s">
        <v>281</v>
      </c>
      <c r="X762" s="12" t="s">
        <v>14</v>
      </c>
      <c r="Y762" s="12" t="s">
        <v>14</v>
      </c>
      <c r="Z762" s="13" t="s">
        <v>355</v>
      </c>
    </row>
    <row r="763" spans="1:26" ht="19.95" customHeight="1" x14ac:dyDescent="0.3">
      <c r="A763" s="6">
        <v>45715</v>
      </c>
      <c r="B763" s="7" t="s">
        <v>529</v>
      </c>
      <c r="C763" s="8" t="s">
        <v>1085</v>
      </c>
      <c r="D763" s="8" t="s">
        <v>287</v>
      </c>
      <c r="E763" s="8" t="s">
        <v>2246</v>
      </c>
      <c r="F763" s="8" t="s">
        <v>1084</v>
      </c>
      <c r="G763" s="9" t="s">
        <v>1082</v>
      </c>
      <c r="H763" s="9" t="s">
        <v>2277</v>
      </c>
      <c r="I763" s="9" t="s">
        <v>65</v>
      </c>
      <c r="J763" s="10" t="s">
        <v>16</v>
      </c>
      <c r="K763" s="15" t="str">
        <f>VLOOKUP(J763,DADOS!$A$3:$B$101,2,FALSE)</f>
        <v>EE-GI-001-003</v>
      </c>
      <c r="L763" s="15" t="s">
        <v>1955</v>
      </c>
      <c r="M763" s="18" t="b">
        <v>1</v>
      </c>
      <c r="N763" s="17" t="b">
        <v>1</v>
      </c>
      <c r="O763" s="17" t="b">
        <v>1</v>
      </c>
      <c r="P763" s="17" t="b">
        <v>1</v>
      </c>
      <c r="Q763" s="17" t="b">
        <v>0</v>
      </c>
      <c r="R763" s="17" t="b">
        <v>1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 t="s">
        <v>287</v>
      </c>
      <c r="X763" s="12" t="s">
        <v>14</v>
      </c>
      <c r="Y763" s="12" t="s">
        <v>14</v>
      </c>
      <c r="Z763" s="13" t="s">
        <v>355</v>
      </c>
    </row>
    <row r="764" spans="1:26" ht="19.95" customHeight="1" x14ac:dyDescent="0.3">
      <c r="A764" s="6">
        <v>45715</v>
      </c>
      <c r="B764" s="7" t="s">
        <v>529</v>
      </c>
      <c r="C764" s="8" t="s">
        <v>2278</v>
      </c>
      <c r="D764" s="8" t="s">
        <v>364</v>
      </c>
      <c r="E764" s="8" t="s">
        <v>2246</v>
      </c>
      <c r="F764" s="8" t="s">
        <v>2279</v>
      </c>
      <c r="G764" s="9" t="s">
        <v>1064</v>
      </c>
      <c r="H764" s="9" t="s">
        <v>2280</v>
      </c>
      <c r="I764" s="9" t="s">
        <v>65</v>
      </c>
      <c r="J764" s="10" t="s">
        <v>17</v>
      </c>
      <c r="K764" s="15" t="str">
        <f>VLOOKUP(J764,DADOS!$A$3:$B$101,2,FALSE)</f>
        <v>EE-GI-001-001</v>
      </c>
      <c r="L764" s="15" t="s">
        <v>2096</v>
      </c>
      <c r="M764" s="18" t="b">
        <v>1</v>
      </c>
      <c r="N764" s="17" t="b">
        <v>1</v>
      </c>
      <c r="O764" s="17" t="b">
        <v>1</v>
      </c>
      <c r="P764" s="17" t="b">
        <v>1</v>
      </c>
      <c r="Q764" s="17" t="b">
        <v>0</v>
      </c>
      <c r="R764" s="17" t="b">
        <v>1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 t="s">
        <v>364</v>
      </c>
      <c r="X764" s="12" t="s">
        <v>14</v>
      </c>
      <c r="Y764" s="12" t="s">
        <v>14</v>
      </c>
      <c r="Z764" s="13" t="s">
        <v>355</v>
      </c>
    </row>
    <row r="765" spans="1:26" ht="19.95" customHeight="1" x14ac:dyDescent="0.3">
      <c r="A765" s="6">
        <v>45716</v>
      </c>
      <c r="B765" s="7" t="s">
        <v>629</v>
      </c>
      <c r="C765" s="8" t="s">
        <v>1166</v>
      </c>
      <c r="D765" s="8" t="s">
        <v>373</v>
      </c>
      <c r="E765" s="8" t="s">
        <v>1167</v>
      </c>
      <c r="F765" s="9" t="s">
        <v>1168</v>
      </c>
      <c r="G765" s="9" t="s">
        <v>367</v>
      </c>
      <c r="H765" s="9" t="s">
        <v>1169</v>
      </c>
      <c r="I765" s="9" t="s">
        <v>14</v>
      </c>
      <c r="J765" s="10" t="s">
        <v>14</v>
      </c>
      <c r="K765" s="15" t="e">
        <f>VLOOKUP(J765,DADOS!$A$3:$B$101,2,FALSE)</f>
        <v>#N/A</v>
      </c>
      <c r="L765" s="15" t="s">
        <v>303</v>
      </c>
      <c r="M765" s="18" t="b">
        <v>1</v>
      </c>
      <c r="N765" s="17" t="b">
        <v>1</v>
      </c>
      <c r="O765" s="17" t="b">
        <v>1</v>
      </c>
      <c r="P765" s="17" t="b">
        <v>1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1</v>
      </c>
      <c r="W765" s="11" t="s">
        <v>14</v>
      </c>
      <c r="X765" s="12" t="s">
        <v>373</v>
      </c>
      <c r="Y765" s="12" t="s">
        <v>1170</v>
      </c>
      <c r="Z765" s="12" t="s">
        <v>261</v>
      </c>
    </row>
    <row r="766" spans="1:26" ht="19.95" customHeight="1" x14ac:dyDescent="0.3">
      <c r="A766" s="6">
        <v>45716</v>
      </c>
      <c r="B766" s="7" t="s">
        <v>629</v>
      </c>
      <c r="C766" s="8" t="s">
        <v>1171</v>
      </c>
      <c r="D766" s="8" t="s">
        <v>364</v>
      </c>
      <c r="E766" s="8" t="s">
        <v>1167</v>
      </c>
      <c r="F766" s="9" t="s">
        <v>1172</v>
      </c>
      <c r="G766" s="9" t="s">
        <v>367</v>
      </c>
      <c r="H766" s="9" t="s">
        <v>1173</v>
      </c>
      <c r="I766" s="9" t="s">
        <v>14</v>
      </c>
      <c r="J766" s="10" t="s">
        <v>14</v>
      </c>
      <c r="K766" s="15" t="e">
        <f>VLOOKUP(J766,DADOS!$A$3:$B$101,2,FALSE)</f>
        <v>#N/A</v>
      </c>
      <c r="L766" s="15" t="s">
        <v>303</v>
      </c>
      <c r="M766" s="18" t="b">
        <v>1</v>
      </c>
      <c r="N766" s="17" t="b">
        <v>1</v>
      </c>
      <c r="O766" s="17" t="b">
        <v>1</v>
      </c>
      <c r="P766" s="17" t="b">
        <v>1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1</v>
      </c>
      <c r="W766" s="11" t="s">
        <v>364</v>
      </c>
      <c r="X766" s="12" t="s">
        <v>14</v>
      </c>
      <c r="Y766" s="12" t="s">
        <v>14</v>
      </c>
      <c r="Z766" s="13" t="s">
        <v>261</v>
      </c>
    </row>
    <row r="767" spans="1:26" ht="19.95" customHeight="1" x14ac:dyDescent="0.3">
      <c r="A767" s="6">
        <v>45716</v>
      </c>
      <c r="B767" s="7" t="s">
        <v>629</v>
      </c>
      <c r="C767" s="8" t="s">
        <v>1174</v>
      </c>
      <c r="D767" s="8" t="s">
        <v>281</v>
      </c>
      <c r="E767" s="8" t="s">
        <v>1175</v>
      </c>
      <c r="F767" s="9" t="s">
        <v>1176</v>
      </c>
      <c r="G767" s="9" t="s">
        <v>367</v>
      </c>
      <c r="H767" s="9" t="s">
        <v>1177</v>
      </c>
      <c r="I767" s="9" t="s">
        <v>14</v>
      </c>
      <c r="J767" s="10" t="s">
        <v>14</v>
      </c>
      <c r="K767" s="15" t="e">
        <f>VLOOKUP(J767,DADOS!$A$3:$B$101,2,FALSE)</f>
        <v>#N/A</v>
      </c>
      <c r="L767" s="15" t="s">
        <v>303</v>
      </c>
      <c r="M767" s="18" t="b">
        <v>1</v>
      </c>
      <c r="N767" s="17" t="b">
        <v>1</v>
      </c>
      <c r="O767" s="17" t="b">
        <v>1</v>
      </c>
      <c r="P767" s="17" t="b">
        <v>1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1</v>
      </c>
      <c r="W767" s="11" t="s">
        <v>281</v>
      </c>
      <c r="X767" s="12" t="s">
        <v>14</v>
      </c>
      <c r="Y767" s="12" t="s">
        <v>14</v>
      </c>
      <c r="Z767" s="13" t="s">
        <v>261</v>
      </c>
    </row>
    <row r="768" spans="1:26" ht="19.95" customHeight="1" x14ac:dyDescent="0.3">
      <c r="A768" s="6">
        <v>45716</v>
      </c>
      <c r="B768" s="7" t="s">
        <v>578</v>
      </c>
      <c r="C768" s="8" t="s">
        <v>1178</v>
      </c>
      <c r="D768" s="8" t="s">
        <v>1179</v>
      </c>
      <c r="E768" s="8" t="s">
        <v>1180</v>
      </c>
      <c r="F768" s="9" t="s">
        <v>1181</v>
      </c>
      <c r="G768" s="9" t="s">
        <v>1182</v>
      </c>
      <c r="H768" s="9" t="s">
        <v>1183</v>
      </c>
      <c r="I768" s="9" t="s">
        <v>66</v>
      </c>
      <c r="J768" s="10" t="s">
        <v>186</v>
      </c>
      <c r="K768" s="15" t="str">
        <f>VLOOKUP(J768,DADOS!$A$3:$B$101,2,FALSE)</f>
        <v>EE-GI-001-008</v>
      </c>
      <c r="L768" s="15" t="s">
        <v>303</v>
      </c>
      <c r="M768" s="18" t="b">
        <v>1</v>
      </c>
      <c r="N768" s="17" t="b">
        <v>1</v>
      </c>
      <c r="O768" s="17" t="b">
        <v>1</v>
      </c>
      <c r="P768" s="17" t="b">
        <v>1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1</v>
      </c>
      <c r="W768" s="11" t="s">
        <v>1179</v>
      </c>
      <c r="X768" s="12" t="s">
        <v>14</v>
      </c>
      <c r="Y768" s="12" t="s">
        <v>14</v>
      </c>
      <c r="Z768" s="13" t="s">
        <v>261</v>
      </c>
    </row>
    <row r="769" spans="1:26" ht="19.95" customHeight="1" x14ac:dyDescent="0.3">
      <c r="A769" s="6">
        <v>45716</v>
      </c>
      <c r="B769" s="7" t="s">
        <v>578</v>
      </c>
      <c r="C769" s="8" t="s">
        <v>618</v>
      </c>
      <c r="D769" s="8" t="s">
        <v>1184</v>
      </c>
      <c r="E769" s="8" t="s">
        <v>1180</v>
      </c>
      <c r="F769" s="9" t="s">
        <v>620</v>
      </c>
      <c r="G769" s="9" t="s">
        <v>621</v>
      </c>
      <c r="H769" s="9" t="s">
        <v>1185</v>
      </c>
      <c r="I769" s="9" t="s">
        <v>66</v>
      </c>
      <c r="J769" s="10" t="s">
        <v>186</v>
      </c>
      <c r="K769" s="15" t="str">
        <f>VLOOKUP(J769,DADOS!$A$3:$B$101,2,FALSE)</f>
        <v>EE-GI-001-008</v>
      </c>
      <c r="L769" s="15" t="s">
        <v>260</v>
      </c>
      <c r="M769" s="18" t="b">
        <v>1</v>
      </c>
      <c r="N769" s="17" t="b">
        <v>1</v>
      </c>
      <c r="O769" s="17" t="b">
        <v>1</v>
      </c>
      <c r="P769" s="17" t="b">
        <v>1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1</v>
      </c>
      <c r="W769" s="11" t="s">
        <v>1184</v>
      </c>
      <c r="X769" s="12" t="s">
        <v>14</v>
      </c>
      <c r="Y769" s="12" t="s">
        <v>14</v>
      </c>
      <c r="Z769" s="13" t="s">
        <v>261</v>
      </c>
    </row>
    <row r="770" spans="1:26" ht="19.95" customHeight="1" x14ac:dyDescent="0.3">
      <c r="A770" s="6">
        <v>45716</v>
      </c>
      <c r="B770" s="7" t="s">
        <v>748</v>
      </c>
      <c r="C770" s="8" t="s">
        <v>1218</v>
      </c>
      <c r="D770" s="8" t="s">
        <v>269</v>
      </c>
      <c r="E770" s="8" t="s">
        <v>1220</v>
      </c>
      <c r="F770" s="9" t="s">
        <v>1221</v>
      </c>
      <c r="G770" s="9" t="s">
        <v>1222</v>
      </c>
      <c r="H770" s="9" t="s">
        <v>1223</v>
      </c>
      <c r="I770" s="9" t="s">
        <v>66</v>
      </c>
      <c r="J770" s="10" t="s">
        <v>29</v>
      </c>
      <c r="K770" s="15" t="str">
        <f>VLOOKUP(J770,DADOS!$A$3:$B$101,2,FALSE)</f>
        <v>EE-GI-221-058</v>
      </c>
      <c r="L770" s="15" t="s">
        <v>754</v>
      </c>
      <c r="M770" s="18" t="b">
        <v>1</v>
      </c>
      <c r="N770" s="17" t="b">
        <v>1</v>
      </c>
      <c r="O770" s="17" t="b">
        <v>1</v>
      </c>
      <c r="P770" s="17" t="b">
        <v>1</v>
      </c>
      <c r="Q770" s="17" t="b">
        <v>1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 t="s">
        <v>269</v>
      </c>
      <c r="X770" s="12" t="s">
        <v>14</v>
      </c>
      <c r="Y770" s="12" t="s">
        <v>14</v>
      </c>
      <c r="Z770" s="13" t="s">
        <v>261</v>
      </c>
    </row>
    <row r="771" spans="1:26" ht="19.95" customHeight="1" x14ac:dyDescent="0.3">
      <c r="A771" s="6">
        <v>45716</v>
      </c>
      <c r="B771" s="7" t="s">
        <v>748</v>
      </c>
      <c r="C771" s="8" t="s">
        <v>1218</v>
      </c>
      <c r="D771" s="8" t="s">
        <v>269</v>
      </c>
      <c r="E771" s="8" t="s">
        <v>1219</v>
      </c>
      <c r="F771" s="9" t="s">
        <v>1221</v>
      </c>
      <c r="G771" s="9" t="s">
        <v>1222</v>
      </c>
      <c r="H771" s="9" t="s">
        <v>1224</v>
      </c>
      <c r="I771" s="9" t="s">
        <v>66</v>
      </c>
      <c r="J771" s="10" t="s">
        <v>29</v>
      </c>
      <c r="K771" s="15" t="str">
        <f>VLOOKUP(J771,DADOS!$A$3:$B$101,2,FALSE)</f>
        <v>EE-GI-221-058</v>
      </c>
      <c r="L771" s="15" t="s">
        <v>754</v>
      </c>
      <c r="M771" s="18" t="b">
        <v>1</v>
      </c>
      <c r="N771" s="17" t="b">
        <v>1</v>
      </c>
      <c r="O771" s="17" t="b">
        <v>1</v>
      </c>
      <c r="P771" s="17" t="b">
        <v>1</v>
      </c>
      <c r="Q771" s="17" t="b">
        <v>1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 t="s">
        <v>269</v>
      </c>
      <c r="X771" s="12" t="s">
        <v>14</v>
      </c>
      <c r="Y771" s="12" t="s">
        <v>14</v>
      </c>
      <c r="Z771" s="13" t="s">
        <v>261</v>
      </c>
    </row>
    <row r="772" spans="1:26" ht="19.95" customHeight="1" x14ac:dyDescent="0.3">
      <c r="A772" s="6">
        <v>45716</v>
      </c>
      <c r="B772" s="7" t="s">
        <v>748</v>
      </c>
      <c r="C772" s="8" t="s">
        <v>1940</v>
      </c>
      <c r="D772" s="8" t="s">
        <v>1941</v>
      </c>
      <c r="E772" s="8" t="s">
        <v>1220</v>
      </c>
      <c r="F772" s="40" t="s">
        <v>1942</v>
      </c>
      <c r="G772" s="40" t="s">
        <v>1943</v>
      </c>
      <c r="H772" s="40" t="s">
        <v>1944</v>
      </c>
      <c r="I772" s="9" t="s">
        <v>66</v>
      </c>
      <c r="J772" s="10" t="s">
        <v>19</v>
      </c>
      <c r="K772" s="15" t="str">
        <f>VLOOKUP(J772,DADOS!$A$3:$B$101,2,FALSE)</f>
        <v>EE-GI-221-033</v>
      </c>
      <c r="L772" s="15" t="s">
        <v>754</v>
      </c>
      <c r="M772" s="18" t="b">
        <v>1</v>
      </c>
      <c r="N772" s="17" t="b">
        <v>1</v>
      </c>
      <c r="O772" s="17" t="b">
        <v>1</v>
      </c>
      <c r="P772" s="17" t="b">
        <v>1</v>
      </c>
      <c r="Q772" s="17" t="b">
        <v>1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 t="s">
        <v>1941</v>
      </c>
      <c r="X772" s="12" t="s">
        <v>14</v>
      </c>
      <c r="Y772" s="12" t="s">
        <v>14</v>
      </c>
      <c r="Z772" s="13" t="s">
        <v>355</v>
      </c>
    </row>
    <row r="773" spans="1:26" ht="19.95" customHeight="1" x14ac:dyDescent="0.3">
      <c r="A773" s="6">
        <v>45716</v>
      </c>
      <c r="B773" s="7" t="s">
        <v>748</v>
      </c>
      <c r="C773" s="8" t="s">
        <v>1945</v>
      </c>
      <c r="D773" s="8" t="s">
        <v>458</v>
      </c>
      <c r="E773" s="8" t="s">
        <v>1220</v>
      </c>
      <c r="F773" s="40" t="s">
        <v>1946</v>
      </c>
      <c r="G773" s="40" t="s">
        <v>1826</v>
      </c>
      <c r="H773" s="40" t="s">
        <v>1947</v>
      </c>
      <c r="I773" s="9" t="s">
        <v>66</v>
      </c>
      <c r="J773" s="10" t="s">
        <v>21</v>
      </c>
      <c r="K773" s="15" t="str">
        <f>VLOOKUP(J773,DADOS!$A$3:$B$101,2,FALSE)</f>
        <v>EE-GI-221-064</v>
      </c>
      <c r="L773" s="15" t="s">
        <v>754</v>
      </c>
      <c r="M773" s="18" t="b">
        <v>1</v>
      </c>
      <c r="N773" s="17" t="b">
        <v>1</v>
      </c>
      <c r="O773" s="17" t="b">
        <v>1</v>
      </c>
      <c r="P773" s="17" t="b">
        <v>1</v>
      </c>
      <c r="Q773" s="17" t="b">
        <v>1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 t="s">
        <v>458</v>
      </c>
      <c r="X773" s="12" t="s">
        <v>14</v>
      </c>
      <c r="Y773" s="12" t="s">
        <v>14</v>
      </c>
      <c r="Z773" s="13" t="s">
        <v>355</v>
      </c>
    </row>
    <row r="774" spans="1:26" ht="19.95" customHeight="1" x14ac:dyDescent="0.3">
      <c r="A774" s="6">
        <v>45716</v>
      </c>
      <c r="B774" s="7" t="s">
        <v>748</v>
      </c>
      <c r="C774" s="8" t="s">
        <v>1247</v>
      </c>
      <c r="D774" s="8" t="s">
        <v>373</v>
      </c>
      <c r="E774" s="8" t="s">
        <v>1626</v>
      </c>
      <c r="F774" s="40" t="s">
        <v>1948</v>
      </c>
      <c r="G774" s="40" t="s">
        <v>1943</v>
      </c>
      <c r="H774" s="40" t="s">
        <v>1949</v>
      </c>
      <c r="I774" s="9" t="s">
        <v>66</v>
      </c>
      <c r="J774" s="10" t="s">
        <v>19</v>
      </c>
      <c r="K774" s="15" t="str">
        <f>VLOOKUP(J774,DADOS!$A$3:$B$101,2,FALSE)</f>
        <v>EE-GI-221-033</v>
      </c>
      <c r="L774" s="15" t="s">
        <v>754</v>
      </c>
      <c r="M774" s="18" t="b">
        <v>1</v>
      </c>
      <c r="N774" s="17" t="b">
        <v>1</v>
      </c>
      <c r="O774" s="17" t="b">
        <v>1</v>
      </c>
      <c r="P774" s="17" t="b">
        <v>1</v>
      </c>
      <c r="Q774" s="17" t="b">
        <v>1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 t="s">
        <v>373</v>
      </c>
      <c r="X774" s="12" t="s">
        <v>14</v>
      </c>
      <c r="Y774" s="12" t="s">
        <v>14</v>
      </c>
      <c r="Z774" s="13" t="s">
        <v>355</v>
      </c>
    </row>
    <row r="775" spans="1:26" ht="19.95" customHeight="1" x14ac:dyDescent="0.3">
      <c r="A775" s="6">
        <v>45716</v>
      </c>
      <c r="B775" s="7" t="s">
        <v>748</v>
      </c>
      <c r="C775" s="8" t="s">
        <v>1940</v>
      </c>
      <c r="D775" s="8" t="s">
        <v>1941</v>
      </c>
      <c r="E775" s="8" t="s">
        <v>1626</v>
      </c>
      <c r="F775" s="40" t="s">
        <v>1942</v>
      </c>
      <c r="G775" s="40" t="s">
        <v>1943</v>
      </c>
      <c r="H775" s="40" t="s">
        <v>1950</v>
      </c>
      <c r="I775" s="9" t="s">
        <v>66</v>
      </c>
      <c r="J775" s="10" t="s">
        <v>19</v>
      </c>
      <c r="K775" s="15" t="str">
        <f>VLOOKUP(J775,DADOS!$A$3:$B$101,2,FALSE)</f>
        <v>EE-GI-221-033</v>
      </c>
      <c r="L775" s="15" t="s">
        <v>754</v>
      </c>
      <c r="M775" s="18" t="b">
        <v>1</v>
      </c>
      <c r="N775" s="17" t="b">
        <v>1</v>
      </c>
      <c r="O775" s="17" t="b">
        <v>1</v>
      </c>
      <c r="P775" s="17" t="b">
        <v>1</v>
      </c>
      <c r="Q775" s="17" t="b">
        <v>1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 t="s">
        <v>1941</v>
      </c>
      <c r="X775" s="12" t="s">
        <v>14</v>
      </c>
      <c r="Y775" s="12" t="s">
        <v>14</v>
      </c>
      <c r="Z775" s="13" t="s">
        <v>355</v>
      </c>
    </row>
    <row r="776" spans="1:26" ht="19.95" customHeight="1" x14ac:dyDescent="0.3">
      <c r="A776" s="6">
        <v>45716</v>
      </c>
      <c r="B776" s="7" t="s">
        <v>832</v>
      </c>
      <c r="C776" s="8" t="s">
        <v>1235</v>
      </c>
      <c r="D776" s="8" t="s">
        <v>269</v>
      </c>
      <c r="E776" s="8" t="s">
        <v>1236</v>
      </c>
      <c r="F776" s="9" t="s">
        <v>1237</v>
      </c>
      <c r="G776" s="9" t="s">
        <v>1238</v>
      </c>
      <c r="H776" s="9" t="s">
        <v>1297</v>
      </c>
      <c r="I776" s="9" t="s">
        <v>69</v>
      </c>
      <c r="J776" s="10" t="s">
        <v>17</v>
      </c>
      <c r="K776" s="15" t="str">
        <f>VLOOKUP(J776,DADOS!$A$3:$B$101,2,FALSE)</f>
        <v>EE-GI-001-001</v>
      </c>
      <c r="L776" s="15" t="s">
        <v>260</v>
      </c>
      <c r="M776" s="18" t="b">
        <v>1</v>
      </c>
      <c r="N776" s="17" t="b">
        <v>1</v>
      </c>
      <c r="O776" s="17" t="b">
        <v>1</v>
      </c>
      <c r="P776" s="17" t="b">
        <v>1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 t="s">
        <v>269</v>
      </c>
      <c r="X776" s="12" t="s">
        <v>14</v>
      </c>
      <c r="Y776" s="12" t="s">
        <v>14</v>
      </c>
      <c r="Z776" s="13" t="s">
        <v>261</v>
      </c>
    </row>
    <row r="777" spans="1:26" ht="19.95" customHeight="1" x14ac:dyDescent="0.3">
      <c r="A777" s="6">
        <v>45716</v>
      </c>
      <c r="B777" s="7" t="s">
        <v>832</v>
      </c>
      <c r="C777" s="8" t="s">
        <v>833</v>
      </c>
      <c r="D777" s="8" t="s">
        <v>281</v>
      </c>
      <c r="E777" s="8" t="s">
        <v>1236</v>
      </c>
      <c r="F777" s="9" t="s">
        <v>1239</v>
      </c>
      <c r="G777" s="9" t="s">
        <v>1240</v>
      </c>
      <c r="H777" s="9" t="s">
        <v>1298</v>
      </c>
      <c r="I777" s="9" t="s">
        <v>69</v>
      </c>
      <c r="J777" s="10" t="s">
        <v>17</v>
      </c>
      <c r="K777" s="15" t="str">
        <f>VLOOKUP(J777,DADOS!$A$3:$B$101,2,FALSE)</f>
        <v>EE-GI-001-001</v>
      </c>
      <c r="L777" s="15" t="s">
        <v>303</v>
      </c>
      <c r="M777" s="18" t="b">
        <v>1</v>
      </c>
      <c r="N777" s="17" t="b">
        <v>1</v>
      </c>
      <c r="O777" s="17" t="b">
        <v>1</v>
      </c>
      <c r="P777" s="17" t="b">
        <v>1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 t="s">
        <v>281</v>
      </c>
      <c r="X777" s="12" t="s">
        <v>14</v>
      </c>
      <c r="Y777" s="12" t="s">
        <v>14</v>
      </c>
      <c r="Z777" s="13" t="s">
        <v>261</v>
      </c>
    </row>
    <row r="778" spans="1:26" ht="19.95" customHeight="1" x14ac:dyDescent="0.3">
      <c r="A778" s="6">
        <v>45716</v>
      </c>
      <c r="B778" s="7" t="s">
        <v>845</v>
      </c>
      <c r="C778" s="8" t="s">
        <v>1225</v>
      </c>
      <c r="D778" s="8" t="s">
        <v>281</v>
      </c>
      <c r="E778" s="8" t="s">
        <v>1288</v>
      </c>
      <c r="F778" s="9" t="s">
        <v>1289</v>
      </c>
      <c r="G778" s="9" t="s">
        <v>1290</v>
      </c>
      <c r="H778" s="9" t="s">
        <v>1291</v>
      </c>
      <c r="I778" s="9" t="s">
        <v>70</v>
      </c>
      <c r="J778" s="10" t="s">
        <v>17</v>
      </c>
      <c r="K778" s="15" t="str">
        <f>VLOOKUP(J778,DADOS!$A$3:$B$101,2,FALSE)</f>
        <v>EE-GI-001-001</v>
      </c>
      <c r="L778" s="15" t="s">
        <v>303</v>
      </c>
      <c r="M778" s="18" t="b">
        <v>1</v>
      </c>
      <c r="N778" s="17" t="b">
        <v>1</v>
      </c>
      <c r="O778" s="17" t="b">
        <v>1</v>
      </c>
      <c r="P778" s="17" t="b">
        <v>1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 t="s">
        <v>281</v>
      </c>
      <c r="X778" s="12" t="s">
        <v>14</v>
      </c>
      <c r="Y778" s="12" t="s">
        <v>14</v>
      </c>
      <c r="Z778" s="13" t="s">
        <v>261</v>
      </c>
    </row>
    <row r="779" spans="1:26" ht="19.95" customHeight="1" x14ac:dyDescent="0.3">
      <c r="A779" s="6">
        <v>45716</v>
      </c>
      <c r="B779" s="7" t="s">
        <v>757</v>
      </c>
      <c r="C779" s="8" t="s">
        <v>1313</v>
      </c>
      <c r="D779" s="8" t="s">
        <v>281</v>
      </c>
      <c r="E779" s="8" t="s">
        <v>1314</v>
      </c>
      <c r="F779" s="9" t="s">
        <v>1315</v>
      </c>
      <c r="G779" s="9" t="s">
        <v>1316</v>
      </c>
      <c r="H779" s="9" t="s">
        <v>1448</v>
      </c>
      <c r="I779" s="9" t="s">
        <v>64</v>
      </c>
      <c r="J779" s="10" t="s">
        <v>186</v>
      </c>
      <c r="K779" s="15" t="str">
        <f>VLOOKUP(J779,DADOS!$A$3:$B$101,2,FALSE)</f>
        <v>EE-GI-001-008</v>
      </c>
      <c r="L779" s="15" t="s">
        <v>323</v>
      </c>
      <c r="M779" s="18" t="b">
        <v>1</v>
      </c>
      <c r="N779" s="17" t="b">
        <v>1</v>
      </c>
      <c r="O779" s="17" t="b">
        <v>1</v>
      </c>
      <c r="P779" s="17" t="b">
        <v>1</v>
      </c>
      <c r="Q779" s="17" t="b">
        <v>0</v>
      </c>
      <c r="R779" s="17" t="b">
        <v>0</v>
      </c>
      <c r="S779" s="17" t="b">
        <v>0</v>
      </c>
      <c r="T779" s="17" t="b">
        <v>1</v>
      </c>
      <c r="U779" s="17" t="b">
        <v>1</v>
      </c>
      <c r="V779" s="17" t="b">
        <v>1</v>
      </c>
      <c r="W779" s="11" t="s">
        <v>281</v>
      </c>
      <c r="X779" s="12" t="s">
        <v>14</v>
      </c>
      <c r="Y779" s="12" t="s">
        <v>14</v>
      </c>
      <c r="Z779" s="13" t="s">
        <v>261</v>
      </c>
    </row>
    <row r="780" spans="1:26" ht="19.95" customHeight="1" x14ac:dyDescent="0.3">
      <c r="A780" s="6">
        <v>45716</v>
      </c>
      <c r="B780" s="7" t="s">
        <v>748</v>
      </c>
      <c r="C780" s="8" t="s">
        <v>1344</v>
      </c>
      <c r="D780" s="8" t="s">
        <v>268</v>
      </c>
      <c r="E780" s="8" t="s">
        <v>1220</v>
      </c>
      <c r="F780" s="9" t="s">
        <v>1345</v>
      </c>
      <c r="G780" s="9" t="s">
        <v>1347</v>
      </c>
      <c r="H780" s="9" t="s">
        <v>1348</v>
      </c>
      <c r="I780" s="9" t="s">
        <v>66</v>
      </c>
      <c r="J780" s="10" t="s">
        <v>60</v>
      </c>
      <c r="K780" s="15" t="str">
        <f>VLOOKUP(J780,DADOS!$A$3:$B$101,2,FALSE)</f>
        <v>EE-GI-221-038</v>
      </c>
      <c r="L780" s="15" t="s">
        <v>754</v>
      </c>
      <c r="M780" s="18" t="b">
        <v>1</v>
      </c>
      <c r="N780" s="17" t="b">
        <v>1</v>
      </c>
      <c r="O780" s="17" t="b">
        <v>1</v>
      </c>
      <c r="P780" s="17" t="b">
        <v>1</v>
      </c>
      <c r="Q780" s="17" t="b">
        <v>1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 t="s">
        <v>268</v>
      </c>
      <c r="X780" s="12" t="s">
        <v>14</v>
      </c>
      <c r="Y780" s="12" t="s">
        <v>14</v>
      </c>
      <c r="Z780" s="13" t="s">
        <v>261</v>
      </c>
    </row>
    <row r="781" spans="1:26" ht="19.95" customHeight="1" x14ac:dyDescent="0.3">
      <c r="A781" s="6">
        <v>45716</v>
      </c>
      <c r="B781" s="7" t="s">
        <v>748</v>
      </c>
      <c r="C781" s="8" t="s">
        <v>1344</v>
      </c>
      <c r="D781" s="8" t="s">
        <v>287</v>
      </c>
      <c r="E781" s="8" t="s">
        <v>1220</v>
      </c>
      <c r="F781" s="9" t="s">
        <v>1346</v>
      </c>
      <c r="G781" s="9" t="s">
        <v>1347</v>
      </c>
      <c r="H781" s="9" t="s">
        <v>1348</v>
      </c>
      <c r="I781" s="9" t="s">
        <v>66</v>
      </c>
      <c r="J781" s="10" t="s">
        <v>60</v>
      </c>
      <c r="K781" s="15" t="str">
        <f>VLOOKUP(J781,DADOS!$A$3:$B$101,2,FALSE)</f>
        <v>EE-GI-221-038</v>
      </c>
      <c r="L781" s="15" t="s">
        <v>754</v>
      </c>
      <c r="M781" s="18" t="b">
        <v>1</v>
      </c>
      <c r="N781" s="17" t="b">
        <v>1</v>
      </c>
      <c r="O781" s="17" t="b">
        <v>1</v>
      </c>
      <c r="P781" s="17" t="b">
        <v>1</v>
      </c>
      <c r="Q781" s="17" t="b">
        <v>1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 t="s">
        <v>287</v>
      </c>
      <c r="X781" s="12" t="s">
        <v>14</v>
      </c>
      <c r="Y781" s="12" t="s">
        <v>14</v>
      </c>
      <c r="Z781" s="13" t="s">
        <v>261</v>
      </c>
    </row>
    <row r="782" spans="1:26" ht="19.95" customHeight="1" x14ac:dyDescent="0.3">
      <c r="A782" s="6">
        <v>45716</v>
      </c>
      <c r="B782" s="7" t="s">
        <v>748</v>
      </c>
      <c r="C782" s="8" t="s">
        <v>1620</v>
      </c>
      <c r="D782" s="8" t="s">
        <v>364</v>
      </c>
      <c r="E782" s="8" t="s">
        <v>1621</v>
      </c>
      <c r="F782" s="9" t="s">
        <v>1622</v>
      </c>
      <c r="G782" s="9" t="s">
        <v>1623</v>
      </c>
      <c r="H782" s="9" t="s">
        <v>1624</v>
      </c>
      <c r="I782" s="9" t="s">
        <v>68</v>
      </c>
      <c r="J782" s="10" t="s">
        <v>241</v>
      </c>
      <c r="K782" s="15" t="str">
        <f>VLOOKUP(J782,DADOS!$A$3:$B$101,2,FALSE)</f>
        <v>EE-GI-221-048</v>
      </c>
      <c r="L782" s="15" t="s">
        <v>754</v>
      </c>
      <c r="M782" s="18" t="b">
        <v>1</v>
      </c>
      <c r="N782" s="17" t="b">
        <v>1</v>
      </c>
      <c r="O782" s="17" t="b">
        <v>1</v>
      </c>
      <c r="P782" s="17" t="b">
        <v>1</v>
      </c>
      <c r="Q782" s="17" t="b">
        <v>1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 t="s">
        <v>364</v>
      </c>
      <c r="X782" s="12" t="s">
        <v>14</v>
      </c>
      <c r="Y782" s="12" t="s">
        <v>14</v>
      </c>
      <c r="Z782" s="13" t="s">
        <v>355</v>
      </c>
    </row>
    <row r="783" spans="1:26" ht="19.95" customHeight="1" x14ac:dyDescent="0.3">
      <c r="A783" s="6">
        <v>45716</v>
      </c>
      <c r="B783" s="7" t="s">
        <v>748</v>
      </c>
      <c r="C783" s="8" t="s">
        <v>1625</v>
      </c>
      <c r="D783" s="8" t="s">
        <v>269</v>
      </c>
      <c r="E783" s="8" t="s">
        <v>1626</v>
      </c>
      <c r="F783" s="9" t="s">
        <v>1627</v>
      </c>
      <c r="G783" s="9" t="s">
        <v>1628</v>
      </c>
      <c r="H783" s="9" t="s">
        <v>1629</v>
      </c>
      <c r="I783" s="9" t="s">
        <v>68</v>
      </c>
      <c r="J783" s="10" t="s">
        <v>26</v>
      </c>
      <c r="K783" s="15" t="str">
        <f>VLOOKUP(J783,DADOS!$A$3:$B$101,2,FALSE)</f>
        <v>EE-GI-221-039</v>
      </c>
      <c r="L783" s="15" t="s">
        <v>754</v>
      </c>
      <c r="M783" s="18" t="b">
        <v>1</v>
      </c>
      <c r="N783" s="17" t="b">
        <v>1</v>
      </c>
      <c r="O783" s="17" t="b">
        <v>1</v>
      </c>
      <c r="P783" s="17" t="b">
        <v>1</v>
      </c>
      <c r="Q783" s="17" t="b">
        <v>1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 t="s">
        <v>269</v>
      </c>
      <c r="X783" s="12" t="s">
        <v>14</v>
      </c>
      <c r="Y783" s="12" t="s">
        <v>14</v>
      </c>
      <c r="Z783" s="13" t="s">
        <v>355</v>
      </c>
    </row>
    <row r="784" spans="1:26" ht="19.95" customHeight="1" x14ac:dyDescent="0.3">
      <c r="A784" s="6">
        <v>45716</v>
      </c>
      <c r="B784" s="7" t="s">
        <v>748</v>
      </c>
      <c r="C784" s="8" t="s">
        <v>1344</v>
      </c>
      <c r="D784" s="8" t="s">
        <v>1248</v>
      </c>
      <c r="E784" s="8" t="s">
        <v>1890</v>
      </c>
      <c r="F784" s="9" t="s">
        <v>1346</v>
      </c>
      <c r="G784" s="9" t="s">
        <v>1347</v>
      </c>
      <c r="H784" s="9" t="s">
        <v>1891</v>
      </c>
      <c r="I784" s="9" t="s">
        <v>66</v>
      </c>
      <c r="J784" s="10" t="s">
        <v>60</v>
      </c>
      <c r="K784" s="15" t="str">
        <f>VLOOKUP(J784,DADOS!$A$3:$B$101,2,FALSE)</f>
        <v>EE-GI-221-038</v>
      </c>
      <c r="L784" s="15" t="s">
        <v>754</v>
      </c>
      <c r="M784" s="18" t="b">
        <v>1</v>
      </c>
      <c r="N784" s="17" t="b">
        <v>1</v>
      </c>
      <c r="O784" s="17" t="b">
        <v>1</v>
      </c>
      <c r="P784" s="17" t="b">
        <v>1</v>
      </c>
      <c r="Q784" s="17" t="b">
        <v>1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 t="s">
        <v>1248</v>
      </c>
      <c r="X784" s="12" t="s">
        <v>14</v>
      </c>
      <c r="Y784" s="12" t="s">
        <v>14</v>
      </c>
      <c r="Z784" s="13" t="s">
        <v>355</v>
      </c>
    </row>
    <row r="785" spans="1:26" ht="19.95" customHeight="1" x14ac:dyDescent="0.3">
      <c r="A785" s="6">
        <v>45716</v>
      </c>
      <c r="B785" s="7" t="s">
        <v>748</v>
      </c>
      <c r="C785" s="8" t="s">
        <v>1892</v>
      </c>
      <c r="D785" s="8" t="s">
        <v>971</v>
      </c>
      <c r="E785" s="8" t="s">
        <v>1621</v>
      </c>
      <c r="F785" s="9" t="s">
        <v>1893</v>
      </c>
      <c r="G785" s="9" t="s">
        <v>1894</v>
      </c>
      <c r="H785" s="9" t="s">
        <v>1895</v>
      </c>
      <c r="I785" s="9" t="s">
        <v>68</v>
      </c>
      <c r="J785" s="10" t="s">
        <v>233</v>
      </c>
      <c r="K785" s="15" t="str">
        <f>VLOOKUP(J785,DADOS!$A$3:$B$101,2,FALSE)</f>
        <v>EE-GI-221-031</v>
      </c>
      <c r="L785" s="15" t="s">
        <v>754</v>
      </c>
      <c r="M785" s="18" t="b">
        <v>1</v>
      </c>
      <c r="N785" s="17" t="b">
        <v>1</v>
      </c>
      <c r="O785" s="17" t="b">
        <v>1</v>
      </c>
      <c r="P785" s="17" t="b">
        <v>1</v>
      </c>
      <c r="Q785" s="17" t="b">
        <v>1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 t="s">
        <v>971</v>
      </c>
      <c r="X785" s="12" t="s">
        <v>14</v>
      </c>
      <c r="Y785" s="12" t="s">
        <v>14</v>
      </c>
      <c r="Z785" s="13" t="s">
        <v>355</v>
      </c>
    </row>
    <row r="786" spans="1:26" ht="19.95" customHeight="1" x14ac:dyDescent="0.3">
      <c r="A786" s="6">
        <v>45716</v>
      </c>
      <c r="B786" s="7" t="s">
        <v>1087</v>
      </c>
      <c r="C786" s="8" t="s">
        <v>1247</v>
      </c>
      <c r="D786" s="8" t="s">
        <v>1427</v>
      </c>
      <c r="E786" s="8" t="s">
        <v>1642</v>
      </c>
      <c r="F786" s="9" t="s">
        <v>1631</v>
      </c>
      <c r="G786" s="9" t="s">
        <v>1643</v>
      </c>
      <c r="H786" s="9" t="s">
        <v>1705</v>
      </c>
      <c r="I786" s="9" t="s">
        <v>66</v>
      </c>
      <c r="J786" s="10" t="s">
        <v>19</v>
      </c>
      <c r="K786" s="15" t="str">
        <f>VLOOKUP(J786,DADOS!$A$3:$B$101,2,FALSE)</f>
        <v>EE-GI-221-033</v>
      </c>
      <c r="L786" s="15" t="s">
        <v>754</v>
      </c>
      <c r="M786" s="18" t="b">
        <v>1</v>
      </c>
      <c r="N786" s="17" t="b">
        <v>1</v>
      </c>
      <c r="O786" s="17" t="b">
        <v>1</v>
      </c>
      <c r="P786" s="17" t="b">
        <v>1</v>
      </c>
      <c r="Q786" s="17" t="b">
        <v>1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 t="s">
        <v>1427</v>
      </c>
      <c r="X786" s="12" t="s">
        <v>14</v>
      </c>
      <c r="Y786" s="12" t="s">
        <v>14</v>
      </c>
      <c r="Z786" s="13" t="s">
        <v>355</v>
      </c>
    </row>
    <row r="787" spans="1:26" ht="19.95" customHeight="1" x14ac:dyDescent="0.3">
      <c r="A787" s="6">
        <v>45716</v>
      </c>
      <c r="B787" s="7" t="s">
        <v>1087</v>
      </c>
      <c r="C787" s="8" t="s">
        <v>1100</v>
      </c>
      <c r="D787" s="8" t="s">
        <v>1644</v>
      </c>
      <c r="E787" s="8" t="s">
        <v>1642</v>
      </c>
      <c r="F787" s="9" t="s">
        <v>1102</v>
      </c>
      <c r="G787" s="9" t="s">
        <v>1645</v>
      </c>
      <c r="H787" s="9" t="s">
        <v>1704</v>
      </c>
      <c r="I787" s="9" t="s">
        <v>66</v>
      </c>
      <c r="J787" s="10" t="s">
        <v>241</v>
      </c>
      <c r="K787" s="15" t="str">
        <f>VLOOKUP(J787,DADOS!$A$3:$B$101,2,FALSE)</f>
        <v>EE-GI-221-048</v>
      </c>
      <c r="L787" s="15" t="s">
        <v>754</v>
      </c>
      <c r="M787" s="18" t="b">
        <v>1</v>
      </c>
      <c r="N787" s="17" t="b">
        <v>1</v>
      </c>
      <c r="O787" s="17" t="b">
        <v>1</v>
      </c>
      <c r="P787" s="17" t="b">
        <v>1</v>
      </c>
      <c r="Q787" s="17" t="b">
        <v>1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 t="s">
        <v>1644</v>
      </c>
      <c r="X787" s="12" t="s">
        <v>14</v>
      </c>
      <c r="Y787" s="12" t="s">
        <v>14</v>
      </c>
      <c r="Z787" s="13" t="s">
        <v>355</v>
      </c>
    </row>
    <row r="788" spans="1:26" ht="19.95" customHeight="1" x14ac:dyDescent="0.3">
      <c r="A788" s="6">
        <v>45716</v>
      </c>
      <c r="B788" s="7" t="s">
        <v>1087</v>
      </c>
      <c r="C788" s="8" t="s">
        <v>1648</v>
      </c>
      <c r="D788" s="8" t="s">
        <v>971</v>
      </c>
      <c r="E788" s="8" t="s">
        <v>1642</v>
      </c>
      <c r="F788" s="9" t="s">
        <v>1649</v>
      </c>
      <c r="G788" s="9" t="s">
        <v>1645</v>
      </c>
      <c r="H788" s="9" t="s">
        <v>1702</v>
      </c>
      <c r="I788" s="9" t="s">
        <v>66</v>
      </c>
      <c r="J788" s="10" t="s">
        <v>241</v>
      </c>
      <c r="K788" s="15" t="str">
        <f>VLOOKUP(J788,DADOS!$A$3:$B$101,2,FALSE)</f>
        <v>EE-GI-221-048</v>
      </c>
      <c r="L788" s="15" t="s">
        <v>754</v>
      </c>
      <c r="M788" s="18" t="b">
        <v>1</v>
      </c>
      <c r="N788" s="17" t="b">
        <v>1</v>
      </c>
      <c r="O788" s="17" t="b">
        <v>1</v>
      </c>
      <c r="P788" s="17" t="b">
        <v>1</v>
      </c>
      <c r="Q788" s="17" t="b">
        <v>1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 t="s">
        <v>971</v>
      </c>
      <c r="X788" s="12" t="s">
        <v>14</v>
      </c>
      <c r="Y788" s="12" t="s">
        <v>14</v>
      </c>
      <c r="Z788" s="13" t="s">
        <v>355</v>
      </c>
    </row>
    <row r="789" spans="1:26" ht="19.95" customHeight="1" x14ac:dyDescent="0.3">
      <c r="A789" s="6">
        <v>45716</v>
      </c>
      <c r="B789" s="7" t="s">
        <v>1087</v>
      </c>
      <c r="C789" s="8" t="s">
        <v>1650</v>
      </c>
      <c r="D789" s="8" t="s">
        <v>269</v>
      </c>
      <c r="E789" s="8" t="s">
        <v>1642</v>
      </c>
      <c r="F789" s="9" t="s">
        <v>1651</v>
      </c>
      <c r="G789" s="9" t="s">
        <v>1652</v>
      </c>
      <c r="H789" s="9" t="s">
        <v>1703</v>
      </c>
      <c r="I789" s="9" t="s">
        <v>66</v>
      </c>
      <c r="J789" s="10" t="s">
        <v>60</v>
      </c>
      <c r="K789" s="15" t="str">
        <f>VLOOKUP(J789,DADOS!$A$3:$B$101,2,FALSE)</f>
        <v>EE-GI-221-038</v>
      </c>
      <c r="L789" s="15" t="s">
        <v>754</v>
      </c>
      <c r="M789" s="18" t="b">
        <v>1</v>
      </c>
      <c r="N789" s="17" t="b">
        <v>1</v>
      </c>
      <c r="O789" s="17" t="b">
        <v>1</v>
      </c>
      <c r="P789" s="17" t="b">
        <v>1</v>
      </c>
      <c r="Q789" s="17" t="b">
        <v>1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 t="s">
        <v>281</v>
      </c>
      <c r="X789" s="12" t="s">
        <v>14</v>
      </c>
      <c r="Y789" s="12" t="s">
        <v>14</v>
      </c>
      <c r="Z789" s="13" t="s">
        <v>355</v>
      </c>
    </row>
    <row r="790" spans="1:26" ht="19.95" customHeight="1" x14ac:dyDescent="0.3">
      <c r="A790" s="6">
        <v>45716</v>
      </c>
      <c r="B790" s="7" t="s">
        <v>1087</v>
      </c>
      <c r="C790" s="8" t="s">
        <v>1650</v>
      </c>
      <c r="D790" s="8" t="s">
        <v>287</v>
      </c>
      <c r="E790" s="8" t="s">
        <v>1642</v>
      </c>
      <c r="F790" s="9" t="s">
        <v>1653</v>
      </c>
      <c r="G790" s="9" t="s">
        <v>1652</v>
      </c>
      <c r="H790" s="9" t="s">
        <v>1703</v>
      </c>
      <c r="I790" s="9" t="s">
        <v>66</v>
      </c>
      <c r="J790" s="10" t="s">
        <v>60</v>
      </c>
      <c r="K790" s="15" t="str">
        <f>VLOOKUP(J790,DADOS!$A$3:$B$101,2,FALSE)</f>
        <v>EE-GI-221-038</v>
      </c>
      <c r="L790" s="15" t="s">
        <v>754</v>
      </c>
      <c r="M790" s="18" t="b">
        <v>1</v>
      </c>
      <c r="N790" s="17" t="b">
        <v>1</v>
      </c>
      <c r="O790" s="17" t="b">
        <v>1</v>
      </c>
      <c r="P790" s="17" t="b">
        <v>1</v>
      </c>
      <c r="Q790" s="17" t="b">
        <v>1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 t="s">
        <v>287</v>
      </c>
      <c r="X790" s="12" t="s">
        <v>14</v>
      </c>
      <c r="Y790" s="12" t="s">
        <v>14</v>
      </c>
      <c r="Z790" s="13" t="s">
        <v>355</v>
      </c>
    </row>
    <row r="791" spans="1:26" ht="19.95" customHeight="1" x14ac:dyDescent="0.3">
      <c r="A791" s="6">
        <v>45716</v>
      </c>
      <c r="B791" s="7" t="s">
        <v>1087</v>
      </c>
      <c r="C791" s="8" t="s">
        <v>1542</v>
      </c>
      <c r="D791" s="8" t="s">
        <v>408</v>
      </c>
      <c r="E791" s="8" t="s">
        <v>1642</v>
      </c>
      <c r="F791" s="9" t="s">
        <v>1654</v>
      </c>
      <c r="G791" s="9" t="s">
        <v>1655</v>
      </c>
      <c r="H791" s="9" t="s">
        <v>1706</v>
      </c>
      <c r="I791" s="9" t="s">
        <v>66</v>
      </c>
      <c r="J791" s="10" t="s">
        <v>233</v>
      </c>
      <c r="K791" s="15" t="str">
        <f>VLOOKUP(J791,DADOS!$A$3:$B$101,2,FALSE)</f>
        <v>EE-GI-221-031</v>
      </c>
      <c r="L791" s="15" t="s">
        <v>754</v>
      </c>
      <c r="M791" s="18" t="b">
        <v>1</v>
      </c>
      <c r="N791" s="17" t="b">
        <v>1</v>
      </c>
      <c r="O791" s="17" t="b">
        <v>1</v>
      </c>
      <c r="P791" s="17" t="b">
        <v>1</v>
      </c>
      <c r="Q791" s="17" t="b">
        <v>1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 t="s">
        <v>408</v>
      </c>
      <c r="X791" s="12" t="s">
        <v>14</v>
      </c>
      <c r="Y791" s="12" t="s">
        <v>14</v>
      </c>
      <c r="Z791" s="13" t="s">
        <v>355</v>
      </c>
    </row>
    <row r="792" spans="1:26" ht="19.95" customHeight="1" x14ac:dyDescent="0.3">
      <c r="A792" s="6">
        <v>45716</v>
      </c>
      <c r="B792" s="7" t="s">
        <v>1087</v>
      </c>
      <c r="C792" s="8" t="s">
        <v>1542</v>
      </c>
      <c r="D792" s="8" t="s">
        <v>269</v>
      </c>
      <c r="E792" s="8" t="s">
        <v>1642</v>
      </c>
      <c r="F792" s="9" t="s">
        <v>1544</v>
      </c>
      <c r="G792" s="9" t="s">
        <v>1655</v>
      </c>
      <c r="H792" s="9" t="s">
        <v>1706</v>
      </c>
      <c r="I792" s="9" t="s">
        <v>66</v>
      </c>
      <c r="J792" s="10" t="s">
        <v>233</v>
      </c>
      <c r="K792" s="15" t="str">
        <f>VLOOKUP(J792,DADOS!$A$3:$B$101,2,FALSE)</f>
        <v>EE-GI-221-031</v>
      </c>
      <c r="L792" s="15" t="s">
        <v>754</v>
      </c>
      <c r="M792" s="18" t="b">
        <v>1</v>
      </c>
      <c r="N792" s="17" t="b">
        <v>1</v>
      </c>
      <c r="O792" s="17" t="b">
        <v>1</v>
      </c>
      <c r="P792" s="17" t="b">
        <v>1</v>
      </c>
      <c r="Q792" s="17" t="b">
        <v>1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 t="s">
        <v>269</v>
      </c>
      <c r="X792" s="12" t="s">
        <v>14</v>
      </c>
      <c r="Y792" s="12" t="s">
        <v>14</v>
      </c>
      <c r="Z792" s="13" t="s">
        <v>355</v>
      </c>
    </row>
    <row r="793" spans="1:26" ht="19.95" customHeight="1" x14ac:dyDescent="0.3">
      <c r="A793" s="6">
        <v>45716</v>
      </c>
      <c r="B793" s="7" t="s">
        <v>1087</v>
      </c>
      <c r="C793" s="8" t="s">
        <v>1656</v>
      </c>
      <c r="D793" s="8" t="s">
        <v>281</v>
      </c>
      <c r="E793" s="8" t="s">
        <v>1642</v>
      </c>
      <c r="F793" s="9" t="s">
        <v>1657</v>
      </c>
      <c r="G793" s="9" t="s">
        <v>1658</v>
      </c>
      <c r="H793" s="9" t="s">
        <v>1701</v>
      </c>
      <c r="I793" s="9" t="s">
        <v>68</v>
      </c>
      <c r="J793" s="10" t="s">
        <v>60</v>
      </c>
      <c r="K793" s="15" t="str">
        <f>VLOOKUP(J793,DADOS!$A$3:$B$101,2,FALSE)</f>
        <v>EE-GI-221-038</v>
      </c>
      <c r="L793" s="15" t="s">
        <v>754</v>
      </c>
      <c r="M793" s="18" t="b">
        <v>1</v>
      </c>
      <c r="N793" s="17" t="b">
        <v>1</v>
      </c>
      <c r="O793" s="17" t="b">
        <v>1</v>
      </c>
      <c r="P793" s="17" t="b">
        <v>1</v>
      </c>
      <c r="Q793" s="17" t="b">
        <v>1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 t="s">
        <v>281</v>
      </c>
      <c r="X793" s="12" t="s">
        <v>14</v>
      </c>
      <c r="Y793" s="12" t="s">
        <v>14</v>
      </c>
      <c r="Z793" s="13" t="s">
        <v>355</v>
      </c>
    </row>
    <row r="794" spans="1:26" ht="19.95" customHeight="1" x14ac:dyDescent="0.3">
      <c r="A794" s="6">
        <v>45716</v>
      </c>
      <c r="B794" s="7" t="s">
        <v>1087</v>
      </c>
      <c r="C794" s="8" t="s">
        <v>1659</v>
      </c>
      <c r="D794" s="8" t="s">
        <v>1646</v>
      </c>
      <c r="E794" s="8" t="s">
        <v>1642</v>
      </c>
      <c r="F794" s="9" t="s">
        <v>1660</v>
      </c>
      <c r="G794" s="9" t="s">
        <v>1699</v>
      </c>
      <c r="H794" s="9" t="s">
        <v>1700</v>
      </c>
      <c r="I794" s="9" t="s">
        <v>68</v>
      </c>
      <c r="J794" s="10" t="s">
        <v>19</v>
      </c>
      <c r="K794" s="15" t="str">
        <f>VLOOKUP(J794,DADOS!$A$3:$B$101,2,FALSE)</f>
        <v>EE-GI-221-033</v>
      </c>
      <c r="L794" s="15" t="s">
        <v>754</v>
      </c>
      <c r="M794" s="18" t="b">
        <v>1</v>
      </c>
      <c r="N794" s="17" t="b">
        <v>1</v>
      </c>
      <c r="O794" s="17" t="b">
        <v>1</v>
      </c>
      <c r="P794" s="17" t="b">
        <v>1</v>
      </c>
      <c r="Q794" s="17" t="b">
        <v>1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 t="s">
        <v>1646</v>
      </c>
      <c r="X794" s="12" t="s">
        <v>14</v>
      </c>
      <c r="Y794" s="12" t="s">
        <v>14</v>
      </c>
      <c r="Z794" s="13" t="s">
        <v>355</v>
      </c>
    </row>
    <row r="795" spans="1:26" ht="19.95" customHeight="1" x14ac:dyDescent="0.3">
      <c r="A795" s="6">
        <v>45716</v>
      </c>
      <c r="B795" s="7" t="s">
        <v>1087</v>
      </c>
      <c r="C795" s="8" t="s">
        <v>1633</v>
      </c>
      <c r="D795" s="8" t="s">
        <v>597</v>
      </c>
      <c r="E795" s="8" t="s">
        <v>1642</v>
      </c>
      <c r="F795" s="9" t="s">
        <v>1661</v>
      </c>
      <c r="G795" s="9" t="s">
        <v>1662</v>
      </c>
      <c r="H795" s="9" t="s">
        <v>1708</v>
      </c>
      <c r="I795" s="9" t="s">
        <v>66</v>
      </c>
      <c r="J795" s="10" t="s">
        <v>233</v>
      </c>
      <c r="K795" s="15" t="str">
        <f>VLOOKUP(J795,DADOS!$A$3:$B$101,2,FALSE)</f>
        <v>EE-GI-221-031</v>
      </c>
      <c r="L795" s="15" t="s">
        <v>754</v>
      </c>
      <c r="M795" s="18" t="b">
        <v>1</v>
      </c>
      <c r="N795" s="17" t="b">
        <v>1</v>
      </c>
      <c r="O795" s="17" t="b">
        <v>1</v>
      </c>
      <c r="P795" s="17" t="b">
        <v>1</v>
      </c>
      <c r="Q795" s="17" t="b">
        <v>1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 t="s">
        <v>597</v>
      </c>
      <c r="X795" s="12" t="s">
        <v>14</v>
      </c>
      <c r="Y795" s="12" t="s">
        <v>14</v>
      </c>
      <c r="Z795" s="13" t="s">
        <v>355</v>
      </c>
    </row>
    <row r="796" spans="1:26" ht="19.95" customHeight="1" x14ac:dyDescent="0.3">
      <c r="A796" s="6">
        <v>45716</v>
      </c>
      <c r="B796" s="7" t="s">
        <v>1087</v>
      </c>
      <c r="C796" s="8" t="s">
        <v>1663</v>
      </c>
      <c r="D796" s="8" t="s">
        <v>1647</v>
      </c>
      <c r="E796" s="8" t="s">
        <v>1642</v>
      </c>
      <c r="F796" s="9" t="s">
        <v>1664</v>
      </c>
      <c r="G796" s="9" t="s">
        <v>1662</v>
      </c>
      <c r="H796" s="9" t="s">
        <v>1707</v>
      </c>
      <c r="I796" s="9" t="s">
        <v>66</v>
      </c>
      <c r="J796" s="10" t="s">
        <v>233</v>
      </c>
      <c r="K796" s="15" t="str">
        <f>VLOOKUP(J796,DADOS!$A$3:$B$101,2,FALSE)</f>
        <v>EE-GI-221-031</v>
      </c>
      <c r="L796" s="15" t="s">
        <v>754</v>
      </c>
      <c r="M796" s="18" t="b">
        <v>1</v>
      </c>
      <c r="N796" s="17" t="b">
        <v>1</v>
      </c>
      <c r="O796" s="17" t="b">
        <v>1</v>
      </c>
      <c r="P796" s="17" t="b">
        <v>1</v>
      </c>
      <c r="Q796" s="17" t="b">
        <v>1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 t="s">
        <v>1647</v>
      </c>
      <c r="X796" s="12" t="s">
        <v>14</v>
      </c>
      <c r="Y796" s="12" t="s">
        <v>14</v>
      </c>
      <c r="Z796" s="13" t="s">
        <v>355</v>
      </c>
    </row>
    <row r="797" spans="1:26" ht="19.95" customHeight="1" x14ac:dyDescent="0.3">
      <c r="A797" s="6">
        <v>45716</v>
      </c>
      <c r="B797" s="7" t="s">
        <v>1087</v>
      </c>
      <c r="C797" s="8" t="s">
        <v>1344</v>
      </c>
      <c r="D797" s="8" t="s">
        <v>269</v>
      </c>
      <c r="E797" s="8" t="s">
        <v>1642</v>
      </c>
      <c r="F797" s="9" t="s">
        <v>1817</v>
      </c>
      <c r="G797" s="9" t="s">
        <v>1658</v>
      </c>
      <c r="H797" s="9" t="s">
        <v>1818</v>
      </c>
      <c r="I797" s="9" t="s">
        <v>66</v>
      </c>
      <c r="J797" s="10" t="s">
        <v>60</v>
      </c>
      <c r="K797" s="15" t="str">
        <f>VLOOKUP(J797,DADOS!$A$3:$B$101,2,FALSE)</f>
        <v>EE-GI-221-038</v>
      </c>
      <c r="L797" s="15" t="s">
        <v>754</v>
      </c>
      <c r="M797" s="18" t="b">
        <v>1</v>
      </c>
      <c r="N797" s="17" t="b">
        <v>1</v>
      </c>
      <c r="O797" s="17" t="b">
        <v>1</v>
      </c>
      <c r="P797" s="17" t="b">
        <v>1</v>
      </c>
      <c r="Q797" s="17" t="b">
        <v>1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 t="s">
        <v>269</v>
      </c>
      <c r="X797" s="12"/>
      <c r="Y797" s="12"/>
      <c r="Z797" s="13" t="s">
        <v>355</v>
      </c>
    </row>
    <row r="798" spans="1:26" ht="19.95" customHeight="1" x14ac:dyDescent="0.3">
      <c r="A798" s="6">
        <v>45716</v>
      </c>
      <c r="B798" s="7" t="s">
        <v>1087</v>
      </c>
      <c r="C798" s="8" t="s">
        <v>2700</v>
      </c>
      <c r="D798" s="8" t="s">
        <v>373</v>
      </c>
      <c r="E798" s="8" t="s">
        <v>1642</v>
      </c>
      <c r="F798" s="9" t="s">
        <v>2701</v>
      </c>
      <c r="G798" s="9" t="s">
        <v>2702</v>
      </c>
      <c r="H798" s="9" t="s">
        <v>2703</v>
      </c>
      <c r="I798" s="9" t="s">
        <v>66</v>
      </c>
      <c r="J798" s="10" t="s">
        <v>237</v>
      </c>
      <c r="K798" s="15" t="str">
        <f>VLOOKUP(J798,DADOS!$A$3:$B$101,2,FALSE)</f>
        <v>EE-GI-221-037</v>
      </c>
      <c r="L798" s="15" t="s">
        <v>754</v>
      </c>
      <c r="M798" s="18" t="b">
        <v>1</v>
      </c>
      <c r="N798" s="17" t="b">
        <v>1</v>
      </c>
      <c r="O798" s="17" t="b">
        <v>1</v>
      </c>
      <c r="P798" s="17" t="b">
        <v>1</v>
      </c>
      <c r="Q798" s="17" t="b">
        <v>1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 t="s">
        <v>373</v>
      </c>
      <c r="X798" s="12" t="s">
        <v>14</v>
      </c>
      <c r="Y798" s="12" t="s">
        <v>14</v>
      </c>
      <c r="Z798" s="13" t="s">
        <v>355</v>
      </c>
    </row>
    <row r="799" spans="1:26" ht="19.95" customHeight="1" x14ac:dyDescent="0.3">
      <c r="A799" s="6">
        <v>45716</v>
      </c>
      <c r="B799" s="7" t="s">
        <v>1371</v>
      </c>
      <c r="C799" s="8" t="s">
        <v>1372</v>
      </c>
      <c r="D799" s="8" t="s">
        <v>1274</v>
      </c>
      <c r="E799" s="8" t="s">
        <v>1373</v>
      </c>
      <c r="F799" s="9" t="s">
        <v>1374</v>
      </c>
      <c r="G799" s="9" t="s">
        <v>1375</v>
      </c>
      <c r="H799" s="9" t="s">
        <v>1376</v>
      </c>
      <c r="I799" s="9" t="s">
        <v>66</v>
      </c>
      <c r="J799" s="10" t="s">
        <v>19</v>
      </c>
      <c r="K799" s="15" t="str">
        <f>VLOOKUP(J799,DADOS!$A$3:$B$101,2,FALSE)</f>
        <v>EE-GI-221-033</v>
      </c>
      <c r="L799" s="15" t="s">
        <v>754</v>
      </c>
      <c r="M799" s="18" t="b">
        <v>1</v>
      </c>
      <c r="N799" s="17" t="b">
        <v>1</v>
      </c>
      <c r="O799" s="17" t="b">
        <v>1</v>
      </c>
      <c r="P799" s="17" t="b">
        <v>1</v>
      </c>
      <c r="Q799" s="17" t="b">
        <v>1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 t="s">
        <v>1274</v>
      </c>
      <c r="X799" s="12" t="s">
        <v>14</v>
      </c>
      <c r="Y799" s="12" t="s">
        <v>14</v>
      </c>
      <c r="Z799" s="13" t="s">
        <v>261</v>
      </c>
    </row>
    <row r="800" spans="1:26" ht="19.95" customHeight="1" x14ac:dyDescent="0.3">
      <c r="A800" s="6">
        <v>45716</v>
      </c>
      <c r="B800" s="7" t="s">
        <v>1382</v>
      </c>
      <c r="C800" s="8" t="s">
        <v>1383</v>
      </c>
      <c r="D800" s="8" t="s">
        <v>281</v>
      </c>
      <c r="E800" s="8" t="s">
        <v>1384</v>
      </c>
      <c r="F800" s="9" t="s">
        <v>1385</v>
      </c>
      <c r="G800" s="9" t="s">
        <v>1386</v>
      </c>
      <c r="H800" s="9" t="s">
        <v>1387</v>
      </c>
      <c r="I800" s="9" t="s">
        <v>68</v>
      </c>
      <c r="J800" s="10" t="s">
        <v>186</v>
      </c>
      <c r="K800" s="15" t="str">
        <f>VLOOKUP(J800,DADOS!$A$3:$B$101,2,FALSE)</f>
        <v>EE-GI-001-008</v>
      </c>
      <c r="L800" s="15" t="s">
        <v>323</v>
      </c>
      <c r="M800" s="18" t="b">
        <v>1</v>
      </c>
      <c r="N800" s="17" t="b">
        <v>1</v>
      </c>
      <c r="O800" s="17" t="b">
        <v>1</v>
      </c>
      <c r="P800" s="17" t="b">
        <v>1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 t="s">
        <v>281</v>
      </c>
      <c r="X800" s="12" t="s">
        <v>14</v>
      </c>
      <c r="Y800" s="12" t="s">
        <v>14</v>
      </c>
      <c r="Z800" s="13" t="s">
        <v>261</v>
      </c>
    </row>
    <row r="801" spans="1:26" ht="19.95" customHeight="1" x14ac:dyDescent="0.3">
      <c r="A801" s="6">
        <v>45716</v>
      </c>
      <c r="B801" s="7" t="s">
        <v>1382</v>
      </c>
      <c r="C801" s="8" t="s">
        <v>1389</v>
      </c>
      <c r="D801" s="8" t="s">
        <v>269</v>
      </c>
      <c r="E801" s="8" t="s">
        <v>1384</v>
      </c>
      <c r="F801" s="9" t="s">
        <v>1390</v>
      </c>
      <c r="G801" s="9" t="s">
        <v>1391</v>
      </c>
      <c r="H801" s="9" t="s">
        <v>1388</v>
      </c>
      <c r="I801" s="9" t="s">
        <v>90</v>
      </c>
      <c r="J801" s="10" t="s">
        <v>186</v>
      </c>
      <c r="K801" s="15" t="str">
        <f>VLOOKUP(J801,DADOS!$A$3:$B$101,2,FALSE)</f>
        <v>EE-GI-001-008</v>
      </c>
      <c r="L801" s="15" t="s">
        <v>323</v>
      </c>
      <c r="M801" s="18" t="b">
        <v>1</v>
      </c>
      <c r="N801" s="17" t="b">
        <v>1</v>
      </c>
      <c r="O801" s="17" t="b">
        <v>1</v>
      </c>
      <c r="P801" s="17" t="b">
        <v>1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 t="s">
        <v>269</v>
      </c>
      <c r="X801" s="12" t="s">
        <v>14</v>
      </c>
      <c r="Y801" s="12" t="s">
        <v>14</v>
      </c>
      <c r="Z801" s="13" t="s">
        <v>261</v>
      </c>
    </row>
    <row r="802" spans="1:26" ht="19.95" customHeight="1" x14ac:dyDescent="0.3">
      <c r="A802" s="6">
        <v>45716</v>
      </c>
      <c r="B802" s="7" t="s">
        <v>1382</v>
      </c>
      <c r="C802" s="8" t="s">
        <v>1389</v>
      </c>
      <c r="D802" s="8" t="s">
        <v>269</v>
      </c>
      <c r="E802" s="8" t="s">
        <v>1384</v>
      </c>
      <c r="F802" s="9" t="s">
        <v>1394</v>
      </c>
      <c r="G802" s="9" t="s">
        <v>1392</v>
      </c>
      <c r="H802" s="9" t="s">
        <v>1388</v>
      </c>
      <c r="I802" s="9" t="s">
        <v>90</v>
      </c>
      <c r="J802" s="10" t="s">
        <v>186</v>
      </c>
      <c r="K802" s="15" t="str">
        <f>VLOOKUP(J802,DADOS!$A$3:$B$101,2,FALSE)</f>
        <v>EE-GI-001-008</v>
      </c>
      <c r="L802" s="15" t="s">
        <v>323</v>
      </c>
      <c r="M802" s="18" t="b">
        <v>1</v>
      </c>
      <c r="N802" s="17" t="b">
        <v>1</v>
      </c>
      <c r="O802" s="17" t="b">
        <v>1</v>
      </c>
      <c r="P802" s="17" t="b">
        <v>1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 t="s">
        <v>269</v>
      </c>
      <c r="X802" s="12" t="s">
        <v>14</v>
      </c>
      <c r="Y802" s="12" t="s">
        <v>14</v>
      </c>
      <c r="Z802" s="13" t="s">
        <v>261</v>
      </c>
    </row>
    <row r="803" spans="1:26" ht="19.95" customHeight="1" x14ac:dyDescent="0.3">
      <c r="A803" s="6">
        <v>45716</v>
      </c>
      <c r="B803" s="7" t="s">
        <v>1382</v>
      </c>
      <c r="C803" s="8" t="s">
        <v>1389</v>
      </c>
      <c r="D803" s="8" t="s">
        <v>269</v>
      </c>
      <c r="E803" s="8" t="s">
        <v>1384</v>
      </c>
      <c r="F803" s="9" t="s">
        <v>1395</v>
      </c>
      <c r="G803" s="9" t="s">
        <v>1393</v>
      </c>
      <c r="H803" s="9" t="s">
        <v>1388</v>
      </c>
      <c r="I803" s="9" t="s">
        <v>90</v>
      </c>
      <c r="J803" s="10" t="s">
        <v>186</v>
      </c>
      <c r="K803" s="15" t="str">
        <f>VLOOKUP(J803,DADOS!$A$3:$B$101,2,FALSE)</f>
        <v>EE-GI-001-008</v>
      </c>
      <c r="L803" s="15" t="s">
        <v>323</v>
      </c>
      <c r="M803" s="18" t="b">
        <v>1</v>
      </c>
      <c r="N803" s="17" t="b">
        <v>1</v>
      </c>
      <c r="O803" s="17" t="b">
        <v>1</v>
      </c>
      <c r="P803" s="17" t="b">
        <v>1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 t="s">
        <v>269</v>
      </c>
      <c r="X803" s="12" t="s">
        <v>14</v>
      </c>
      <c r="Y803" s="12" t="s">
        <v>14</v>
      </c>
      <c r="Z803" s="13" t="s">
        <v>261</v>
      </c>
    </row>
    <row r="804" spans="1:26" ht="19.95" customHeight="1" x14ac:dyDescent="0.3">
      <c r="A804" s="6">
        <v>45716</v>
      </c>
      <c r="B804" s="7" t="s">
        <v>254</v>
      </c>
      <c r="C804" s="8" t="s">
        <v>1396</v>
      </c>
      <c r="D804" s="8" t="s">
        <v>269</v>
      </c>
      <c r="E804" s="8" t="s">
        <v>1397</v>
      </c>
      <c r="F804" s="9" t="s">
        <v>1400</v>
      </c>
      <c r="G804" s="9" t="s">
        <v>651</v>
      </c>
      <c r="H804" s="9" t="s">
        <v>1402</v>
      </c>
      <c r="I804" s="9" t="s">
        <v>90</v>
      </c>
      <c r="J804" s="10" t="s">
        <v>15</v>
      </c>
      <c r="K804" s="15" t="str">
        <f>VLOOKUP(J804,DADOS!$A$3:$B$101,2,FALSE)</f>
        <v>EE-GI-001-002</v>
      </c>
      <c r="L804" s="15" t="s">
        <v>303</v>
      </c>
      <c r="M804" s="18" t="b">
        <v>1</v>
      </c>
      <c r="N804" s="17" t="b">
        <v>1</v>
      </c>
      <c r="O804" s="17" t="b">
        <v>1</v>
      </c>
      <c r="P804" s="17" t="b">
        <v>1</v>
      </c>
      <c r="Q804" s="17" t="b">
        <v>0</v>
      </c>
      <c r="R804" s="17" t="b">
        <v>1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 t="s">
        <v>269</v>
      </c>
      <c r="X804" s="12" t="s">
        <v>14</v>
      </c>
      <c r="Y804" s="12" t="s">
        <v>14</v>
      </c>
      <c r="Z804" s="13" t="s">
        <v>261</v>
      </c>
    </row>
    <row r="805" spans="1:26" ht="19.95" customHeight="1" x14ac:dyDescent="0.3">
      <c r="A805" s="6">
        <v>45716</v>
      </c>
      <c r="B805" s="7" t="s">
        <v>254</v>
      </c>
      <c r="C805" s="8" t="s">
        <v>1396</v>
      </c>
      <c r="D805" s="8" t="s">
        <v>269</v>
      </c>
      <c r="E805" s="8" t="s">
        <v>1399</v>
      </c>
      <c r="F805" s="9" t="s">
        <v>1401</v>
      </c>
      <c r="G805" s="9" t="s">
        <v>651</v>
      </c>
      <c r="H805" s="9" t="s">
        <v>1403</v>
      </c>
      <c r="I805" s="9" t="s">
        <v>90</v>
      </c>
      <c r="J805" s="10" t="s">
        <v>15</v>
      </c>
      <c r="K805" s="15" t="str">
        <f>VLOOKUP(J805,DADOS!$A$3:$B$101,2,FALSE)</f>
        <v>EE-GI-001-002</v>
      </c>
      <c r="L805" s="15" t="s">
        <v>303</v>
      </c>
      <c r="M805" s="18" t="b">
        <v>1</v>
      </c>
      <c r="N805" s="17" t="b">
        <v>1</v>
      </c>
      <c r="O805" s="17" t="b">
        <v>1</v>
      </c>
      <c r="P805" s="17" t="b">
        <v>1</v>
      </c>
      <c r="Q805" s="17" t="b">
        <v>0</v>
      </c>
      <c r="R805" s="17" t="b">
        <v>1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 t="s">
        <v>269</v>
      </c>
      <c r="X805" s="12" t="s">
        <v>14</v>
      </c>
      <c r="Y805" s="12" t="s">
        <v>14</v>
      </c>
      <c r="Z805" s="13" t="s">
        <v>261</v>
      </c>
    </row>
    <row r="806" spans="1:26" ht="19.95" customHeight="1" x14ac:dyDescent="0.3">
      <c r="A806" s="6">
        <v>45716</v>
      </c>
      <c r="B806" s="7" t="s">
        <v>254</v>
      </c>
      <c r="C806" s="8" t="s">
        <v>1404</v>
      </c>
      <c r="D806" s="8" t="s">
        <v>269</v>
      </c>
      <c r="E806" s="8" t="s">
        <v>1398</v>
      </c>
      <c r="F806" s="9" t="s">
        <v>1406</v>
      </c>
      <c r="G806" s="9" t="s">
        <v>1407</v>
      </c>
      <c r="H806" s="9" t="s">
        <v>1408</v>
      </c>
      <c r="I806" s="9" t="s">
        <v>69</v>
      </c>
      <c r="J806" s="10" t="s">
        <v>17</v>
      </c>
      <c r="K806" s="15" t="str">
        <f>VLOOKUP(J806,DADOS!$A$3:$B$101,2,FALSE)</f>
        <v>EE-GI-001-001</v>
      </c>
      <c r="L806" s="15" t="s">
        <v>303</v>
      </c>
      <c r="M806" s="18" t="b">
        <v>1</v>
      </c>
      <c r="N806" s="17" t="b">
        <v>1</v>
      </c>
      <c r="O806" s="17" t="b">
        <v>1</v>
      </c>
      <c r="P806" s="17" t="b">
        <v>1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 t="s">
        <v>269</v>
      </c>
      <c r="X806" s="12" t="s">
        <v>14</v>
      </c>
      <c r="Y806" s="12" t="s">
        <v>14</v>
      </c>
      <c r="Z806" s="13" t="s">
        <v>261</v>
      </c>
    </row>
    <row r="807" spans="1:26" ht="19.95" customHeight="1" x14ac:dyDescent="0.3">
      <c r="A807" s="6">
        <v>45716</v>
      </c>
      <c r="B807" s="7" t="s">
        <v>254</v>
      </c>
      <c r="C807" s="8" t="s">
        <v>1409</v>
      </c>
      <c r="D807" s="8" t="s">
        <v>269</v>
      </c>
      <c r="E807" s="8" t="s">
        <v>1411</v>
      </c>
      <c r="F807" s="9" t="s">
        <v>1412</v>
      </c>
      <c r="G807" s="9" t="s">
        <v>1413</v>
      </c>
      <c r="H807" s="9" t="s">
        <v>1414</v>
      </c>
      <c r="I807" s="9" t="s">
        <v>71</v>
      </c>
      <c r="J807" s="10" t="s">
        <v>15</v>
      </c>
      <c r="K807" s="15" t="str">
        <f>VLOOKUP(J807,DADOS!$A$3:$B$101,2,FALSE)</f>
        <v>EE-GI-001-002</v>
      </c>
      <c r="L807" s="15" t="s">
        <v>323</v>
      </c>
      <c r="M807" s="18" t="b">
        <v>1</v>
      </c>
      <c r="N807" s="17" t="b">
        <v>1</v>
      </c>
      <c r="O807" s="17" t="b">
        <v>1</v>
      </c>
      <c r="P807" s="17" t="b">
        <v>1</v>
      </c>
      <c r="Q807" s="17" t="b">
        <v>0</v>
      </c>
      <c r="R807" s="17" t="b">
        <v>1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 t="s">
        <v>269</v>
      </c>
      <c r="X807" s="12" t="s">
        <v>14</v>
      </c>
      <c r="Y807" s="12" t="s">
        <v>14</v>
      </c>
      <c r="Z807" s="13" t="s">
        <v>261</v>
      </c>
    </row>
    <row r="808" spans="1:26" ht="19.95" customHeight="1" x14ac:dyDescent="0.3">
      <c r="A808" s="6">
        <v>45716</v>
      </c>
      <c r="B808" s="7" t="s">
        <v>254</v>
      </c>
      <c r="C808" s="8" t="s">
        <v>1417</v>
      </c>
      <c r="D808" s="8" t="s">
        <v>1418</v>
      </c>
      <c r="E808" s="8" t="s">
        <v>1419</v>
      </c>
      <c r="F808" s="9" t="s">
        <v>1420</v>
      </c>
      <c r="G808" s="9" t="s">
        <v>659</v>
      </c>
      <c r="H808" s="9" t="s">
        <v>1421</v>
      </c>
      <c r="I808" s="9" t="s">
        <v>66</v>
      </c>
      <c r="J808" s="10" t="s">
        <v>15</v>
      </c>
      <c r="K808" s="15" t="str">
        <f>VLOOKUP(J808,DADOS!$A$3:$B$101,2,FALSE)</f>
        <v>EE-GI-001-002</v>
      </c>
      <c r="L808" s="15" t="s">
        <v>260</v>
      </c>
      <c r="M808" s="18" t="b">
        <v>1</v>
      </c>
      <c r="N808" s="17" t="b">
        <v>1</v>
      </c>
      <c r="O808" s="17" t="b">
        <v>1</v>
      </c>
      <c r="P808" s="17" t="b">
        <v>1</v>
      </c>
      <c r="Q808" s="17" t="b">
        <v>0</v>
      </c>
      <c r="R808" s="17" t="b">
        <v>1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 t="s">
        <v>1418</v>
      </c>
      <c r="X808" s="12" t="s">
        <v>14</v>
      </c>
      <c r="Y808" s="12" t="s">
        <v>14</v>
      </c>
      <c r="Z808" s="13" t="s">
        <v>261</v>
      </c>
    </row>
    <row r="809" spans="1:26" ht="19.95" customHeight="1" x14ac:dyDescent="0.3">
      <c r="A809" s="6">
        <v>45716</v>
      </c>
      <c r="B809" s="7" t="s">
        <v>254</v>
      </c>
      <c r="C809" s="8" t="s">
        <v>262</v>
      </c>
      <c r="D809" s="8" t="s">
        <v>256</v>
      </c>
      <c r="E809" s="8" t="s">
        <v>1422</v>
      </c>
      <c r="F809" s="9" t="s">
        <v>1423</v>
      </c>
      <c r="G809" s="9" t="s">
        <v>663</v>
      </c>
      <c r="H809" s="9" t="s">
        <v>1424</v>
      </c>
      <c r="I809" s="9" t="s">
        <v>66</v>
      </c>
      <c r="J809" s="10" t="s">
        <v>15</v>
      </c>
      <c r="K809" s="15" t="str">
        <f>VLOOKUP(J809,DADOS!$A$3:$B$101,2,FALSE)</f>
        <v>EE-GI-001-002</v>
      </c>
      <c r="L809" s="15" t="s">
        <v>260</v>
      </c>
      <c r="M809" s="18" t="b">
        <v>1</v>
      </c>
      <c r="N809" s="17" t="b">
        <v>1</v>
      </c>
      <c r="O809" s="17" t="b">
        <v>1</v>
      </c>
      <c r="P809" s="17" t="b">
        <v>1</v>
      </c>
      <c r="Q809" s="17" t="b">
        <v>0</v>
      </c>
      <c r="R809" s="17" t="b">
        <v>1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 t="s">
        <v>256</v>
      </c>
      <c r="X809" s="12" t="s">
        <v>14</v>
      </c>
      <c r="Y809" s="12" t="s">
        <v>14</v>
      </c>
      <c r="Z809" s="13" t="s">
        <v>261</v>
      </c>
    </row>
    <row r="810" spans="1:26" ht="19.95" customHeight="1" x14ac:dyDescent="0.3">
      <c r="A810" s="6">
        <v>45716</v>
      </c>
      <c r="B810" s="7" t="s">
        <v>254</v>
      </c>
      <c r="C810" s="8" t="s">
        <v>1417</v>
      </c>
      <c r="D810" s="8" t="s">
        <v>268</v>
      </c>
      <c r="E810" s="8" t="s">
        <v>1422</v>
      </c>
      <c r="F810" s="9" t="s">
        <v>1425</v>
      </c>
      <c r="G810" s="9" t="s">
        <v>659</v>
      </c>
      <c r="H810" s="9" t="s">
        <v>1426</v>
      </c>
      <c r="I810" s="9" t="s">
        <v>66</v>
      </c>
      <c r="J810" s="10" t="s">
        <v>15</v>
      </c>
      <c r="K810" s="15" t="str">
        <f>VLOOKUP(J810,DADOS!$A$3:$B$101,2,FALSE)</f>
        <v>EE-GI-001-002</v>
      </c>
      <c r="L810" s="15" t="s">
        <v>260</v>
      </c>
      <c r="M810" s="18" t="b">
        <v>1</v>
      </c>
      <c r="N810" s="17" t="b">
        <v>1</v>
      </c>
      <c r="O810" s="17" t="b">
        <v>1</v>
      </c>
      <c r="P810" s="17" t="b">
        <v>1</v>
      </c>
      <c r="Q810" s="17" t="b">
        <v>0</v>
      </c>
      <c r="R810" s="17" t="b">
        <v>1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 t="s">
        <v>268</v>
      </c>
      <c r="X810" s="12" t="s">
        <v>14</v>
      </c>
      <c r="Y810" s="12" t="s">
        <v>14</v>
      </c>
      <c r="Z810" s="13" t="s">
        <v>261</v>
      </c>
    </row>
    <row r="811" spans="1:26" ht="19.95" customHeight="1" x14ac:dyDescent="0.3">
      <c r="A811" s="6">
        <v>45716</v>
      </c>
      <c r="B811" s="7" t="s">
        <v>254</v>
      </c>
      <c r="C811" s="8" t="s">
        <v>1417</v>
      </c>
      <c r="D811" s="8" t="s">
        <v>281</v>
      </c>
      <c r="E811" s="8" t="s">
        <v>1422</v>
      </c>
      <c r="F811" s="9" t="s">
        <v>1420</v>
      </c>
      <c r="G811" s="9" t="s">
        <v>659</v>
      </c>
      <c r="H811" s="9" t="s">
        <v>1426</v>
      </c>
      <c r="I811" s="9" t="s">
        <v>66</v>
      </c>
      <c r="J811" s="10" t="s">
        <v>15</v>
      </c>
      <c r="K811" s="15" t="str">
        <f>VLOOKUP(J811,DADOS!$A$3:$B$101,2,FALSE)</f>
        <v>EE-GI-001-002</v>
      </c>
      <c r="L811" s="15" t="s">
        <v>260</v>
      </c>
      <c r="M811" s="18" t="b">
        <v>1</v>
      </c>
      <c r="N811" s="17" t="b">
        <v>1</v>
      </c>
      <c r="O811" s="17" t="b">
        <v>1</v>
      </c>
      <c r="P811" s="17" t="b">
        <v>1</v>
      </c>
      <c r="Q811" s="17" t="b">
        <v>0</v>
      </c>
      <c r="R811" s="17" t="b">
        <v>1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 t="s">
        <v>281</v>
      </c>
      <c r="X811" s="12" t="s">
        <v>14</v>
      </c>
      <c r="Y811" s="12" t="s">
        <v>14</v>
      </c>
      <c r="Z811" s="13" t="s">
        <v>261</v>
      </c>
    </row>
    <row r="812" spans="1:26" ht="19.95" customHeight="1" x14ac:dyDescent="0.3">
      <c r="A812" s="6">
        <v>45716</v>
      </c>
      <c r="B812" s="7" t="s">
        <v>254</v>
      </c>
      <c r="C812" s="8" t="s">
        <v>262</v>
      </c>
      <c r="D812" s="8" t="s">
        <v>1427</v>
      </c>
      <c r="E812" s="8" t="s">
        <v>1428</v>
      </c>
      <c r="F812" s="9" t="s">
        <v>662</v>
      </c>
      <c r="G812" s="9" t="s">
        <v>663</v>
      </c>
      <c r="H812" s="9" t="s">
        <v>1429</v>
      </c>
      <c r="I812" s="9" t="s">
        <v>66</v>
      </c>
      <c r="J812" s="10" t="s">
        <v>15</v>
      </c>
      <c r="K812" s="15" t="str">
        <f>VLOOKUP(J812,DADOS!$A$3:$B$101,2,FALSE)</f>
        <v>EE-GI-001-002</v>
      </c>
      <c r="L812" s="15" t="s">
        <v>260</v>
      </c>
      <c r="M812" s="18" t="b">
        <v>1</v>
      </c>
      <c r="N812" s="17" t="b">
        <v>1</v>
      </c>
      <c r="O812" s="17" t="b">
        <v>1</v>
      </c>
      <c r="P812" s="17" t="b">
        <v>1</v>
      </c>
      <c r="Q812" s="17" t="b">
        <v>0</v>
      </c>
      <c r="R812" s="17" t="b">
        <v>1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 t="s">
        <v>1427</v>
      </c>
      <c r="X812" s="12" t="s">
        <v>14</v>
      </c>
      <c r="Y812" s="12" t="s">
        <v>14</v>
      </c>
      <c r="Z812" s="13" t="s">
        <v>261</v>
      </c>
    </row>
    <row r="813" spans="1:26" ht="19.95" customHeight="1" x14ac:dyDescent="0.3">
      <c r="A813" s="6">
        <v>45716</v>
      </c>
      <c r="B813" s="7" t="s">
        <v>254</v>
      </c>
      <c r="C813" s="8" t="s">
        <v>1118</v>
      </c>
      <c r="D813" s="8" t="s">
        <v>964</v>
      </c>
      <c r="E813" s="8" t="s">
        <v>1405</v>
      </c>
      <c r="F813" s="9" t="s">
        <v>1120</v>
      </c>
      <c r="G813" s="9" t="s">
        <v>643</v>
      </c>
      <c r="H813" s="9" t="s">
        <v>1443</v>
      </c>
      <c r="I813" s="9" t="s">
        <v>70</v>
      </c>
      <c r="J813" s="10" t="s">
        <v>15</v>
      </c>
      <c r="K813" s="15" t="str">
        <f>VLOOKUP(J813,DADOS!$A$3:$B$101,2,FALSE)</f>
        <v>EE-GI-001-002</v>
      </c>
      <c r="L813" s="15" t="s">
        <v>260</v>
      </c>
      <c r="M813" s="18" t="b">
        <v>1</v>
      </c>
      <c r="N813" s="17" t="b">
        <v>1</v>
      </c>
      <c r="O813" s="17" t="b">
        <v>1</v>
      </c>
      <c r="P813" s="17" t="b">
        <v>1</v>
      </c>
      <c r="Q813" s="17" t="b">
        <v>0</v>
      </c>
      <c r="R813" s="17" t="b">
        <v>1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 t="s">
        <v>964</v>
      </c>
      <c r="X813" s="12" t="s">
        <v>14</v>
      </c>
      <c r="Y813" s="12" t="s">
        <v>14</v>
      </c>
      <c r="Z813" s="13" t="s">
        <v>261</v>
      </c>
    </row>
    <row r="814" spans="1:26" ht="19.95" customHeight="1" x14ac:dyDescent="0.3">
      <c r="A814" s="6">
        <v>45716</v>
      </c>
      <c r="B814" s="7" t="s">
        <v>254</v>
      </c>
      <c r="C814" s="8" t="s">
        <v>1118</v>
      </c>
      <c r="D814" s="8" t="s">
        <v>269</v>
      </c>
      <c r="E814" s="8" t="s">
        <v>1445</v>
      </c>
      <c r="F814" s="9" t="s">
        <v>1446</v>
      </c>
      <c r="G814" s="9" t="s">
        <v>643</v>
      </c>
      <c r="H814" s="9" t="s">
        <v>1447</v>
      </c>
      <c r="I814" s="9" t="s">
        <v>70</v>
      </c>
      <c r="J814" s="10" t="s">
        <v>15</v>
      </c>
      <c r="K814" s="15" t="str">
        <f>VLOOKUP(J814,DADOS!$A$3:$B$101,2,FALSE)</f>
        <v>EE-GI-001-002</v>
      </c>
      <c r="L814" s="15" t="s">
        <v>260</v>
      </c>
      <c r="M814" s="18" t="b">
        <v>1</v>
      </c>
      <c r="N814" s="17" t="b">
        <v>1</v>
      </c>
      <c r="O814" s="17" t="b">
        <v>1</v>
      </c>
      <c r="P814" s="17" t="b">
        <v>1</v>
      </c>
      <c r="Q814" s="17" t="b">
        <v>0</v>
      </c>
      <c r="R814" s="17" t="b">
        <v>1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 t="s">
        <v>269</v>
      </c>
      <c r="X814" s="12" t="s">
        <v>14</v>
      </c>
      <c r="Y814" s="12" t="s">
        <v>14</v>
      </c>
      <c r="Z814" s="13" t="s">
        <v>261</v>
      </c>
    </row>
    <row r="815" spans="1:26" ht="19.95" customHeight="1" x14ac:dyDescent="0.3">
      <c r="A815" s="6">
        <v>45716</v>
      </c>
      <c r="B815" s="7" t="s">
        <v>254</v>
      </c>
      <c r="C815" s="8" t="s">
        <v>1449</v>
      </c>
      <c r="D815" s="8" t="s">
        <v>414</v>
      </c>
      <c r="E815" s="8" t="s">
        <v>1450</v>
      </c>
      <c r="F815" s="9" t="s">
        <v>1451</v>
      </c>
      <c r="G815" s="9" t="s">
        <v>1452</v>
      </c>
      <c r="H815" s="9" t="s">
        <v>1453</v>
      </c>
      <c r="I815" s="9" t="s">
        <v>65</v>
      </c>
      <c r="J815" s="10" t="s">
        <v>16</v>
      </c>
      <c r="K815" s="15" t="str">
        <f>VLOOKUP(J815,DADOS!$A$3:$B$101,2,FALSE)</f>
        <v>EE-GI-001-003</v>
      </c>
      <c r="L815" s="15" t="s">
        <v>303</v>
      </c>
      <c r="M815" s="18" t="b">
        <v>1</v>
      </c>
      <c r="N815" s="17" t="b">
        <v>1</v>
      </c>
      <c r="O815" s="17" t="b">
        <v>1</v>
      </c>
      <c r="P815" s="17" t="b">
        <v>1</v>
      </c>
      <c r="Q815" s="17" t="b">
        <v>0</v>
      </c>
      <c r="R815" s="17" t="b">
        <v>1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 t="s">
        <v>414</v>
      </c>
      <c r="X815" s="12" t="s">
        <v>14</v>
      </c>
      <c r="Y815" s="12" t="s">
        <v>14</v>
      </c>
      <c r="Z815" s="13" t="s">
        <v>261</v>
      </c>
    </row>
    <row r="816" spans="1:26" ht="19.95" customHeight="1" x14ac:dyDescent="0.3">
      <c r="A816" s="6">
        <v>45716</v>
      </c>
      <c r="B816" s="7" t="s">
        <v>254</v>
      </c>
      <c r="C816" s="8" t="s">
        <v>1454</v>
      </c>
      <c r="D816" s="8" t="s">
        <v>269</v>
      </c>
      <c r="E816" s="8" t="s">
        <v>1444</v>
      </c>
      <c r="F816" s="9" t="s">
        <v>1455</v>
      </c>
      <c r="G816" s="9" t="s">
        <v>1022</v>
      </c>
      <c r="H816" s="9" t="s">
        <v>1456</v>
      </c>
      <c r="I816" s="9" t="s">
        <v>94</v>
      </c>
      <c r="J816" s="10" t="s">
        <v>186</v>
      </c>
      <c r="K816" s="15" t="str">
        <f>VLOOKUP(J816,DADOS!$A$3:$B$101,2,FALSE)</f>
        <v>EE-GI-001-008</v>
      </c>
      <c r="L816" s="15" t="s">
        <v>260</v>
      </c>
      <c r="M816" s="18" t="b">
        <v>1</v>
      </c>
      <c r="N816" s="17" t="b">
        <v>1</v>
      </c>
      <c r="O816" s="17" t="b">
        <v>1</v>
      </c>
      <c r="P816" s="17" t="b">
        <v>1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 t="s">
        <v>269</v>
      </c>
      <c r="X816" s="12" t="s">
        <v>14</v>
      </c>
      <c r="Y816" s="12" t="s">
        <v>14</v>
      </c>
      <c r="Z816" s="13" t="s">
        <v>261</v>
      </c>
    </row>
    <row r="817" spans="1:26" ht="19.95" customHeight="1" x14ac:dyDescent="0.3">
      <c r="A817" s="6">
        <v>45716</v>
      </c>
      <c r="B817" s="7" t="s">
        <v>254</v>
      </c>
      <c r="C817" s="8" t="s">
        <v>1457</v>
      </c>
      <c r="D817" s="8" t="s">
        <v>281</v>
      </c>
      <c r="E817" s="8" t="s">
        <v>1458</v>
      </c>
      <c r="F817" s="9" t="s">
        <v>1459</v>
      </c>
      <c r="G817" s="9" t="s">
        <v>1460</v>
      </c>
      <c r="H817" s="9" t="s">
        <v>1461</v>
      </c>
      <c r="I817" s="9" t="s">
        <v>70</v>
      </c>
      <c r="J817" s="10" t="s">
        <v>186</v>
      </c>
      <c r="K817" s="15" t="str">
        <f>VLOOKUP(J817,DADOS!$A$3:$B$101,2,FALSE)</f>
        <v>EE-GI-001-008</v>
      </c>
      <c r="L817" s="15" t="s">
        <v>303</v>
      </c>
      <c r="M817" s="18" t="b">
        <v>1</v>
      </c>
      <c r="N817" s="17" t="b">
        <v>1</v>
      </c>
      <c r="O817" s="17" t="b">
        <v>1</v>
      </c>
      <c r="P817" s="17" t="b">
        <v>1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 t="s">
        <v>281</v>
      </c>
      <c r="X817" s="12" t="s">
        <v>14</v>
      </c>
      <c r="Y817" s="12" t="s">
        <v>14</v>
      </c>
      <c r="Z817" s="13" t="s">
        <v>261</v>
      </c>
    </row>
    <row r="818" spans="1:26" ht="19.95" customHeight="1" x14ac:dyDescent="0.3">
      <c r="A818" s="6">
        <v>45716</v>
      </c>
      <c r="B818" s="7" t="s">
        <v>254</v>
      </c>
      <c r="C818" s="8" t="s">
        <v>1457</v>
      </c>
      <c r="D818" s="8" t="s">
        <v>269</v>
      </c>
      <c r="E818" s="8" t="s">
        <v>1410</v>
      </c>
      <c r="F818" s="9" t="s">
        <v>1462</v>
      </c>
      <c r="G818" s="9" t="s">
        <v>1460</v>
      </c>
      <c r="H818" s="9" t="s">
        <v>1463</v>
      </c>
      <c r="I818" s="9" t="s">
        <v>70</v>
      </c>
      <c r="J818" s="10" t="s">
        <v>186</v>
      </c>
      <c r="K818" s="15" t="str">
        <f>VLOOKUP(J818,DADOS!$A$3:$B$101,2,FALSE)</f>
        <v>EE-GI-001-008</v>
      </c>
      <c r="L818" s="15" t="s">
        <v>303</v>
      </c>
      <c r="M818" s="18" t="b">
        <v>1</v>
      </c>
      <c r="N818" s="17" t="b">
        <v>1</v>
      </c>
      <c r="O818" s="17" t="b">
        <v>1</v>
      </c>
      <c r="P818" s="17" t="b">
        <v>1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 t="s">
        <v>269</v>
      </c>
      <c r="X818" s="12" t="s">
        <v>14</v>
      </c>
      <c r="Y818" s="12" t="s">
        <v>14</v>
      </c>
      <c r="Z818" s="13" t="s">
        <v>261</v>
      </c>
    </row>
    <row r="819" spans="1:26" ht="19.95" customHeight="1" x14ac:dyDescent="0.3">
      <c r="A819" s="6">
        <v>45716</v>
      </c>
      <c r="B819" s="7" t="s">
        <v>254</v>
      </c>
      <c r="C819" s="8" t="s">
        <v>2439</v>
      </c>
      <c r="D819" s="8" t="s">
        <v>421</v>
      </c>
      <c r="E819" s="8" t="s">
        <v>2440</v>
      </c>
      <c r="F819" s="9" t="s">
        <v>2441</v>
      </c>
      <c r="G819" s="9" t="s">
        <v>651</v>
      </c>
      <c r="H819" s="9" t="s">
        <v>2442</v>
      </c>
      <c r="I819" s="9" t="s">
        <v>66</v>
      </c>
      <c r="J819" s="10" t="s">
        <v>15</v>
      </c>
      <c r="K819" s="15" t="str">
        <f>VLOOKUP(J819,DADOS!$A$3:$B$101,2,FALSE)</f>
        <v>EE-GI-001-002</v>
      </c>
      <c r="L819" s="15" t="s">
        <v>1955</v>
      </c>
      <c r="M819" s="18" t="b">
        <v>1</v>
      </c>
      <c r="N819" s="17" t="b">
        <v>1</v>
      </c>
      <c r="O819" s="17" t="b">
        <v>1</v>
      </c>
      <c r="P819" s="17" t="b">
        <v>1</v>
      </c>
      <c r="Q819" s="17" t="b">
        <v>0</v>
      </c>
      <c r="R819" s="17" t="b">
        <v>1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 t="s">
        <v>421</v>
      </c>
      <c r="X819" s="12" t="s">
        <v>14</v>
      </c>
      <c r="Y819" s="12" t="s">
        <v>14</v>
      </c>
      <c r="Z819" s="13" t="s">
        <v>355</v>
      </c>
    </row>
    <row r="820" spans="1:26" ht="19.95" customHeight="1" x14ac:dyDescent="0.3">
      <c r="A820" s="6">
        <v>45716</v>
      </c>
      <c r="B820" s="7" t="s">
        <v>254</v>
      </c>
      <c r="C820" s="8" t="s">
        <v>2439</v>
      </c>
      <c r="D820" s="8" t="s">
        <v>269</v>
      </c>
      <c r="E820" s="8" t="s">
        <v>2443</v>
      </c>
      <c r="F820" s="9" t="s">
        <v>1535</v>
      </c>
      <c r="G820" s="9" t="s">
        <v>258</v>
      </c>
      <c r="H820" s="9" t="s">
        <v>2444</v>
      </c>
      <c r="I820" s="9" t="s">
        <v>66</v>
      </c>
      <c r="J820" s="10" t="s">
        <v>15</v>
      </c>
      <c r="K820" s="15" t="str">
        <f>VLOOKUP(J820,DADOS!$A$3:$B$101,2,FALSE)</f>
        <v>EE-GI-001-002</v>
      </c>
      <c r="L820" s="15" t="s">
        <v>1955</v>
      </c>
      <c r="M820" s="18" t="b">
        <v>1</v>
      </c>
      <c r="N820" s="17" t="b">
        <v>1</v>
      </c>
      <c r="O820" s="17" t="b">
        <v>1</v>
      </c>
      <c r="P820" s="17" t="b">
        <v>1</v>
      </c>
      <c r="Q820" s="17" t="b">
        <v>0</v>
      </c>
      <c r="R820" s="17" t="b">
        <v>1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 t="s">
        <v>269</v>
      </c>
      <c r="X820" s="12" t="s">
        <v>14</v>
      </c>
      <c r="Y820" s="12" t="s">
        <v>14</v>
      </c>
      <c r="Z820" s="13" t="s">
        <v>355</v>
      </c>
    </row>
    <row r="821" spans="1:26" ht="19.95" customHeight="1" x14ac:dyDescent="0.3">
      <c r="A821" s="6">
        <v>45716</v>
      </c>
      <c r="B821" s="7" t="s">
        <v>339</v>
      </c>
      <c r="C821" s="8" t="s">
        <v>1556</v>
      </c>
      <c r="D821" s="8" t="s">
        <v>964</v>
      </c>
      <c r="E821" s="8" t="s">
        <v>1557</v>
      </c>
      <c r="F821" s="9" t="s">
        <v>1558</v>
      </c>
      <c r="G821" s="9" t="s">
        <v>773</v>
      </c>
      <c r="H821" s="9" t="s">
        <v>14</v>
      </c>
      <c r="I821" s="9" t="s">
        <v>66</v>
      </c>
      <c r="J821" s="10" t="s">
        <v>15</v>
      </c>
      <c r="K821" s="15" t="str">
        <f>VLOOKUP(J821,DADOS!$A$3:$B$101,2,FALSE)</f>
        <v>EE-GI-001-002</v>
      </c>
      <c r="L821" s="15" t="s">
        <v>260</v>
      </c>
      <c r="M821" s="18" t="b">
        <v>1</v>
      </c>
      <c r="N821" s="17" t="b">
        <v>1</v>
      </c>
      <c r="O821" s="17" t="b">
        <v>1</v>
      </c>
      <c r="P821" s="17" t="b">
        <v>1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1</v>
      </c>
      <c r="W821" s="11" t="s">
        <v>964</v>
      </c>
      <c r="X821" s="12" t="s">
        <v>14</v>
      </c>
      <c r="Y821" s="12" t="s">
        <v>14</v>
      </c>
      <c r="Z821" s="13" t="s">
        <v>261</v>
      </c>
    </row>
    <row r="822" spans="1:26" ht="19.95" customHeight="1" x14ac:dyDescent="0.3">
      <c r="A822" s="6">
        <v>45716</v>
      </c>
      <c r="B822" s="7" t="s">
        <v>339</v>
      </c>
      <c r="C822" s="8" t="s">
        <v>1559</v>
      </c>
      <c r="D822" s="8" t="s">
        <v>269</v>
      </c>
      <c r="E822" s="8" t="s">
        <v>1560</v>
      </c>
      <c r="F822" s="9" t="s">
        <v>1561</v>
      </c>
      <c r="G822" s="9" t="s">
        <v>1563</v>
      </c>
      <c r="H822" s="9" t="s">
        <v>14</v>
      </c>
      <c r="I822" s="9" t="s">
        <v>66</v>
      </c>
      <c r="J822" s="10" t="s">
        <v>185</v>
      </c>
      <c r="K822" s="15" t="str">
        <f>VLOOKUP(J822,DADOS!$A$3:$B$101,2,FALSE)</f>
        <v>EE-GI-001-031</v>
      </c>
      <c r="L822" s="15" t="s">
        <v>260</v>
      </c>
      <c r="M822" s="18" t="b">
        <v>1</v>
      </c>
      <c r="N822" s="17" t="b">
        <v>1</v>
      </c>
      <c r="O822" s="17" t="b">
        <v>1</v>
      </c>
      <c r="P822" s="17" t="b">
        <v>1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1</v>
      </c>
      <c r="W822" s="11" t="s">
        <v>269</v>
      </c>
      <c r="X822" s="12" t="s">
        <v>14</v>
      </c>
      <c r="Y822" s="12" t="s">
        <v>14</v>
      </c>
      <c r="Z822" s="13" t="s">
        <v>261</v>
      </c>
    </row>
    <row r="823" spans="1:26" ht="19.95" customHeight="1" x14ac:dyDescent="0.3">
      <c r="A823" s="6">
        <v>45716</v>
      </c>
      <c r="B823" s="7" t="s">
        <v>339</v>
      </c>
      <c r="C823" s="8" t="s">
        <v>1559</v>
      </c>
      <c r="D823" s="8" t="s">
        <v>269</v>
      </c>
      <c r="E823" s="8" t="s">
        <v>1560</v>
      </c>
      <c r="F823" s="9" t="s">
        <v>1562</v>
      </c>
      <c r="G823" s="9" t="s">
        <v>1564</v>
      </c>
      <c r="H823" s="9" t="s">
        <v>14</v>
      </c>
      <c r="I823" s="9" t="s">
        <v>66</v>
      </c>
      <c r="J823" s="10" t="s">
        <v>185</v>
      </c>
      <c r="K823" s="15" t="str">
        <f>VLOOKUP(J823,DADOS!$A$3:$B$101,2,FALSE)</f>
        <v>EE-GI-001-031</v>
      </c>
      <c r="L823" s="15" t="s">
        <v>260</v>
      </c>
      <c r="M823" s="18" t="b">
        <v>1</v>
      </c>
      <c r="N823" s="17" t="b">
        <v>1</v>
      </c>
      <c r="O823" s="17" t="b">
        <v>1</v>
      </c>
      <c r="P823" s="17" t="b">
        <v>1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1</v>
      </c>
      <c r="W823" s="11" t="s">
        <v>269</v>
      </c>
      <c r="X823" s="12" t="s">
        <v>14</v>
      </c>
      <c r="Y823" s="12" t="s">
        <v>14</v>
      </c>
      <c r="Z823" s="13" t="s">
        <v>261</v>
      </c>
    </row>
    <row r="824" spans="1:26" ht="19.95" customHeight="1" x14ac:dyDescent="0.3">
      <c r="A824" s="6">
        <v>45716</v>
      </c>
      <c r="B824" s="7" t="s">
        <v>339</v>
      </c>
      <c r="C824" s="8" t="s">
        <v>1565</v>
      </c>
      <c r="D824" s="8" t="s">
        <v>1262</v>
      </c>
      <c r="E824" s="8" t="s">
        <v>1560</v>
      </c>
      <c r="F824" s="9" t="s">
        <v>1566</v>
      </c>
      <c r="G824" s="9" t="s">
        <v>1567</v>
      </c>
      <c r="H824" s="9" t="s">
        <v>14</v>
      </c>
      <c r="I824" s="9" t="s">
        <v>66</v>
      </c>
      <c r="J824" s="10" t="s">
        <v>15</v>
      </c>
      <c r="K824" s="15" t="str">
        <f>VLOOKUP(J824,DADOS!$A$3:$B$101,2,FALSE)</f>
        <v>EE-GI-001-002</v>
      </c>
      <c r="L824" s="15" t="s">
        <v>260</v>
      </c>
      <c r="M824" s="18" t="b">
        <v>1</v>
      </c>
      <c r="N824" s="17" t="b">
        <v>1</v>
      </c>
      <c r="O824" s="17" t="b">
        <v>1</v>
      </c>
      <c r="P824" s="17" t="b">
        <v>1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1</v>
      </c>
      <c r="W824" s="11" t="s">
        <v>1262</v>
      </c>
      <c r="X824" s="12" t="s">
        <v>14</v>
      </c>
      <c r="Y824" s="12" t="s">
        <v>14</v>
      </c>
      <c r="Z824" s="13" t="s">
        <v>261</v>
      </c>
    </row>
    <row r="825" spans="1:26" ht="19.95" customHeight="1" x14ac:dyDescent="0.3">
      <c r="A825" s="6">
        <v>45716</v>
      </c>
      <c r="B825" s="7" t="s">
        <v>339</v>
      </c>
      <c r="C825" s="8" t="s">
        <v>2426</v>
      </c>
      <c r="D825" s="8" t="s">
        <v>269</v>
      </c>
      <c r="E825" s="8" t="s">
        <v>1560</v>
      </c>
      <c r="F825" s="9" t="s">
        <v>2427</v>
      </c>
      <c r="G825" s="9" t="s">
        <v>405</v>
      </c>
      <c r="H825" s="9" t="s">
        <v>14</v>
      </c>
      <c r="I825" s="9" t="s">
        <v>66</v>
      </c>
      <c r="J825" s="10" t="s">
        <v>186</v>
      </c>
      <c r="K825" s="15" t="str">
        <f>VLOOKUP(J825,DADOS!$A$3:$B$101,2,FALSE)</f>
        <v>EE-GI-001-008</v>
      </c>
      <c r="L825" s="15" t="s">
        <v>260</v>
      </c>
      <c r="M825" s="18" t="b">
        <v>1</v>
      </c>
      <c r="N825" s="17" t="b">
        <v>1</v>
      </c>
      <c r="O825" s="17" t="b">
        <v>1</v>
      </c>
      <c r="P825" s="17" t="b">
        <v>1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1</v>
      </c>
      <c r="W825" s="11" t="s">
        <v>269</v>
      </c>
      <c r="X825" s="12" t="s">
        <v>14</v>
      </c>
      <c r="Y825" s="12" t="s">
        <v>14</v>
      </c>
      <c r="Z825" s="13" t="s">
        <v>355</v>
      </c>
    </row>
    <row r="826" spans="1:26" ht="19.95" customHeight="1" x14ac:dyDescent="0.3">
      <c r="A826" s="6">
        <v>45716</v>
      </c>
      <c r="B826" s="7" t="s">
        <v>339</v>
      </c>
      <c r="C826" s="8" t="s">
        <v>2426</v>
      </c>
      <c r="D826" s="8" t="s">
        <v>269</v>
      </c>
      <c r="E826" s="8" t="s">
        <v>1560</v>
      </c>
      <c r="F826" s="9" t="s">
        <v>2428</v>
      </c>
      <c r="G826" s="9" t="s">
        <v>2219</v>
      </c>
      <c r="H826" s="9" t="s">
        <v>14</v>
      </c>
      <c r="I826" s="9" t="s">
        <v>66</v>
      </c>
      <c r="J826" s="10" t="s">
        <v>186</v>
      </c>
      <c r="K826" s="15" t="str">
        <f>VLOOKUP(J826,DADOS!$A$3:$B$101,2,FALSE)</f>
        <v>EE-GI-001-008</v>
      </c>
      <c r="L826" s="15" t="s">
        <v>260</v>
      </c>
      <c r="M826" s="18" t="b">
        <v>1</v>
      </c>
      <c r="N826" s="17" t="b">
        <v>1</v>
      </c>
      <c r="O826" s="17" t="b">
        <v>1</v>
      </c>
      <c r="P826" s="17" t="b">
        <v>1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1</v>
      </c>
      <c r="W826" s="11" t="s">
        <v>269</v>
      </c>
      <c r="X826" s="12" t="s">
        <v>14</v>
      </c>
      <c r="Y826" s="12" t="s">
        <v>14</v>
      </c>
      <c r="Z826" s="13" t="s">
        <v>355</v>
      </c>
    </row>
    <row r="827" spans="1:26" ht="19.95" customHeight="1" x14ac:dyDescent="0.3">
      <c r="A827" s="6">
        <v>45716</v>
      </c>
      <c r="B827" s="7" t="s">
        <v>339</v>
      </c>
      <c r="C827" s="8" t="s">
        <v>2429</v>
      </c>
      <c r="D827" s="8" t="s">
        <v>281</v>
      </c>
      <c r="E827" s="8" t="s">
        <v>1557</v>
      </c>
      <c r="F827" s="9" t="s">
        <v>2430</v>
      </c>
      <c r="G827" s="9" t="s">
        <v>2431</v>
      </c>
      <c r="H827" s="9" t="s">
        <v>14</v>
      </c>
      <c r="I827" s="9" t="s">
        <v>66</v>
      </c>
      <c r="J827" s="10" t="s">
        <v>17</v>
      </c>
      <c r="K827" s="15" t="str">
        <f>VLOOKUP(J827,DADOS!$A$3:$B$101,2,FALSE)</f>
        <v>EE-GI-001-001</v>
      </c>
      <c r="L827" s="15" t="s">
        <v>260</v>
      </c>
      <c r="M827" s="18" t="b">
        <v>1</v>
      </c>
      <c r="N827" s="17" t="b">
        <v>1</v>
      </c>
      <c r="O827" s="17" t="b">
        <v>1</v>
      </c>
      <c r="P827" s="17" t="b">
        <v>1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1</v>
      </c>
      <c r="W827" s="11" t="s">
        <v>281</v>
      </c>
      <c r="X827" s="12" t="s">
        <v>14</v>
      </c>
      <c r="Y827" s="12" t="s">
        <v>14</v>
      </c>
      <c r="Z827" s="13" t="s">
        <v>355</v>
      </c>
    </row>
    <row r="828" spans="1:26" ht="19.95" customHeight="1" x14ac:dyDescent="0.3">
      <c r="A828" s="6">
        <v>45716</v>
      </c>
      <c r="B828" s="7" t="s">
        <v>339</v>
      </c>
      <c r="C828" s="8" t="s">
        <v>2432</v>
      </c>
      <c r="D828" s="8" t="s">
        <v>287</v>
      </c>
      <c r="E828" s="8" t="s">
        <v>1557</v>
      </c>
      <c r="F828" s="9" t="s">
        <v>2433</v>
      </c>
      <c r="G828" s="9" t="s">
        <v>2431</v>
      </c>
      <c r="H828" s="9" t="s">
        <v>14</v>
      </c>
      <c r="I828" s="9" t="s">
        <v>66</v>
      </c>
      <c r="J828" s="10" t="s">
        <v>17</v>
      </c>
      <c r="K828" s="15" t="str">
        <f>VLOOKUP(J828,DADOS!$A$3:$B$101,2,FALSE)</f>
        <v>EE-GI-001-001</v>
      </c>
      <c r="L828" s="15" t="s">
        <v>260</v>
      </c>
      <c r="M828" s="18" t="b">
        <v>1</v>
      </c>
      <c r="N828" s="17" t="b">
        <v>1</v>
      </c>
      <c r="O828" s="17" t="b">
        <v>1</v>
      </c>
      <c r="P828" s="17" t="b">
        <v>1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1</v>
      </c>
      <c r="W828" s="11" t="s">
        <v>287</v>
      </c>
      <c r="X828" s="12" t="s">
        <v>14</v>
      </c>
      <c r="Y828" s="12" t="s">
        <v>14</v>
      </c>
      <c r="Z828" s="13" t="s">
        <v>355</v>
      </c>
    </row>
    <row r="829" spans="1:26" ht="19.95" customHeight="1" x14ac:dyDescent="0.3">
      <c r="A829" s="6">
        <v>45716</v>
      </c>
      <c r="B829" s="7" t="s">
        <v>339</v>
      </c>
      <c r="C829" s="8" t="s">
        <v>2434</v>
      </c>
      <c r="D829" s="8" t="s">
        <v>281</v>
      </c>
      <c r="E829" s="8" t="s">
        <v>1557</v>
      </c>
      <c r="F829" s="9" t="s">
        <v>2435</v>
      </c>
      <c r="G829" s="9" t="s">
        <v>711</v>
      </c>
      <c r="H829" s="9" t="s">
        <v>14</v>
      </c>
      <c r="I829" s="9" t="s">
        <v>66</v>
      </c>
      <c r="J829" s="10" t="s">
        <v>17</v>
      </c>
      <c r="K829" s="15" t="str">
        <f>VLOOKUP(J829,DADOS!$A$3:$B$101,2,FALSE)</f>
        <v>EE-GI-001-001</v>
      </c>
      <c r="L829" s="15" t="s">
        <v>260</v>
      </c>
      <c r="M829" s="18" t="b">
        <v>1</v>
      </c>
      <c r="N829" s="17" t="b">
        <v>1</v>
      </c>
      <c r="O829" s="17" t="b">
        <v>1</v>
      </c>
      <c r="P829" s="17" t="b">
        <v>1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1</v>
      </c>
      <c r="W829" s="11" t="s">
        <v>281</v>
      </c>
      <c r="X829" s="12" t="s">
        <v>14</v>
      </c>
      <c r="Y829" s="12" t="s">
        <v>14</v>
      </c>
      <c r="Z829" s="13" t="s">
        <v>355</v>
      </c>
    </row>
    <row r="830" spans="1:26" ht="19.95" customHeight="1" x14ac:dyDescent="0.3">
      <c r="A830" s="6">
        <v>45716</v>
      </c>
      <c r="B830" s="7" t="s">
        <v>339</v>
      </c>
      <c r="C830" s="8" t="s">
        <v>1261</v>
      </c>
      <c r="D830" s="8" t="s">
        <v>364</v>
      </c>
      <c r="E830" s="8" t="s">
        <v>1560</v>
      </c>
      <c r="F830" s="9" t="s">
        <v>2436</v>
      </c>
      <c r="G830" s="9" t="s">
        <v>2171</v>
      </c>
      <c r="H830" s="9" t="s">
        <v>14</v>
      </c>
      <c r="I830" s="9" t="s">
        <v>2445</v>
      </c>
      <c r="J830" s="10" t="s">
        <v>186</v>
      </c>
      <c r="K830" s="15" t="str">
        <f>VLOOKUP(J830,DADOS!$A$3:$B$101,2,FALSE)</f>
        <v>EE-GI-001-008</v>
      </c>
      <c r="L830" s="15" t="s">
        <v>1955</v>
      </c>
      <c r="M830" s="18" t="b">
        <v>1</v>
      </c>
      <c r="N830" s="17" t="b">
        <v>1</v>
      </c>
      <c r="O830" s="17" t="b">
        <v>1</v>
      </c>
      <c r="P830" s="17" t="b">
        <v>1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1</v>
      </c>
      <c r="W830" s="11" t="s">
        <v>364</v>
      </c>
      <c r="X830" s="12" t="s">
        <v>14</v>
      </c>
      <c r="Y830" s="12" t="s">
        <v>14</v>
      </c>
      <c r="Z830" s="13" t="s">
        <v>355</v>
      </c>
    </row>
    <row r="831" spans="1:26" ht="19.95" customHeight="1" x14ac:dyDescent="0.3">
      <c r="A831" s="6">
        <v>45716</v>
      </c>
      <c r="B831" s="7" t="s">
        <v>339</v>
      </c>
      <c r="C831" s="8" t="s">
        <v>1261</v>
      </c>
      <c r="D831" s="8" t="s">
        <v>279</v>
      </c>
      <c r="E831" s="8" t="s">
        <v>1560</v>
      </c>
      <c r="F831" s="9" t="s">
        <v>2437</v>
      </c>
      <c r="G831" s="9" t="s">
        <v>2171</v>
      </c>
      <c r="H831" s="9" t="s">
        <v>14</v>
      </c>
      <c r="I831" s="9" t="s">
        <v>66</v>
      </c>
      <c r="J831" s="10" t="s">
        <v>186</v>
      </c>
      <c r="K831" s="15" t="str">
        <f>VLOOKUP(J831,DADOS!$A$3:$B$101,2,FALSE)</f>
        <v>EE-GI-001-008</v>
      </c>
      <c r="L831" s="15" t="s">
        <v>1955</v>
      </c>
      <c r="M831" s="18" t="b">
        <v>1</v>
      </c>
      <c r="N831" s="17" t="b">
        <v>1</v>
      </c>
      <c r="O831" s="17" t="b">
        <v>1</v>
      </c>
      <c r="P831" s="17" t="b">
        <v>1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1</v>
      </c>
      <c r="W831" s="11" t="s">
        <v>279</v>
      </c>
      <c r="X831" s="12" t="s">
        <v>14</v>
      </c>
      <c r="Y831" s="12" t="s">
        <v>14</v>
      </c>
      <c r="Z831" s="13" t="s">
        <v>355</v>
      </c>
    </row>
    <row r="832" spans="1:26" ht="19.95" customHeight="1" x14ac:dyDescent="0.3">
      <c r="A832" s="6">
        <v>45716</v>
      </c>
      <c r="B832" s="7" t="s">
        <v>339</v>
      </c>
      <c r="C832" s="8" t="s">
        <v>1261</v>
      </c>
      <c r="D832" s="8" t="s">
        <v>421</v>
      </c>
      <c r="E832" s="8" t="s">
        <v>1560</v>
      </c>
      <c r="F832" s="9" t="s">
        <v>2438</v>
      </c>
      <c r="G832" s="9" t="s">
        <v>2171</v>
      </c>
      <c r="H832" s="9" t="s">
        <v>14</v>
      </c>
      <c r="I832" s="9" t="s">
        <v>66</v>
      </c>
      <c r="J832" s="10" t="s">
        <v>186</v>
      </c>
      <c r="K832" s="15" t="str">
        <f>VLOOKUP(J832,DADOS!$A$3:$B$101,2,FALSE)</f>
        <v>EE-GI-001-008</v>
      </c>
      <c r="L832" s="15" t="s">
        <v>1955</v>
      </c>
      <c r="M832" s="18" t="b">
        <v>1</v>
      </c>
      <c r="N832" s="17" t="b">
        <v>1</v>
      </c>
      <c r="O832" s="17" t="b">
        <v>1</v>
      </c>
      <c r="P832" s="17" t="b">
        <v>1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1</v>
      </c>
      <c r="W832" s="11" t="s">
        <v>421</v>
      </c>
      <c r="X832" s="12" t="s">
        <v>14</v>
      </c>
      <c r="Y832" s="12" t="s">
        <v>14</v>
      </c>
      <c r="Z832" s="13" t="s">
        <v>355</v>
      </c>
    </row>
    <row r="833" spans="1:26" ht="19.95" customHeight="1" x14ac:dyDescent="0.3">
      <c r="A833" s="6">
        <v>45716</v>
      </c>
      <c r="B833" s="7" t="s">
        <v>1568</v>
      </c>
      <c r="C833" s="8" t="s">
        <v>2121</v>
      </c>
      <c r="D833" s="8" t="s">
        <v>281</v>
      </c>
      <c r="E833" s="8" t="s">
        <v>2122</v>
      </c>
      <c r="F833" s="9" t="s">
        <v>2123</v>
      </c>
      <c r="G833" s="9" t="s">
        <v>2124</v>
      </c>
      <c r="H833" s="9" t="s">
        <v>2125</v>
      </c>
      <c r="I833" s="9" t="s">
        <v>66</v>
      </c>
      <c r="J833" s="10" t="s">
        <v>185</v>
      </c>
      <c r="K833" s="15" t="str">
        <f>VLOOKUP(J833,DADOS!$A$3:$B$101,2,FALSE)</f>
        <v>EE-GI-001-031</v>
      </c>
      <c r="L833" s="15" t="s">
        <v>260</v>
      </c>
      <c r="M833" s="18" t="b">
        <v>1</v>
      </c>
      <c r="N833" s="17" t="b">
        <v>1</v>
      </c>
      <c r="O833" s="17" t="b">
        <v>1</v>
      </c>
      <c r="P833" s="17" t="b">
        <v>1</v>
      </c>
      <c r="Q833" s="17" t="b">
        <v>0</v>
      </c>
      <c r="R833" s="17" t="b">
        <v>1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 t="s">
        <v>281</v>
      </c>
      <c r="X833" s="12" t="s">
        <v>14</v>
      </c>
      <c r="Y833" s="12" t="s">
        <v>14</v>
      </c>
      <c r="Z833" s="13" t="s">
        <v>355</v>
      </c>
    </row>
    <row r="834" spans="1:26" ht="19.95" customHeight="1" x14ac:dyDescent="0.3">
      <c r="A834" s="6">
        <v>45716</v>
      </c>
      <c r="B834" s="7" t="s">
        <v>2704</v>
      </c>
      <c r="C834" s="8" t="s">
        <v>2705</v>
      </c>
      <c r="D834" s="8" t="s">
        <v>281</v>
      </c>
      <c r="E834" s="8" t="s">
        <v>2706</v>
      </c>
      <c r="F834" s="9" t="s">
        <v>2707</v>
      </c>
      <c r="G834" s="9" t="s">
        <v>2708</v>
      </c>
      <c r="H834" s="9" t="s">
        <v>2709</v>
      </c>
      <c r="I834" s="9" t="s">
        <v>69</v>
      </c>
      <c r="J834" s="10" t="s">
        <v>24</v>
      </c>
      <c r="K834" s="15" t="str">
        <f>VLOOKUP(J834,DADOS!$A$3:$B$101,2,FALSE)</f>
        <v>EE-GI-021-005</v>
      </c>
      <c r="L834" s="15" t="s">
        <v>260</v>
      </c>
      <c r="M834" s="18" t="b">
        <v>1</v>
      </c>
      <c r="N834" s="17" t="b">
        <v>1</v>
      </c>
      <c r="O834" s="17" t="b">
        <v>1</v>
      </c>
      <c r="P834" s="17" t="b">
        <v>1</v>
      </c>
      <c r="Q834" s="17" t="b">
        <v>0</v>
      </c>
      <c r="R834" s="17" t="b">
        <v>1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 t="s">
        <v>281</v>
      </c>
      <c r="X834" s="12" t="s">
        <v>14</v>
      </c>
      <c r="Y834" s="12" t="s">
        <v>14</v>
      </c>
      <c r="Z834" s="13" t="s">
        <v>355</v>
      </c>
    </row>
    <row r="835" spans="1:26" ht="19.95" customHeight="1" x14ac:dyDescent="0.3">
      <c r="A835" s="6"/>
      <c r="B835" s="7"/>
      <c r="C835" s="8"/>
      <c r="D835" s="8"/>
      <c r="E835" s="8"/>
      <c r="F835" s="9"/>
      <c r="G835" s="9"/>
      <c r="H835" s="9"/>
      <c r="I835" s="9"/>
      <c r="J835" s="10"/>
      <c r="K835" s="15" t="e">
        <f>VLOOKUP(J835,DADOS!$A$3:$B$101,2,FALSE)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95" customHeight="1" x14ac:dyDescent="0.3">
      <c r="A836" s="6"/>
      <c r="B836" s="7"/>
      <c r="C836" s="8"/>
      <c r="D836" s="8"/>
      <c r="E836" s="8"/>
      <c r="F836" s="9"/>
      <c r="G836" s="9"/>
      <c r="H836" s="9"/>
      <c r="I836" s="9"/>
      <c r="J836" s="10"/>
      <c r="K836" s="15" t="e">
        <f>VLOOKUP(J836,DADOS!$A$3:$B$101,2,FALSE)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95" customHeight="1" x14ac:dyDescent="0.3">
      <c r="A837" s="6"/>
      <c r="B837" s="7"/>
      <c r="C837" s="8"/>
      <c r="D837" s="8"/>
      <c r="E837" s="8"/>
      <c r="F837" s="9"/>
      <c r="G837" s="9"/>
      <c r="H837" s="9"/>
      <c r="I837" s="9"/>
      <c r="J837" s="10"/>
      <c r="K837" s="15" t="e">
        <f>VLOOKUP(J837,DADOS!$A$3:$B$101,2,FALSE)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95" customHeight="1" x14ac:dyDescent="0.3">
      <c r="A838" s="6"/>
      <c r="B838" s="7"/>
      <c r="C838" s="8"/>
      <c r="D838" s="8"/>
      <c r="E838" s="8"/>
      <c r="F838" s="9"/>
      <c r="G838" s="9"/>
      <c r="H838" s="9"/>
      <c r="I838" s="9"/>
      <c r="J838" s="10"/>
      <c r="K838" s="15" t="e">
        <f>VLOOKUP(J838,DADOS!$A$3:$B$101,2,FALSE)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95" customHeight="1" x14ac:dyDescent="0.3">
      <c r="A839" s="6"/>
      <c r="B839" s="7"/>
      <c r="C839" s="8"/>
      <c r="D839" s="8"/>
      <c r="E839" s="8"/>
      <c r="F839" s="9"/>
      <c r="G839" s="9"/>
      <c r="H839" s="9"/>
      <c r="I839" s="9"/>
      <c r="J839" s="10"/>
      <c r="K839" s="15" t="e">
        <f>VLOOKUP(J839,DADOS!$A$3:$B$101,2,FALSE)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95" customHeight="1" x14ac:dyDescent="0.3">
      <c r="A840" s="6"/>
      <c r="B840" s="7"/>
      <c r="C840" s="8"/>
      <c r="D840" s="8"/>
      <c r="E840" s="8"/>
      <c r="F840" s="9"/>
      <c r="G840" s="9"/>
      <c r="H840" s="9"/>
      <c r="I840" s="9"/>
      <c r="J840" s="10"/>
      <c r="K840" s="15" t="e">
        <f>VLOOKUP(J840,DADOS!$A$3:$B$101,2,FALSE)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95" customHeight="1" x14ac:dyDescent="0.3">
      <c r="A841" s="6"/>
      <c r="B841" s="7"/>
      <c r="C841" s="8"/>
      <c r="D841" s="8"/>
      <c r="E841" s="8"/>
      <c r="F841" s="9"/>
      <c r="G841" s="9"/>
      <c r="H841" s="9"/>
      <c r="I841" s="9"/>
      <c r="J841" s="10"/>
      <c r="K841" s="15" t="e">
        <f>VLOOKUP(J841,DADOS!$A$3:$B$101,2,FALSE)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95" customHeight="1" x14ac:dyDescent="0.3">
      <c r="A842" s="6"/>
      <c r="B842" s="7"/>
      <c r="C842" s="8"/>
      <c r="D842" s="8"/>
      <c r="E842" s="8"/>
      <c r="F842" s="9"/>
      <c r="G842" s="9"/>
      <c r="H842" s="9"/>
      <c r="I842" s="9"/>
      <c r="J842" s="10"/>
      <c r="K842" s="15" t="e">
        <f>VLOOKUP(J842,DADOS!$A$3:$B$101,2,FALSE)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95" customHeight="1" x14ac:dyDescent="0.3">
      <c r="A843" s="6"/>
      <c r="B843" s="7"/>
      <c r="C843" s="8"/>
      <c r="D843" s="8"/>
      <c r="E843" s="8"/>
      <c r="F843" s="9"/>
      <c r="G843" s="9"/>
      <c r="H843" s="9"/>
      <c r="I843" s="9"/>
      <c r="J843" s="10"/>
      <c r="K843" s="15" t="e">
        <f>VLOOKUP(J843,DADOS!$A$3:$B$101,2,FALSE)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95" customHeight="1" x14ac:dyDescent="0.3">
      <c r="A844" s="6"/>
      <c r="B844" s="7"/>
      <c r="C844" s="8"/>
      <c r="D844" s="8"/>
      <c r="E844" s="8"/>
      <c r="F844" s="9"/>
      <c r="G844" s="9"/>
      <c r="H844" s="9"/>
      <c r="I844" s="9"/>
      <c r="J844" s="10"/>
      <c r="K844" s="15" t="e">
        <f>VLOOKUP(J844,DADOS!$A$3:$B$101,2,FALSE)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95" customHeight="1" x14ac:dyDescent="0.3">
      <c r="A845" s="6"/>
      <c r="B845" s="7"/>
      <c r="C845" s="8"/>
      <c r="D845" s="8"/>
      <c r="E845" s="8"/>
      <c r="F845" s="9"/>
      <c r="G845" s="9"/>
      <c r="H845" s="9"/>
      <c r="I845" s="9"/>
      <c r="J845" s="10"/>
      <c r="K845" s="15" t="e">
        <f>VLOOKUP(J845,DADOS!$A$3:$B$101,2,FALSE)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95" customHeight="1" x14ac:dyDescent="0.3">
      <c r="A846" s="6"/>
      <c r="B846" s="7"/>
      <c r="C846" s="8"/>
      <c r="D846" s="8"/>
      <c r="E846" s="8"/>
      <c r="F846" s="9"/>
      <c r="G846" s="9"/>
      <c r="H846" s="9"/>
      <c r="I846" s="9"/>
      <c r="J846" s="10"/>
      <c r="K846" s="15" t="e">
        <f>VLOOKUP(J846,DADOS!$A$3:$B$101,2,FALSE)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95" customHeight="1" x14ac:dyDescent="0.3">
      <c r="A847" s="6"/>
      <c r="B847" s="7"/>
      <c r="C847" s="8"/>
      <c r="D847" s="8"/>
      <c r="E847" s="8"/>
      <c r="F847" s="9"/>
      <c r="G847" s="9"/>
      <c r="H847" s="9"/>
      <c r="I847" s="9"/>
      <c r="J847" s="10"/>
      <c r="K847" s="15" t="e">
        <f>VLOOKUP(J847,DADOS!$A$3:$B$101,2,FALSE)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95" customHeight="1" x14ac:dyDescent="0.3">
      <c r="A848" s="6"/>
      <c r="B848" s="7"/>
      <c r="C848" s="8"/>
      <c r="D848" s="8"/>
      <c r="E848" s="8"/>
      <c r="F848" s="9"/>
      <c r="G848" s="9"/>
      <c r="H848" s="9"/>
      <c r="I848" s="9"/>
      <c r="J848" s="10"/>
      <c r="K848" s="15" t="e">
        <f>VLOOKUP(J848,DADOS!$A$3:$B$101,2,FALSE)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95" customHeight="1" x14ac:dyDescent="0.3">
      <c r="A849" s="6"/>
      <c r="B849" s="7"/>
      <c r="C849" s="8"/>
      <c r="D849" s="8"/>
      <c r="E849" s="8"/>
      <c r="F849" s="9"/>
      <c r="G849" s="9"/>
      <c r="H849" s="9"/>
      <c r="I849" s="9"/>
      <c r="J849" s="10"/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95" customHeight="1" x14ac:dyDescent="0.3">
      <c r="A850" s="6"/>
      <c r="B850" s="7"/>
      <c r="C850" s="8"/>
      <c r="D850" s="8"/>
      <c r="E850" s="8"/>
      <c r="F850" s="9"/>
      <c r="G850" s="9"/>
      <c r="H850" s="9"/>
      <c r="I850" s="9"/>
      <c r="J850" s="10"/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95" customHeight="1" x14ac:dyDescent="0.3">
      <c r="A851" s="6"/>
      <c r="B851" s="7"/>
      <c r="C851" s="8"/>
      <c r="D851" s="8"/>
      <c r="E851" s="8"/>
      <c r="F851" s="9"/>
      <c r="G851" s="9"/>
      <c r="H851" s="9"/>
      <c r="I851" s="9"/>
      <c r="J851" s="10"/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2"/>
    </row>
    <row r="852" spans="1:26" ht="19.95" customHeight="1" x14ac:dyDescent="0.3">
      <c r="A852" s="6"/>
      <c r="B852" s="7"/>
      <c r="C852" s="8"/>
      <c r="D852" s="8"/>
      <c r="E852" s="8"/>
      <c r="F852" s="9"/>
      <c r="G852" s="9"/>
      <c r="H852" s="9"/>
      <c r="I852" s="9"/>
      <c r="J852" s="10"/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95" customHeight="1" x14ac:dyDescent="0.3">
      <c r="A853" s="6"/>
      <c r="B853" s="7"/>
      <c r="C853" s="8"/>
      <c r="D853" s="8"/>
      <c r="E853" s="8"/>
      <c r="F853" s="9"/>
      <c r="G853" s="9"/>
      <c r="H853" s="9"/>
      <c r="I853" s="9"/>
      <c r="J853" s="10"/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95" customHeight="1" x14ac:dyDescent="0.3">
      <c r="A854" s="6"/>
      <c r="B854" s="7"/>
      <c r="C854" s="8"/>
      <c r="D854" s="8"/>
      <c r="E854" s="8"/>
      <c r="F854" s="9"/>
      <c r="G854" s="9"/>
      <c r="H854" s="9"/>
      <c r="I854" s="9"/>
      <c r="J854" s="10"/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95" customHeight="1" x14ac:dyDescent="0.3">
      <c r="A855" s="6"/>
      <c r="B855" s="7"/>
      <c r="C855" s="8"/>
      <c r="D855" s="8"/>
      <c r="E855" s="8"/>
      <c r="F855" s="9"/>
      <c r="G855" s="9"/>
      <c r="H855" s="9"/>
      <c r="I855" s="9"/>
      <c r="J855" s="10"/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95" customHeight="1" x14ac:dyDescent="0.3">
      <c r="A856" s="6"/>
      <c r="B856" s="7"/>
      <c r="C856" s="8"/>
      <c r="D856" s="8"/>
      <c r="E856" s="8"/>
      <c r="F856" s="9"/>
      <c r="G856" s="9"/>
      <c r="H856" s="9"/>
      <c r="I856" s="9"/>
      <c r="J856" s="10"/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95" customHeight="1" x14ac:dyDescent="0.3">
      <c r="A857" s="6"/>
      <c r="B857" s="7"/>
      <c r="C857" s="8"/>
      <c r="D857" s="8"/>
      <c r="E857" s="8"/>
      <c r="F857" s="9"/>
      <c r="G857" s="9"/>
      <c r="H857" s="9"/>
      <c r="I857" s="9"/>
      <c r="J857" s="10"/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95" customHeight="1" x14ac:dyDescent="0.3">
      <c r="A858" s="6"/>
      <c r="B858" s="7"/>
      <c r="C858" s="8"/>
      <c r="D858" s="8"/>
      <c r="E858" s="8"/>
      <c r="F858" s="9"/>
      <c r="G858" s="9"/>
      <c r="H858" s="9"/>
      <c r="I858" s="9"/>
      <c r="J858" s="10"/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95" customHeight="1" x14ac:dyDescent="0.3">
      <c r="A859" s="6"/>
      <c r="B859" s="7"/>
      <c r="C859" s="8"/>
      <c r="D859" s="8"/>
      <c r="E859" s="8"/>
      <c r="F859" s="9"/>
      <c r="G859" s="9"/>
      <c r="H859" s="9"/>
      <c r="I859" s="9"/>
      <c r="J859" s="10"/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95" customHeight="1" x14ac:dyDescent="0.3">
      <c r="A860" s="6"/>
      <c r="B860" s="7"/>
      <c r="C860" s="8"/>
      <c r="D860" s="8"/>
      <c r="E860" s="8"/>
      <c r="F860" s="9"/>
      <c r="G860" s="9"/>
      <c r="H860" s="9"/>
      <c r="I860" s="9"/>
      <c r="J860" s="10"/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95" customHeight="1" x14ac:dyDescent="0.3">
      <c r="A861" s="6"/>
      <c r="B861" s="7"/>
      <c r="C861" s="8"/>
      <c r="D861" s="8"/>
      <c r="E861" s="8"/>
      <c r="F861" s="9"/>
      <c r="G861" s="9"/>
      <c r="H861" s="9"/>
      <c r="I861" s="9"/>
      <c r="J861" s="10"/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95" customHeight="1" x14ac:dyDescent="0.3">
      <c r="A862" s="6"/>
      <c r="B862" s="7"/>
      <c r="C862" s="8"/>
      <c r="D862" s="8"/>
      <c r="E862" s="8"/>
      <c r="F862" s="9"/>
      <c r="G862" s="9"/>
      <c r="H862" s="9"/>
      <c r="I862" s="9"/>
      <c r="J862" s="10"/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95" customHeight="1" x14ac:dyDescent="0.3">
      <c r="A863" s="6"/>
      <c r="B863" s="7"/>
      <c r="C863" s="8"/>
      <c r="D863" s="8"/>
      <c r="E863" s="8"/>
      <c r="F863" s="9"/>
      <c r="G863" s="9"/>
      <c r="H863" s="9"/>
      <c r="I863" s="9"/>
      <c r="J863" s="10"/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95" customHeight="1" x14ac:dyDescent="0.3">
      <c r="A864" s="6"/>
      <c r="B864" s="7"/>
      <c r="C864" s="8"/>
      <c r="D864" s="8"/>
      <c r="E864" s="8"/>
      <c r="F864" s="9"/>
      <c r="G864" s="9"/>
      <c r="H864" s="9"/>
      <c r="I864" s="9"/>
      <c r="J864" s="10"/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95" customHeight="1" x14ac:dyDescent="0.3">
      <c r="A865" s="6"/>
      <c r="B865" s="7"/>
      <c r="C865" s="8"/>
      <c r="D865" s="8"/>
      <c r="E865" s="8"/>
      <c r="F865" s="9"/>
      <c r="G865" s="9"/>
      <c r="H865" s="9"/>
      <c r="I865" s="9"/>
      <c r="J865" s="10"/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95" customHeight="1" x14ac:dyDescent="0.3">
      <c r="A866" s="6"/>
      <c r="B866" s="7"/>
      <c r="C866" s="8"/>
      <c r="D866" s="8"/>
      <c r="E866" s="8"/>
      <c r="F866" s="9"/>
      <c r="G866" s="9"/>
      <c r="H866" s="9"/>
      <c r="I866" s="9"/>
      <c r="J866" s="10"/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95" customHeight="1" x14ac:dyDescent="0.3">
      <c r="A867" s="6"/>
      <c r="B867" s="7"/>
      <c r="C867" s="8"/>
      <c r="D867" s="8"/>
      <c r="E867" s="8"/>
      <c r="F867" s="9"/>
      <c r="G867" s="9"/>
      <c r="H867" s="9"/>
      <c r="I867" s="9"/>
      <c r="J867" s="10"/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95" customHeight="1" x14ac:dyDescent="0.3">
      <c r="A868" s="6"/>
      <c r="B868" s="7"/>
      <c r="C868" s="8"/>
      <c r="D868" s="8"/>
      <c r="E868" s="8"/>
      <c r="F868" s="9"/>
      <c r="G868" s="9"/>
      <c r="H868" s="9"/>
      <c r="I868" s="9"/>
      <c r="J868" s="10"/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95" customHeight="1" x14ac:dyDescent="0.3">
      <c r="A869" s="6"/>
      <c r="B869" s="7"/>
      <c r="C869" s="8"/>
      <c r="D869" s="8"/>
      <c r="E869" s="8"/>
      <c r="F869" s="9"/>
      <c r="G869" s="9"/>
      <c r="H869" s="9"/>
      <c r="I869" s="9"/>
      <c r="J869" s="10"/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95" customHeight="1" x14ac:dyDescent="0.3">
      <c r="A870" s="6"/>
      <c r="B870" s="7"/>
      <c r="C870" s="8"/>
      <c r="D870" s="8"/>
      <c r="E870" s="8"/>
      <c r="F870" s="9"/>
      <c r="G870" s="9"/>
      <c r="H870" s="9"/>
      <c r="I870" s="9"/>
      <c r="J870" s="10"/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95" customHeight="1" x14ac:dyDescent="0.3">
      <c r="A871" s="6"/>
      <c r="B871" s="7"/>
      <c r="C871" s="8"/>
      <c r="D871" s="8"/>
      <c r="E871" s="8"/>
      <c r="F871" s="9"/>
      <c r="G871" s="9"/>
      <c r="H871" s="9"/>
      <c r="I871" s="9"/>
      <c r="J871" s="10"/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95" customHeight="1" x14ac:dyDescent="0.3">
      <c r="A872" s="6"/>
      <c r="B872" s="7"/>
      <c r="C872" s="8"/>
      <c r="D872" s="8"/>
      <c r="E872" s="8"/>
      <c r="F872" s="9"/>
      <c r="G872" s="9"/>
      <c r="H872" s="9"/>
      <c r="I872" s="9"/>
      <c r="J872" s="10"/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95" customHeight="1" x14ac:dyDescent="0.3">
      <c r="A873" s="6"/>
      <c r="B873" s="7"/>
      <c r="C873" s="8"/>
      <c r="D873" s="8"/>
      <c r="E873" s="8"/>
      <c r="F873" s="9"/>
      <c r="G873" s="9"/>
      <c r="H873" s="9"/>
      <c r="I873" s="9"/>
      <c r="J873" s="10"/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95" customHeight="1" x14ac:dyDescent="0.3">
      <c r="A874" s="6"/>
      <c r="B874" s="7"/>
      <c r="C874" s="8"/>
      <c r="D874" s="8"/>
      <c r="E874" s="8"/>
      <c r="F874" s="9"/>
      <c r="G874" s="9"/>
      <c r="H874" s="9"/>
      <c r="I874" s="9"/>
      <c r="J874" s="10"/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95" customHeight="1" x14ac:dyDescent="0.3">
      <c r="A875" s="6"/>
      <c r="B875" s="7"/>
      <c r="C875" s="8"/>
      <c r="D875" s="8"/>
      <c r="E875" s="8"/>
      <c r="F875" s="9"/>
      <c r="G875" s="9"/>
      <c r="H875" s="9"/>
      <c r="I875" s="9"/>
      <c r="J875" s="10"/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95" customHeight="1" x14ac:dyDescent="0.3">
      <c r="A876" s="6"/>
      <c r="B876" s="7"/>
      <c r="C876" s="8"/>
      <c r="D876" s="8"/>
      <c r="E876" s="8"/>
      <c r="F876" s="9"/>
      <c r="G876" s="9"/>
      <c r="H876" s="8"/>
      <c r="I876" s="9"/>
      <c r="J876" s="10"/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95" customHeight="1" x14ac:dyDescent="0.3">
      <c r="A877" s="6"/>
      <c r="B877" s="7"/>
      <c r="C877" s="8"/>
      <c r="D877" s="8"/>
      <c r="E877" s="8"/>
      <c r="F877" s="9"/>
      <c r="G877" s="9"/>
      <c r="H877" s="9"/>
      <c r="I877" s="9"/>
      <c r="J877" s="10"/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95" customHeight="1" x14ac:dyDescent="0.3">
      <c r="A878" s="6"/>
      <c r="B878" s="7"/>
      <c r="C878" s="8"/>
      <c r="D878" s="8"/>
      <c r="E878" s="8"/>
      <c r="F878" s="9"/>
      <c r="G878" s="9"/>
      <c r="H878" s="9"/>
      <c r="I878" s="9"/>
      <c r="J878" s="10"/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95" customHeight="1" x14ac:dyDescent="0.3">
      <c r="A879" s="6"/>
      <c r="B879" s="7"/>
      <c r="C879" s="8"/>
      <c r="D879" s="8"/>
      <c r="E879" s="8"/>
      <c r="F879" s="9"/>
      <c r="G879" s="9"/>
      <c r="H879" s="9"/>
      <c r="I879" s="9"/>
      <c r="J879" s="10"/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95" customHeight="1" x14ac:dyDescent="0.3">
      <c r="A880" s="6"/>
      <c r="B880" s="7"/>
      <c r="C880" s="8"/>
      <c r="D880" s="8"/>
      <c r="E880" s="8"/>
      <c r="F880" s="9"/>
      <c r="G880" s="9"/>
      <c r="H880" s="9"/>
      <c r="I880" s="9"/>
      <c r="J880" s="10"/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95" customHeight="1" x14ac:dyDescent="0.3">
      <c r="A881" s="6"/>
      <c r="B881" s="7"/>
      <c r="C881" s="8"/>
      <c r="D881" s="8"/>
      <c r="E881" s="8"/>
      <c r="F881" s="9"/>
      <c r="G881" s="9"/>
      <c r="H881" s="9"/>
      <c r="I881" s="9"/>
      <c r="J881" s="10"/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95" customHeight="1" x14ac:dyDescent="0.3">
      <c r="A882" s="6"/>
      <c r="B882" s="7"/>
      <c r="C882" s="8"/>
      <c r="D882" s="8"/>
      <c r="E882" s="8"/>
      <c r="F882" s="9"/>
      <c r="G882" s="9"/>
      <c r="H882" s="9"/>
      <c r="I882" s="9"/>
      <c r="J882" s="10"/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95" customHeight="1" x14ac:dyDescent="0.3">
      <c r="A883" s="6"/>
      <c r="B883" s="7"/>
      <c r="C883" s="8"/>
      <c r="D883" s="8"/>
      <c r="E883" s="8"/>
      <c r="F883" s="9"/>
      <c r="G883" s="9"/>
      <c r="H883" s="9"/>
      <c r="I883" s="9"/>
      <c r="J883" s="10"/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95" customHeight="1" x14ac:dyDescent="0.3">
      <c r="A884" s="6"/>
      <c r="B884" s="7"/>
      <c r="C884" s="8"/>
      <c r="D884" s="8"/>
      <c r="E884" s="8"/>
      <c r="F884" s="9"/>
      <c r="G884" s="9"/>
      <c r="H884" s="9"/>
      <c r="I884" s="9"/>
      <c r="J884" s="10"/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95" customHeight="1" x14ac:dyDescent="0.3">
      <c r="A885" s="6"/>
      <c r="B885" s="7"/>
      <c r="C885" s="8"/>
      <c r="D885" s="8"/>
      <c r="E885" s="8"/>
      <c r="F885" s="9"/>
      <c r="G885" s="9"/>
      <c r="H885" s="9"/>
      <c r="I885" s="9"/>
      <c r="J885" s="10"/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95" customHeight="1" x14ac:dyDescent="0.3">
      <c r="A886" s="6"/>
      <c r="B886" s="7"/>
      <c r="C886" s="8"/>
      <c r="D886" s="8"/>
      <c r="E886" s="8"/>
      <c r="F886" s="9"/>
      <c r="G886" s="9"/>
      <c r="H886" s="9"/>
      <c r="I886" s="9"/>
      <c r="J886" s="10"/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95" customHeight="1" x14ac:dyDescent="0.3">
      <c r="A887" s="6"/>
      <c r="B887" s="7"/>
      <c r="C887" s="8"/>
      <c r="D887" s="8"/>
      <c r="E887" s="8"/>
      <c r="F887" s="9"/>
      <c r="G887" s="9"/>
      <c r="H887" s="9"/>
      <c r="I887" s="9"/>
      <c r="J887" s="10"/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95" customHeight="1" x14ac:dyDescent="0.3">
      <c r="A888" s="6"/>
      <c r="B888" s="7"/>
      <c r="C888" s="8"/>
      <c r="D888" s="8"/>
      <c r="E888" s="8"/>
      <c r="F888" s="9"/>
      <c r="G888" s="9"/>
      <c r="H888" s="9"/>
      <c r="I888" s="9"/>
      <c r="J888" s="10"/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95" customHeight="1" x14ac:dyDescent="0.3">
      <c r="A889" s="6"/>
      <c r="B889" s="7"/>
      <c r="C889" s="8"/>
      <c r="D889" s="8"/>
      <c r="E889" s="8"/>
      <c r="F889" s="9"/>
      <c r="G889" s="9"/>
      <c r="H889" s="9"/>
      <c r="I889" s="9"/>
      <c r="J889" s="10"/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95" customHeight="1" x14ac:dyDescent="0.3">
      <c r="A890" s="6"/>
      <c r="B890" s="7"/>
      <c r="C890" s="8"/>
      <c r="D890" s="8"/>
      <c r="E890" s="8"/>
      <c r="F890" s="9"/>
      <c r="G890" s="9"/>
      <c r="H890" s="9"/>
      <c r="I890" s="9"/>
      <c r="J890" s="10"/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95" customHeight="1" x14ac:dyDescent="0.3">
      <c r="A891" s="6"/>
      <c r="B891" s="7"/>
      <c r="C891" s="8"/>
      <c r="D891" s="8"/>
      <c r="E891" s="8"/>
      <c r="F891" s="9"/>
      <c r="G891" s="9"/>
      <c r="H891" s="9"/>
      <c r="I891" s="9"/>
      <c r="J891" s="10"/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95" customHeight="1" x14ac:dyDescent="0.3">
      <c r="A892" s="6"/>
      <c r="B892" s="7"/>
      <c r="C892" s="8"/>
      <c r="D892" s="8"/>
      <c r="E892" s="8"/>
      <c r="F892" s="9"/>
      <c r="G892" s="9"/>
      <c r="H892" s="9"/>
      <c r="I892" s="9"/>
      <c r="J892" s="10"/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95" customHeight="1" x14ac:dyDescent="0.3">
      <c r="A893" s="6"/>
      <c r="B893" s="7"/>
      <c r="C893" s="8"/>
      <c r="D893" s="8"/>
      <c r="E893" s="8"/>
      <c r="F893" s="9"/>
      <c r="G893" s="9"/>
      <c r="H893" s="9"/>
      <c r="I893" s="9"/>
      <c r="J893" s="10"/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95" customHeight="1" x14ac:dyDescent="0.3">
      <c r="A894" s="6"/>
      <c r="B894" s="7"/>
      <c r="C894" s="8"/>
      <c r="D894" s="8"/>
      <c r="E894" s="8"/>
      <c r="F894" s="9"/>
      <c r="G894" s="9"/>
      <c r="H894" s="9"/>
      <c r="I894" s="9"/>
      <c r="J894" s="10"/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95" customHeight="1" x14ac:dyDescent="0.3">
      <c r="A895" s="6"/>
      <c r="B895" s="7"/>
      <c r="C895" s="8"/>
      <c r="D895" s="8"/>
      <c r="E895" s="8"/>
      <c r="F895" s="9"/>
      <c r="G895" s="9"/>
      <c r="H895" s="9"/>
      <c r="I895" s="9"/>
      <c r="J895" s="10"/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95" customHeight="1" x14ac:dyDescent="0.3">
      <c r="A896" s="6"/>
      <c r="B896" s="7"/>
      <c r="C896" s="8"/>
      <c r="D896" s="8"/>
      <c r="E896" s="8"/>
      <c r="F896" s="9"/>
      <c r="G896" s="9"/>
      <c r="H896" s="9"/>
      <c r="I896" s="9"/>
      <c r="J896" s="10"/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95" customHeight="1" x14ac:dyDescent="0.3">
      <c r="A897" s="6"/>
      <c r="B897" s="7"/>
      <c r="C897" s="8"/>
      <c r="D897" s="8"/>
      <c r="E897" s="8"/>
      <c r="F897" s="9"/>
      <c r="G897" s="9"/>
      <c r="H897" s="9"/>
      <c r="I897" s="9"/>
      <c r="J897" s="10"/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95" customHeight="1" x14ac:dyDescent="0.3">
      <c r="A898" s="6"/>
      <c r="B898" s="7"/>
      <c r="C898" s="8"/>
      <c r="D898" s="8"/>
      <c r="E898" s="8"/>
      <c r="F898" s="9"/>
      <c r="G898" s="9"/>
      <c r="H898" s="9"/>
      <c r="I898" s="9"/>
      <c r="J898" s="10"/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95" customHeight="1" x14ac:dyDescent="0.3">
      <c r="A899" s="6"/>
      <c r="B899" s="7"/>
      <c r="C899" s="8"/>
      <c r="D899" s="8"/>
      <c r="E899" s="8"/>
      <c r="F899" s="9"/>
      <c r="G899" s="9"/>
      <c r="H899" s="9"/>
      <c r="I899" s="9"/>
      <c r="J899" s="10"/>
      <c r="K899" s="15" t="e">
        <f>VLOOKUP(J899,DADOS!$A$3:$B$101,2,FALSE)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95" customHeight="1" x14ac:dyDescent="0.3">
      <c r="A900" s="6"/>
      <c r="B900" s="7"/>
      <c r="C900" s="8"/>
      <c r="D900" s="8"/>
      <c r="E900" s="8"/>
      <c r="F900" s="9"/>
      <c r="G900" s="9"/>
      <c r="H900" s="9"/>
      <c r="I900" s="9"/>
      <c r="J900" s="10"/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95" customHeight="1" x14ac:dyDescent="0.3">
      <c r="A901" s="6"/>
      <c r="B901" s="7"/>
      <c r="C901" s="8"/>
      <c r="D901" s="8"/>
      <c r="E901" s="8"/>
      <c r="F901" s="9"/>
      <c r="G901" s="9"/>
      <c r="H901" s="9"/>
      <c r="I901" s="9"/>
      <c r="J901" s="10"/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95" customHeight="1" x14ac:dyDescent="0.3">
      <c r="A902" s="6"/>
      <c r="B902" s="7"/>
      <c r="C902" s="8"/>
      <c r="D902" s="8"/>
      <c r="E902" s="8"/>
      <c r="F902" s="9"/>
      <c r="G902" s="9"/>
      <c r="H902" s="9"/>
      <c r="I902" s="9"/>
      <c r="J902" s="10"/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95" customHeight="1" x14ac:dyDescent="0.3">
      <c r="A903" s="6"/>
      <c r="B903" s="7"/>
      <c r="C903" s="8"/>
      <c r="D903" s="8"/>
      <c r="E903" s="8"/>
      <c r="F903" s="9"/>
      <c r="G903" s="9"/>
      <c r="H903" s="9"/>
      <c r="I903" s="9"/>
      <c r="J903" s="10"/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95" customHeight="1" x14ac:dyDescent="0.3">
      <c r="A904" s="6"/>
      <c r="B904" s="7"/>
      <c r="C904" s="8"/>
      <c r="D904" s="8"/>
      <c r="E904" s="8"/>
      <c r="F904" s="9"/>
      <c r="G904" s="9"/>
      <c r="H904" s="9"/>
      <c r="I904" s="9"/>
      <c r="J904" s="10"/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95" customHeight="1" x14ac:dyDescent="0.3">
      <c r="A905" s="6"/>
      <c r="B905" s="7"/>
      <c r="C905" s="8"/>
      <c r="D905" s="8"/>
      <c r="E905" s="8"/>
      <c r="F905" s="9"/>
      <c r="G905" s="9"/>
      <c r="H905" s="9"/>
      <c r="I905" s="9"/>
      <c r="J905" s="10"/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2"/>
    </row>
    <row r="906" spans="1:26" ht="19.95" customHeight="1" x14ac:dyDescent="0.3">
      <c r="A906" s="6"/>
      <c r="B906" s="7"/>
      <c r="C906" s="8"/>
      <c r="D906" s="8"/>
      <c r="E906" s="8"/>
      <c r="F906" s="9"/>
      <c r="G906" s="9"/>
      <c r="H906" s="9"/>
      <c r="I906" s="9"/>
      <c r="J906" s="10"/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95" customHeight="1" x14ac:dyDescent="0.3">
      <c r="A907" s="6"/>
      <c r="B907" s="7"/>
      <c r="C907" s="8"/>
      <c r="D907" s="8"/>
      <c r="E907" s="8"/>
      <c r="F907" s="9"/>
      <c r="G907" s="9"/>
      <c r="H907" s="9"/>
      <c r="I907" s="9"/>
      <c r="J907" s="10"/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95" customHeight="1" x14ac:dyDescent="0.3">
      <c r="A908" s="6"/>
      <c r="B908" s="7"/>
      <c r="C908" s="8"/>
      <c r="D908" s="8"/>
      <c r="E908" s="8"/>
      <c r="F908" s="9"/>
      <c r="G908" s="9"/>
      <c r="H908" s="9"/>
      <c r="I908" s="9"/>
      <c r="J908" s="10"/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95" customHeight="1" x14ac:dyDescent="0.3">
      <c r="A909" s="6"/>
      <c r="B909" s="7"/>
      <c r="C909" s="8"/>
      <c r="D909" s="8"/>
      <c r="E909" s="8"/>
      <c r="F909" s="9"/>
      <c r="G909" s="9"/>
      <c r="H909" s="9"/>
      <c r="I909" s="9"/>
      <c r="J909" s="10"/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95" customHeight="1" x14ac:dyDescent="0.3">
      <c r="A910" s="6"/>
      <c r="B910" s="7"/>
      <c r="C910" s="8"/>
      <c r="D910" s="8"/>
      <c r="E910" s="8"/>
      <c r="F910" s="9"/>
      <c r="G910" s="9"/>
      <c r="H910" s="9"/>
      <c r="I910" s="9"/>
      <c r="J910" s="10"/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95" customHeight="1" x14ac:dyDescent="0.3">
      <c r="A911" s="6"/>
      <c r="B911" s="7"/>
      <c r="C911" s="8"/>
      <c r="D911" s="8"/>
      <c r="E911" s="8"/>
      <c r="F911" s="9"/>
      <c r="G911" s="9"/>
      <c r="H911" s="9"/>
      <c r="I911" s="9"/>
      <c r="J911" s="10"/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95" customHeight="1" x14ac:dyDescent="0.3">
      <c r="A912" s="6"/>
      <c r="B912" s="7"/>
      <c r="C912" s="8"/>
      <c r="D912" s="8"/>
      <c r="E912" s="8"/>
      <c r="F912" s="9"/>
      <c r="G912" s="9"/>
      <c r="H912" s="9"/>
      <c r="I912" s="9"/>
      <c r="J912" s="10"/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95" customHeight="1" x14ac:dyDescent="0.3">
      <c r="A913" s="6"/>
      <c r="B913" s="7"/>
      <c r="C913" s="8"/>
      <c r="D913" s="8"/>
      <c r="E913" s="8"/>
      <c r="F913" s="9"/>
      <c r="G913" s="9"/>
      <c r="H913" s="9"/>
      <c r="I913" s="9"/>
      <c r="J913" s="10"/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95" customHeight="1" x14ac:dyDescent="0.3">
      <c r="A914" s="6"/>
      <c r="B914" s="7"/>
      <c r="C914" s="8"/>
      <c r="D914" s="8"/>
      <c r="E914" s="8"/>
      <c r="F914" s="9"/>
      <c r="G914" s="9"/>
      <c r="H914" s="9"/>
      <c r="I914" s="9"/>
      <c r="J914" s="10"/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95" customHeight="1" x14ac:dyDescent="0.3">
      <c r="A915" s="6"/>
      <c r="B915" s="7"/>
      <c r="C915" s="8"/>
      <c r="D915" s="8"/>
      <c r="E915" s="8"/>
      <c r="F915" s="9"/>
      <c r="G915" s="9"/>
      <c r="H915" s="9"/>
      <c r="I915" s="9"/>
      <c r="J915" s="10"/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95" customHeight="1" x14ac:dyDescent="0.3">
      <c r="A916" s="6"/>
      <c r="B916" s="7"/>
      <c r="C916" s="8"/>
      <c r="D916" s="8"/>
      <c r="E916" s="8"/>
      <c r="F916" s="9"/>
      <c r="G916" s="9"/>
      <c r="H916" s="9"/>
      <c r="I916" s="9"/>
      <c r="J916" s="10"/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95" customHeight="1" x14ac:dyDescent="0.3">
      <c r="A917" s="6"/>
      <c r="B917" s="7"/>
      <c r="C917" s="8"/>
      <c r="D917" s="8"/>
      <c r="E917" s="8"/>
      <c r="F917" s="9"/>
      <c r="G917" s="9"/>
      <c r="H917" s="9"/>
      <c r="I917" s="9"/>
      <c r="J917" s="10"/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95" customHeight="1" x14ac:dyDescent="0.3">
      <c r="A918" s="6"/>
      <c r="B918" s="7"/>
      <c r="C918" s="8"/>
      <c r="D918" s="8"/>
      <c r="E918" s="8"/>
      <c r="F918" s="9"/>
      <c r="G918" s="9"/>
      <c r="H918" s="9"/>
      <c r="I918" s="9"/>
      <c r="J918" s="10"/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95" customHeight="1" x14ac:dyDescent="0.3">
      <c r="A919" s="6"/>
      <c r="B919" s="7"/>
      <c r="C919" s="8"/>
      <c r="D919" s="8"/>
      <c r="E919" s="8"/>
      <c r="F919" s="9"/>
      <c r="G919" s="9"/>
      <c r="H919" s="9"/>
      <c r="I919" s="9"/>
      <c r="J919" s="10"/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95" customHeight="1" x14ac:dyDescent="0.3">
      <c r="A920" s="6"/>
      <c r="B920" s="7"/>
      <c r="C920" s="8"/>
      <c r="D920" s="8"/>
      <c r="E920" s="8"/>
      <c r="F920" s="9"/>
      <c r="G920" s="9"/>
      <c r="H920" s="9"/>
      <c r="I920" s="9"/>
      <c r="J920" s="10"/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95" customHeight="1" x14ac:dyDescent="0.3">
      <c r="A921" s="6"/>
      <c r="B921" s="7"/>
      <c r="C921" s="8"/>
      <c r="D921" s="8"/>
      <c r="E921" s="8"/>
      <c r="F921" s="9"/>
      <c r="G921" s="9"/>
      <c r="H921" s="9"/>
      <c r="I921" s="9"/>
      <c r="J921" s="10"/>
      <c r="K921" s="15" t="e">
        <f>VLOOKUP(J921,DADOS!$A$3:$B$101,2,FALSE)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95" customHeight="1" x14ac:dyDescent="0.3">
      <c r="A922" s="6"/>
      <c r="B922" s="7"/>
      <c r="C922" s="8"/>
      <c r="D922" s="8"/>
      <c r="E922" s="8"/>
      <c r="F922" s="9"/>
      <c r="G922" s="9"/>
      <c r="H922" s="9"/>
      <c r="I922" s="9"/>
      <c r="J922" s="10"/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95" customHeight="1" x14ac:dyDescent="0.3">
      <c r="A923" s="6"/>
      <c r="B923" s="7"/>
      <c r="C923" s="8"/>
      <c r="D923" s="8"/>
      <c r="E923" s="8"/>
      <c r="F923" s="9"/>
      <c r="G923" s="9"/>
      <c r="H923" s="9"/>
      <c r="I923" s="9"/>
      <c r="J923" s="10"/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95" customHeight="1" x14ac:dyDescent="0.3">
      <c r="A924" s="6"/>
      <c r="B924" s="7"/>
      <c r="C924" s="8"/>
      <c r="D924" s="8"/>
      <c r="E924" s="8"/>
      <c r="F924" s="9"/>
      <c r="G924" s="9"/>
      <c r="H924" s="9"/>
      <c r="I924" s="9"/>
      <c r="J924" s="10"/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95" customHeight="1" x14ac:dyDescent="0.3">
      <c r="A925" s="6"/>
      <c r="B925" s="7"/>
      <c r="C925" s="8"/>
      <c r="D925" s="8"/>
      <c r="E925" s="8"/>
      <c r="F925" s="9"/>
      <c r="G925" s="9"/>
      <c r="H925" s="9"/>
      <c r="I925" s="9"/>
      <c r="J925" s="10"/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95" customHeight="1" x14ac:dyDescent="0.3">
      <c r="A926" s="6"/>
      <c r="B926" s="7"/>
      <c r="C926" s="8"/>
      <c r="D926" s="8"/>
      <c r="E926" s="8"/>
      <c r="F926" s="9"/>
      <c r="G926" s="9"/>
      <c r="H926" s="9"/>
      <c r="I926" s="9"/>
      <c r="J926" s="10"/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95" customHeight="1" x14ac:dyDescent="0.3">
      <c r="A927" s="6"/>
      <c r="B927" s="7"/>
      <c r="C927" s="8"/>
      <c r="D927" s="8"/>
      <c r="E927" s="8"/>
      <c r="F927" s="9"/>
      <c r="G927" s="9"/>
      <c r="H927" s="9"/>
      <c r="I927" s="9"/>
      <c r="J927" s="10"/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95" customHeight="1" x14ac:dyDescent="0.3">
      <c r="A928" s="6"/>
      <c r="B928" s="7"/>
      <c r="C928" s="8"/>
      <c r="D928" s="8"/>
      <c r="E928" s="8"/>
      <c r="F928" s="9"/>
      <c r="G928" s="9"/>
      <c r="H928" s="9"/>
      <c r="I928" s="9"/>
      <c r="J928" s="10"/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95" customHeight="1" x14ac:dyDescent="0.3">
      <c r="A929" s="6"/>
      <c r="B929" s="7"/>
      <c r="C929" s="8"/>
      <c r="D929" s="8"/>
      <c r="E929" s="8"/>
      <c r="F929" s="9"/>
      <c r="G929" s="9"/>
      <c r="H929" s="9"/>
      <c r="I929" s="9"/>
      <c r="J929" s="10"/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95" customHeight="1" x14ac:dyDescent="0.3">
      <c r="A930" s="6"/>
      <c r="B930" s="7"/>
      <c r="C930" s="8"/>
      <c r="D930" s="8"/>
      <c r="E930" s="8"/>
      <c r="F930" s="9"/>
      <c r="G930" s="9"/>
      <c r="H930" s="9"/>
      <c r="I930" s="9"/>
      <c r="J930" s="10"/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95" customHeight="1" x14ac:dyDescent="0.3">
      <c r="A931" s="6"/>
      <c r="B931" s="7"/>
      <c r="C931" s="8"/>
      <c r="D931" s="8"/>
      <c r="E931" s="8"/>
      <c r="F931" s="9"/>
      <c r="G931" s="9"/>
      <c r="H931" s="9"/>
      <c r="I931" s="9"/>
      <c r="J931" s="10"/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95" customHeight="1" x14ac:dyDescent="0.3">
      <c r="A932" s="6"/>
      <c r="B932" s="7"/>
      <c r="C932" s="8"/>
      <c r="D932" s="8"/>
      <c r="E932" s="8"/>
      <c r="F932" s="9"/>
      <c r="G932" s="9"/>
      <c r="H932" s="9"/>
      <c r="I932" s="9"/>
      <c r="J932" s="10"/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95" customHeight="1" x14ac:dyDescent="0.3">
      <c r="A933" s="6"/>
      <c r="B933" s="7"/>
      <c r="C933" s="8"/>
      <c r="D933" s="8"/>
      <c r="E933" s="8"/>
      <c r="F933" s="9"/>
      <c r="G933" s="9"/>
      <c r="H933" s="9"/>
      <c r="I933" s="9"/>
      <c r="J933" s="10"/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2"/>
    </row>
    <row r="934" spans="1:26" ht="19.95" customHeight="1" x14ac:dyDescent="0.3">
      <c r="A934" s="6"/>
      <c r="B934" s="7"/>
      <c r="C934" s="8"/>
      <c r="D934" s="8"/>
      <c r="E934" s="8"/>
      <c r="F934" s="9"/>
      <c r="G934" s="9"/>
      <c r="H934" s="9"/>
      <c r="I934" s="9"/>
      <c r="J934" s="10"/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2"/>
    </row>
    <row r="935" spans="1:26" ht="19.95" customHeight="1" x14ac:dyDescent="0.3">
      <c r="A935" s="6"/>
      <c r="B935" s="7"/>
      <c r="C935" s="8"/>
      <c r="D935" s="8"/>
      <c r="E935" s="8"/>
      <c r="F935" s="9"/>
      <c r="G935" s="9"/>
      <c r="H935" s="9"/>
      <c r="I935" s="9"/>
      <c r="J935" s="10"/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2"/>
    </row>
    <row r="936" spans="1:26" ht="19.95" customHeight="1" x14ac:dyDescent="0.3">
      <c r="A936" s="6"/>
      <c r="B936" s="7"/>
      <c r="C936" s="8"/>
      <c r="D936" s="8"/>
      <c r="E936" s="8"/>
      <c r="F936" s="9"/>
      <c r="G936" s="9"/>
      <c r="H936" s="9"/>
      <c r="I936" s="9"/>
      <c r="J936" s="10"/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2"/>
    </row>
    <row r="937" spans="1:26" ht="19.95" customHeight="1" x14ac:dyDescent="0.3">
      <c r="A937" s="6"/>
      <c r="B937" s="7"/>
      <c r="C937" s="8"/>
      <c r="D937" s="8"/>
      <c r="E937" s="8"/>
      <c r="F937" s="9"/>
      <c r="G937" s="9"/>
      <c r="H937" s="9"/>
      <c r="I937" s="9"/>
      <c r="J937" s="10"/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2"/>
    </row>
    <row r="938" spans="1:26" ht="19.95" customHeight="1" x14ac:dyDescent="0.3">
      <c r="A938" s="6"/>
      <c r="B938" s="7"/>
      <c r="C938" s="8"/>
      <c r="D938" s="8"/>
      <c r="E938" s="8"/>
      <c r="F938" s="9"/>
      <c r="G938" s="9"/>
      <c r="H938" s="9"/>
      <c r="I938" s="9"/>
      <c r="J938" s="10"/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2"/>
    </row>
    <row r="939" spans="1:26" ht="19.95" customHeight="1" x14ac:dyDescent="0.3">
      <c r="A939" s="6"/>
      <c r="B939" s="7"/>
      <c r="C939" s="8"/>
      <c r="D939" s="8"/>
      <c r="E939" s="8"/>
      <c r="F939" s="9"/>
      <c r="G939" s="9"/>
      <c r="H939" s="9"/>
      <c r="I939" s="9"/>
      <c r="J939" s="10"/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2"/>
    </row>
    <row r="940" spans="1:26" ht="19.95" customHeight="1" x14ac:dyDescent="0.3">
      <c r="A940" s="6"/>
      <c r="B940" s="7"/>
      <c r="C940" s="8"/>
      <c r="D940" s="8"/>
      <c r="E940" s="8"/>
      <c r="F940" s="9"/>
      <c r="G940" s="9"/>
      <c r="H940" s="9"/>
      <c r="I940" s="9"/>
      <c r="J940" s="10"/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2"/>
    </row>
    <row r="941" spans="1:26" ht="19.95" customHeight="1" x14ac:dyDescent="0.3">
      <c r="A941" s="6"/>
      <c r="B941" s="7"/>
      <c r="C941" s="8"/>
      <c r="D941" s="8"/>
      <c r="E941" s="8"/>
      <c r="F941" s="9"/>
      <c r="G941" s="9"/>
      <c r="H941" s="9"/>
      <c r="I941" s="9"/>
      <c r="J941" s="10"/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2"/>
    </row>
    <row r="942" spans="1:26" ht="19.95" customHeight="1" x14ac:dyDescent="0.3">
      <c r="A942" s="6"/>
      <c r="B942" s="7"/>
      <c r="C942" s="8"/>
      <c r="D942" s="8"/>
      <c r="E942" s="8"/>
      <c r="F942" s="9"/>
      <c r="G942" s="9"/>
      <c r="H942" s="9"/>
      <c r="I942" s="9"/>
      <c r="J942" s="10"/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2"/>
    </row>
    <row r="943" spans="1:26" ht="19.95" customHeight="1" x14ac:dyDescent="0.3">
      <c r="A943" s="6"/>
      <c r="B943" s="7"/>
      <c r="C943" s="8"/>
      <c r="D943" s="8"/>
      <c r="E943" s="8"/>
      <c r="F943" s="9"/>
      <c r="G943" s="9"/>
      <c r="H943" s="9"/>
      <c r="I943" s="9"/>
      <c r="J943" s="10"/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2"/>
    </row>
    <row r="944" spans="1:26" ht="19.95" customHeight="1" x14ac:dyDescent="0.3">
      <c r="A944" s="6"/>
      <c r="B944" s="7"/>
      <c r="C944" s="8"/>
      <c r="D944" s="8"/>
      <c r="E944" s="8"/>
      <c r="F944" s="9"/>
      <c r="G944" s="9"/>
      <c r="H944" s="9"/>
      <c r="I944" s="9"/>
      <c r="J944" s="10"/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2"/>
    </row>
    <row r="945" spans="1:26" ht="19.95" customHeight="1" x14ac:dyDescent="0.3">
      <c r="A945" s="6"/>
      <c r="B945" s="7"/>
      <c r="C945" s="8"/>
      <c r="D945" s="8"/>
      <c r="E945" s="8"/>
      <c r="F945" s="9"/>
      <c r="G945" s="9"/>
      <c r="H945" s="9"/>
      <c r="I945" s="9"/>
      <c r="J945" s="10"/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95" customHeight="1" x14ac:dyDescent="0.3">
      <c r="A946" s="6"/>
      <c r="B946" s="7"/>
      <c r="C946" s="8"/>
      <c r="D946" s="8"/>
      <c r="E946" s="8"/>
      <c r="F946" s="9"/>
      <c r="G946" s="9"/>
      <c r="H946" s="9"/>
      <c r="I946" s="9"/>
      <c r="J946" s="10"/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95" customHeight="1" x14ac:dyDescent="0.3">
      <c r="A947" s="6"/>
      <c r="B947" s="7"/>
      <c r="C947" s="8"/>
      <c r="D947" s="8"/>
      <c r="E947" s="8"/>
      <c r="F947" s="9"/>
      <c r="G947" s="9"/>
      <c r="H947" s="9"/>
      <c r="I947" s="9"/>
      <c r="J947" s="10"/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95" customHeight="1" x14ac:dyDescent="0.3">
      <c r="A948" s="6"/>
      <c r="B948" s="7"/>
      <c r="C948" s="8"/>
      <c r="D948" s="8"/>
      <c r="E948" s="8"/>
      <c r="F948" s="9"/>
      <c r="G948" s="9"/>
      <c r="H948" s="9"/>
      <c r="I948" s="9"/>
      <c r="J948" s="10"/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95" customHeight="1" x14ac:dyDescent="0.3">
      <c r="A949" s="6"/>
      <c r="B949" s="7"/>
      <c r="C949" s="8"/>
      <c r="D949" s="8"/>
      <c r="E949" s="8"/>
      <c r="F949" s="9"/>
      <c r="G949" s="9"/>
      <c r="H949" s="9"/>
      <c r="I949" s="9"/>
      <c r="J949" s="10"/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95" customHeight="1" x14ac:dyDescent="0.3">
      <c r="A950" s="6"/>
      <c r="B950" s="7"/>
      <c r="C950" s="8"/>
      <c r="D950" s="8"/>
      <c r="E950" s="8"/>
      <c r="F950" s="9"/>
      <c r="G950" s="9"/>
      <c r="H950" s="9"/>
      <c r="I950" s="9"/>
      <c r="J950" s="10"/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95" customHeight="1" x14ac:dyDescent="0.3">
      <c r="A951" s="6"/>
      <c r="B951" s="7"/>
      <c r="C951" s="8"/>
      <c r="D951" s="8"/>
      <c r="E951" s="8"/>
      <c r="F951" s="9"/>
      <c r="G951" s="9"/>
      <c r="H951" s="9"/>
      <c r="I951" s="9"/>
      <c r="J951" s="10"/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95" customHeight="1" x14ac:dyDescent="0.3">
      <c r="A952" s="6"/>
      <c r="B952" s="7"/>
      <c r="C952" s="8"/>
      <c r="D952" s="8"/>
      <c r="E952" s="8"/>
      <c r="F952" s="9"/>
      <c r="G952" s="9"/>
      <c r="H952" s="9"/>
      <c r="I952" s="9"/>
      <c r="J952" s="10"/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95" customHeight="1" x14ac:dyDescent="0.3">
      <c r="A953" s="6"/>
      <c r="B953" s="7"/>
      <c r="C953" s="8"/>
      <c r="D953" s="8"/>
      <c r="E953" s="8"/>
      <c r="F953" s="9"/>
      <c r="G953" s="9"/>
      <c r="H953" s="9"/>
      <c r="I953" s="9"/>
      <c r="J953" s="10"/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95" customHeight="1" x14ac:dyDescent="0.3">
      <c r="A954" s="6"/>
      <c r="B954" s="7"/>
      <c r="C954" s="8"/>
      <c r="D954" s="8"/>
      <c r="E954" s="8"/>
      <c r="F954" s="9"/>
      <c r="G954" s="9"/>
      <c r="H954" s="9"/>
      <c r="I954" s="9"/>
      <c r="J954" s="10"/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95" customHeight="1" x14ac:dyDescent="0.3">
      <c r="A955" s="6"/>
      <c r="B955" s="7"/>
      <c r="C955" s="8"/>
      <c r="D955" s="8"/>
      <c r="E955" s="8"/>
      <c r="F955" s="9"/>
      <c r="G955" s="9"/>
      <c r="H955" s="9"/>
      <c r="I955" s="9"/>
      <c r="J955" s="10"/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95" customHeight="1" x14ac:dyDescent="0.3">
      <c r="A956" s="6"/>
      <c r="B956" s="7"/>
      <c r="C956" s="8"/>
      <c r="D956" s="8"/>
      <c r="E956" s="8"/>
      <c r="F956" s="9"/>
      <c r="G956" s="9"/>
      <c r="H956" s="9"/>
      <c r="I956" s="9"/>
      <c r="J956" s="10"/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95" customHeight="1" x14ac:dyDescent="0.3">
      <c r="A957" s="6"/>
      <c r="B957" s="7"/>
      <c r="C957" s="8"/>
      <c r="D957" s="8"/>
      <c r="E957" s="8"/>
      <c r="F957" s="9"/>
      <c r="G957" s="9"/>
      <c r="H957" s="9"/>
      <c r="I957" s="9"/>
      <c r="J957" s="10"/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95" customHeight="1" x14ac:dyDescent="0.3">
      <c r="A958" s="6"/>
      <c r="B958" s="7"/>
      <c r="C958" s="8"/>
      <c r="D958" s="8"/>
      <c r="E958" s="8"/>
      <c r="F958" s="9"/>
      <c r="G958" s="9"/>
      <c r="H958" s="9"/>
      <c r="I958" s="9"/>
      <c r="J958" s="10"/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95" customHeight="1" x14ac:dyDescent="0.3">
      <c r="A959" s="6"/>
      <c r="B959" s="7"/>
      <c r="C959" s="8"/>
      <c r="D959" s="8"/>
      <c r="E959" s="8"/>
      <c r="F959" s="9"/>
      <c r="G959" s="9"/>
      <c r="H959" s="9"/>
      <c r="I959" s="9"/>
      <c r="J959" s="10"/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95" customHeight="1" x14ac:dyDescent="0.3">
      <c r="A960" s="6"/>
      <c r="B960" s="7"/>
      <c r="C960" s="8"/>
      <c r="D960" s="8"/>
      <c r="E960" s="8"/>
      <c r="F960" s="9"/>
      <c r="G960" s="9"/>
      <c r="H960" s="9"/>
      <c r="I960" s="9"/>
      <c r="J960" s="10"/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95" customHeight="1" x14ac:dyDescent="0.3">
      <c r="A961" s="6"/>
      <c r="B961" s="7"/>
      <c r="C961" s="8"/>
      <c r="D961" s="8"/>
      <c r="E961" s="8"/>
      <c r="F961" s="9"/>
      <c r="G961" s="9"/>
      <c r="H961" s="9"/>
      <c r="I961" s="9"/>
      <c r="J961" s="10"/>
      <c r="K961" s="15" t="e">
        <f>VLOOKUP(J961,DADOS!$A$3:$B$101,2,FALSE)</f>
        <v>#N/A</v>
      </c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95" customHeight="1" x14ac:dyDescent="0.3">
      <c r="A962" s="6"/>
      <c r="B962" s="7"/>
      <c r="C962" s="8"/>
      <c r="D962" s="8"/>
      <c r="E962" s="8"/>
      <c r="F962" s="9"/>
      <c r="G962" s="9"/>
      <c r="H962" s="9"/>
      <c r="I962" s="9"/>
      <c r="J962" s="10"/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95" customHeight="1" x14ac:dyDescent="0.3">
      <c r="A963" s="6"/>
      <c r="B963" s="7"/>
      <c r="C963" s="8"/>
      <c r="D963" s="8"/>
      <c r="E963" s="8"/>
      <c r="F963" s="9"/>
      <c r="G963" s="9"/>
      <c r="H963" s="9"/>
      <c r="I963" s="9"/>
      <c r="J963" s="10"/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95" customHeight="1" x14ac:dyDescent="0.3">
      <c r="A964" s="6"/>
      <c r="B964" s="7"/>
      <c r="C964" s="8"/>
      <c r="D964" s="8"/>
      <c r="E964" s="8"/>
      <c r="F964" s="9"/>
      <c r="G964" s="9"/>
      <c r="H964" s="9"/>
      <c r="I964" s="9"/>
      <c r="J964" s="10"/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95" customHeight="1" x14ac:dyDescent="0.3">
      <c r="A965" s="6"/>
      <c r="B965" s="7"/>
      <c r="C965" s="8"/>
      <c r="D965" s="8"/>
      <c r="E965" s="8"/>
      <c r="F965" s="9"/>
      <c r="G965" s="9"/>
      <c r="H965" s="9"/>
      <c r="I965" s="9"/>
      <c r="J965" s="10"/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95" customHeight="1" x14ac:dyDescent="0.3">
      <c r="A966" s="6"/>
      <c r="B966" s="7"/>
      <c r="C966" s="8"/>
      <c r="D966" s="8"/>
      <c r="E966" s="8"/>
      <c r="F966" s="9"/>
      <c r="G966" s="9"/>
      <c r="H966" s="9"/>
      <c r="I966" s="9"/>
      <c r="J966" s="10"/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95" customHeight="1" x14ac:dyDescent="0.3">
      <c r="A967" s="6"/>
      <c r="B967" s="7"/>
      <c r="C967" s="8"/>
      <c r="D967" s="8"/>
      <c r="E967" s="8"/>
      <c r="F967" s="9"/>
      <c r="G967" s="9"/>
      <c r="H967" s="9"/>
      <c r="I967" s="9"/>
      <c r="J967" s="10"/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95" customHeight="1" x14ac:dyDescent="0.3">
      <c r="A968" s="6"/>
      <c r="B968" s="7"/>
      <c r="C968" s="8"/>
      <c r="D968" s="8"/>
      <c r="E968" s="8"/>
      <c r="F968" s="9"/>
      <c r="G968" s="9"/>
      <c r="H968" s="9"/>
      <c r="I968" s="9"/>
      <c r="J968" s="10"/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2"/>
    </row>
    <row r="969" spans="1:26" ht="19.95" customHeight="1" x14ac:dyDescent="0.3">
      <c r="A969" s="6"/>
      <c r="B969" s="7"/>
      <c r="C969" s="8"/>
      <c r="D969" s="8"/>
      <c r="E969" s="8"/>
      <c r="F969" s="9"/>
      <c r="G969" s="9"/>
      <c r="H969" s="9"/>
      <c r="I969" s="9"/>
      <c r="J969" s="10"/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2"/>
    </row>
    <row r="970" spans="1:26" ht="19.95" customHeight="1" x14ac:dyDescent="0.3">
      <c r="A970" s="6"/>
      <c r="B970" s="7"/>
      <c r="C970" s="8"/>
      <c r="D970" s="8"/>
      <c r="E970" s="8"/>
      <c r="F970" s="9"/>
      <c r="G970" s="9"/>
      <c r="H970" s="9"/>
      <c r="I970" s="9"/>
      <c r="J970" s="10"/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95" customHeight="1" x14ac:dyDescent="0.3">
      <c r="A971" s="6"/>
      <c r="B971" s="7"/>
      <c r="C971" s="8"/>
      <c r="D971" s="8"/>
      <c r="E971" s="8"/>
      <c r="F971" s="9"/>
      <c r="G971" s="9"/>
      <c r="H971" s="9"/>
      <c r="I971" s="9"/>
      <c r="J971" s="10"/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95" customHeight="1" x14ac:dyDescent="0.3">
      <c r="A972" s="6"/>
      <c r="B972" s="7"/>
      <c r="C972" s="8"/>
      <c r="D972" s="8"/>
      <c r="E972" s="8"/>
      <c r="F972" s="9"/>
      <c r="G972" s="9"/>
      <c r="H972" s="9"/>
      <c r="I972" s="9"/>
      <c r="J972" s="10"/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95" customHeight="1" x14ac:dyDescent="0.3">
      <c r="A973" s="6"/>
      <c r="B973" s="7"/>
      <c r="C973" s="8"/>
      <c r="D973" s="8"/>
      <c r="E973" s="8"/>
      <c r="F973" s="9"/>
      <c r="G973" s="9"/>
      <c r="H973" s="9"/>
      <c r="I973" s="9"/>
      <c r="J973" s="10"/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95" customHeight="1" x14ac:dyDescent="0.3">
      <c r="A974" s="6"/>
      <c r="B974" s="7"/>
      <c r="C974" s="8"/>
      <c r="D974" s="8"/>
      <c r="E974" s="8"/>
      <c r="F974" s="9"/>
      <c r="G974" s="9"/>
      <c r="H974" s="9"/>
      <c r="I974" s="9"/>
      <c r="J974" s="10"/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95" customHeight="1" x14ac:dyDescent="0.3">
      <c r="A975" s="6"/>
      <c r="B975" s="7"/>
      <c r="C975" s="8"/>
      <c r="D975" s="8"/>
      <c r="E975" s="8"/>
      <c r="F975" s="8"/>
      <c r="G975" s="9"/>
      <c r="H975" s="9"/>
      <c r="I975" s="9"/>
      <c r="J975" s="10"/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95" customHeight="1" x14ac:dyDescent="0.3">
      <c r="A976" s="6"/>
      <c r="B976" s="7"/>
      <c r="C976" s="8"/>
      <c r="D976" s="8"/>
      <c r="E976" s="8"/>
      <c r="F976" s="9"/>
      <c r="G976" s="9"/>
      <c r="H976" s="9"/>
      <c r="I976" s="9"/>
      <c r="J976" s="10"/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95" customHeight="1" x14ac:dyDescent="0.3">
      <c r="A977" s="6"/>
      <c r="B977" s="7"/>
      <c r="C977" s="8"/>
      <c r="D977" s="8"/>
      <c r="E977" s="8"/>
      <c r="F977" s="9"/>
      <c r="G977" s="9"/>
      <c r="H977" s="9"/>
      <c r="I977" s="9"/>
      <c r="J977" s="10"/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95" customHeight="1" x14ac:dyDescent="0.3">
      <c r="A978" s="6"/>
      <c r="B978" s="7"/>
      <c r="C978" s="8"/>
      <c r="D978" s="8"/>
      <c r="E978" s="8"/>
      <c r="F978" s="9"/>
      <c r="G978" s="9"/>
      <c r="H978" s="9"/>
      <c r="I978" s="9"/>
      <c r="J978" s="10"/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95" customHeight="1" x14ac:dyDescent="0.3">
      <c r="A979" s="6"/>
      <c r="B979" s="7"/>
      <c r="C979" s="8"/>
      <c r="D979" s="8"/>
      <c r="E979" s="8"/>
      <c r="F979" s="9"/>
      <c r="G979" s="9"/>
      <c r="H979" s="9"/>
      <c r="I979" s="9"/>
      <c r="J979" s="10"/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95" customHeight="1" x14ac:dyDescent="0.3">
      <c r="A980" s="6"/>
      <c r="B980" s="7"/>
      <c r="C980" s="8"/>
      <c r="D980" s="8"/>
      <c r="E980" s="8"/>
      <c r="F980" s="9"/>
      <c r="G980" s="9"/>
      <c r="H980" s="9"/>
      <c r="I980" s="9"/>
      <c r="J980" s="10"/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95" customHeight="1" x14ac:dyDescent="0.3">
      <c r="A981" s="6"/>
      <c r="B981" s="7"/>
      <c r="C981" s="8"/>
      <c r="D981" s="8"/>
      <c r="E981" s="8"/>
      <c r="F981" s="9"/>
      <c r="G981" s="9"/>
      <c r="H981" s="9"/>
      <c r="I981" s="9"/>
      <c r="J981" s="10"/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2"/>
    </row>
    <row r="982" spans="1:26" ht="19.95" customHeight="1" x14ac:dyDescent="0.3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95" customHeight="1" x14ac:dyDescent="0.3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95" customHeight="1" x14ac:dyDescent="0.3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VLOOKUP(J984,DADOS!$A$3:$B$101,2,FALSE)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95" customHeight="1" x14ac:dyDescent="0.3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95" customHeight="1" x14ac:dyDescent="0.3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95" customHeight="1" x14ac:dyDescent="0.3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95" customHeight="1" x14ac:dyDescent="0.3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95" customHeight="1" x14ac:dyDescent="0.3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95" customHeight="1" x14ac:dyDescent="0.3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95" customHeight="1" x14ac:dyDescent="0.3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95" customHeight="1" x14ac:dyDescent="0.3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95" customHeight="1" x14ac:dyDescent="0.3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95" customHeight="1" x14ac:dyDescent="0.3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95" customHeight="1" x14ac:dyDescent="0.3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95" customHeight="1" x14ac:dyDescent="0.3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95" customHeight="1" x14ac:dyDescent="0.3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95" customHeight="1" x14ac:dyDescent="0.3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95" customHeight="1" x14ac:dyDescent="0.3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95" customHeight="1" x14ac:dyDescent="0.3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95" customHeight="1" x14ac:dyDescent="0.3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95" customHeight="1" x14ac:dyDescent="0.3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95" customHeight="1" x14ac:dyDescent="0.3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95" customHeight="1" x14ac:dyDescent="0.3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95" customHeight="1" x14ac:dyDescent="0.3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95" customHeight="1" x14ac:dyDescent="0.3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95" customHeight="1" x14ac:dyDescent="0.3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95" customHeight="1" x14ac:dyDescent="0.3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95" customHeight="1" x14ac:dyDescent="0.3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95" customHeight="1" x14ac:dyDescent="0.3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95" customHeight="1" x14ac:dyDescent="0.3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95" customHeight="1" x14ac:dyDescent="0.3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95" customHeight="1" x14ac:dyDescent="0.3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95" customHeight="1" x14ac:dyDescent="0.3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95" customHeight="1" x14ac:dyDescent="0.3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95" customHeight="1" x14ac:dyDescent="0.3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95" customHeight="1" x14ac:dyDescent="0.3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95" customHeight="1" x14ac:dyDescent="0.3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95" customHeight="1" x14ac:dyDescent="0.3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95" customHeight="1" x14ac:dyDescent="0.3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95" customHeight="1" x14ac:dyDescent="0.3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95" customHeight="1" x14ac:dyDescent="0.3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95" customHeight="1" x14ac:dyDescent="0.3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95" customHeight="1" x14ac:dyDescent="0.3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95" customHeight="1" x14ac:dyDescent="0.3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95" customHeight="1" x14ac:dyDescent="0.3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95" customHeight="1" x14ac:dyDescent="0.3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95" customHeight="1" x14ac:dyDescent="0.3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95" customHeight="1" x14ac:dyDescent="0.3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95" customHeight="1" x14ac:dyDescent="0.3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95" customHeight="1" x14ac:dyDescent="0.3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95" customHeight="1" x14ac:dyDescent="0.3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95" customHeight="1" x14ac:dyDescent="0.3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95" customHeight="1" x14ac:dyDescent="0.3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95" customHeight="1" x14ac:dyDescent="0.3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95" customHeight="1" x14ac:dyDescent="0.3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95" customHeight="1" x14ac:dyDescent="0.3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95" customHeight="1" x14ac:dyDescent="0.3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95" customHeight="1" x14ac:dyDescent="0.3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95" customHeight="1" x14ac:dyDescent="0.3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95" customHeight="1" x14ac:dyDescent="0.3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95" customHeight="1" x14ac:dyDescent="0.3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95" customHeight="1" x14ac:dyDescent="0.3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95" customHeight="1" x14ac:dyDescent="0.3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95" customHeight="1" x14ac:dyDescent="0.3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95" customHeight="1" x14ac:dyDescent="0.3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95" customHeight="1" x14ac:dyDescent="0.3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95" customHeight="1" x14ac:dyDescent="0.3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95" customHeight="1" x14ac:dyDescent="0.3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95" customHeight="1" x14ac:dyDescent="0.3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95" customHeight="1" x14ac:dyDescent="0.3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95" customHeight="1" x14ac:dyDescent="0.3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95" customHeight="1" x14ac:dyDescent="0.3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95" customHeight="1" x14ac:dyDescent="0.3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95" customHeight="1" x14ac:dyDescent="0.3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95" customHeight="1" x14ac:dyDescent="0.3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95" customHeight="1" x14ac:dyDescent="0.3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95" customHeight="1" x14ac:dyDescent="0.3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95" customHeight="1" x14ac:dyDescent="0.3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95" customHeight="1" x14ac:dyDescent="0.3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95" customHeight="1" x14ac:dyDescent="0.3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95" customHeight="1" x14ac:dyDescent="0.3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95" customHeight="1" x14ac:dyDescent="0.3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95" customHeight="1" x14ac:dyDescent="0.3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95" customHeight="1" x14ac:dyDescent="0.3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95" customHeight="1" x14ac:dyDescent="0.3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95" customHeight="1" x14ac:dyDescent="0.3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95" customHeight="1" x14ac:dyDescent="0.3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95" customHeight="1" x14ac:dyDescent="0.3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95" customHeight="1" x14ac:dyDescent="0.3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95" customHeight="1" x14ac:dyDescent="0.3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95" customHeight="1" x14ac:dyDescent="0.3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95" customHeight="1" x14ac:dyDescent="0.3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95" customHeight="1" x14ac:dyDescent="0.3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95" customHeight="1" x14ac:dyDescent="0.3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95" customHeight="1" x14ac:dyDescent="0.3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95" customHeight="1" x14ac:dyDescent="0.3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95" customHeight="1" x14ac:dyDescent="0.3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95" customHeight="1" x14ac:dyDescent="0.3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95" customHeight="1" x14ac:dyDescent="0.3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95" customHeight="1" x14ac:dyDescent="0.3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95" customHeight="1" x14ac:dyDescent="0.3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95" customHeight="1" x14ac:dyDescent="0.3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95" customHeight="1" x14ac:dyDescent="0.3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95" customHeight="1" x14ac:dyDescent="0.3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95" customHeight="1" x14ac:dyDescent="0.3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95" customHeight="1" x14ac:dyDescent="0.3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95" customHeight="1" x14ac:dyDescent="0.3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95" customHeight="1" x14ac:dyDescent="0.3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95" customHeight="1" x14ac:dyDescent="0.3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95" customHeight="1" x14ac:dyDescent="0.3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95" customHeight="1" x14ac:dyDescent="0.3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95" customHeight="1" x14ac:dyDescent="0.3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95" customHeight="1" x14ac:dyDescent="0.3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95" customHeight="1" x14ac:dyDescent="0.3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95" customHeight="1" x14ac:dyDescent="0.3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95" customHeight="1" x14ac:dyDescent="0.3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95" customHeight="1" x14ac:dyDescent="0.3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95" customHeight="1" x14ac:dyDescent="0.3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95" customHeight="1" x14ac:dyDescent="0.3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95" customHeight="1" x14ac:dyDescent="0.3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95" customHeight="1" x14ac:dyDescent="0.3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95" customHeight="1" x14ac:dyDescent="0.3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95" customHeight="1" x14ac:dyDescent="0.3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95" customHeight="1" x14ac:dyDescent="0.3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95" customHeight="1" x14ac:dyDescent="0.3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95" customHeight="1" x14ac:dyDescent="0.3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95" customHeight="1" x14ac:dyDescent="0.3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95" customHeight="1" x14ac:dyDescent="0.3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95" customHeight="1" x14ac:dyDescent="0.3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95" customHeight="1" x14ac:dyDescent="0.3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95" customHeight="1" x14ac:dyDescent="0.3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95" customHeight="1" x14ac:dyDescent="0.3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95" customHeight="1" x14ac:dyDescent="0.3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95" customHeight="1" x14ac:dyDescent="0.3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95" customHeight="1" x14ac:dyDescent="0.3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95" customHeight="1" x14ac:dyDescent="0.3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95" customHeight="1" x14ac:dyDescent="0.3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95" customHeight="1" x14ac:dyDescent="0.3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95" customHeight="1" x14ac:dyDescent="0.3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95" customHeight="1" x14ac:dyDescent="0.3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95" customHeight="1" x14ac:dyDescent="0.3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95" customHeight="1" x14ac:dyDescent="0.3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95" customHeight="1" x14ac:dyDescent="0.3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95" customHeight="1" x14ac:dyDescent="0.3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95" customHeight="1" x14ac:dyDescent="0.3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95" customHeight="1" x14ac:dyDescent="0.3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95" customHeight="1" x14ac:dyDescent="0.3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95" customHeight="1" x14ac:dyDescent="0.3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95" customHeight="1" x14ac:dyDescent="0.3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95" customHeight="1" x14ac:dyDescent="0.3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95" customHeight="1" x14ac:dyDescent="0.3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95" customHeight="1" x14ac:dyDescent="0.3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95" customHeight="1" x14ac:dyDescent="0.3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95" customHeight="1" x14ac:dyDescent="0.3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95" customHeight="1" x14ac:dyDescent="0.3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95" customHeight="1" x14ac:dyDescent="0.3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95" customHeight="1" x14ac:dyDescent="0.3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95" customHeight="1" x14ac:dyDescent="0.3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95" customHeight="1" x14ac:dyDescent="0.3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95" customHeight="1" x14ac:dyDescent="0.3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95" customHeight="1" x14ac:dyDescent="0.3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95" customHeight="1" x14ac:dyDescent="0.3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95" customHeight="1" x14ac:dyDescent="0.3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95" customHeight="1" x14ac:dyDescent="0.3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95" customHeight="1" x14ac:dyDescent="0.3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95" customHeight="1" x14ac:dyDescent="0.3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95" customHeight="1" x14ac:dyDescent="0.3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95" customHeight="1" x14ac:dyDescent="0.3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95" customHeight="1" x14ac:dyDescent="0.3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95" customHeight="1" x14ac:dyDescent="0.3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95" customHeight="1" x14ac:dyDescent="0.3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95" customHeight="1" x14ac:dyDescent="0.3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95" customHeight="1" x14ac:dyDescent="0.3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95" customHeight="1" x14ac:dyDescent="0.3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95" customHeight="1" x14ac:dyDescent="0.3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95" customHeight="1" x14ac:dyDescent="0.3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95" customHeight="1" x14ac:dyDescent="0.3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95" customHeight="1" x14ac:dyDescent="0.3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95" customHeight="1" x14ac:dyDescent="0.3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95" customHeight="1" x14ac:dyDescent="0.3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95" customHeight="1" x14ac:dyDescent="0.3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95" customHeight="1" x14ac:dyDescent="0.3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95" customHeight="1" x14ac:dyDescent="0.3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95" customHeight="1" x14ac:dyDescent="0.3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95" customHeight="1" x14ac:dyDescent="0.3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95" customHeight="1" x14ac:dyDescent="0.3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95" customHeight="1" x14ac:dyDescent="0.3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95" customHeight="1" x14ac:dyDescent="0.3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95" customHeight="1" x14ac:dyDescent="0.3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95" customHeight="1" x14ac:dyDescent="0.3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95" customHeight="1" x14ac:dyDescent="0.3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95" customHeight="1" x14ac:dyDescent="0.3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95" customHeight="1" x14ac:dyDescent="0.3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95" customHeight="1" x14ac:dyDescent="0.3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95" customHeight="1" x14ac:dyDescent="0.3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95" customHeight="1" x14ac:dyDescent="0.3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95" customHeight="1" x14ac:dyDescent="0.3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95" customHeight="1" x14ac:dyDescent="0.3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95" customHeight="1" x14ac:dyDescent="0.3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95" customHeight="1" x14ac:dyDescent="0.3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95" customHeight="1" x14ac:dyDescent="0.3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95" customHeight="1" x14ac:dyDescent="0.3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95" customHeight="1" x14ac:dyDescent="0.3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95" customHeight="1" x14ac:dyDescent="0.3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95" customHeight="1" x14ac:dyDescent="0.3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95" customHeight="1" x14ac:dyDescent="0.3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95" customHeight="1" x14ac:dyDescent="0.3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95" customHeight="1" x14ac:dyDescent="0.3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95" customHeight="1" x14ac:dyDescent="0.3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95" customHeight="1" x14ac:dyDescent="0.3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95" customHeight="1" x14ac:dyDescent="0.3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95" customHeight="1" x14ac:dyDescent="0.3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95" customHeight="1" x14ac:dyDescent="0.3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95" customHeight="1" x14ac:dyDescent="0.3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95" customHeight="1" x14ac:dyDescent="0.3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95" customHeight="1" x14ac:dyDescent="0.3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95" customHeight="1" x14ac:dyDescent="0.3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95" customHeight="1" x14ac:dyDescent="0.3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95" customHeight="1" x14ac:dyDescent="0.3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95" customHeight="1" x14ac:dyDescent="0.3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95" customHeight="1" x14ac:dyDescent="0.3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95" customHeight="1" x14ac:dyDescent="0.3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95" customHeight="1" x14ac:dyDescent="0.3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95" customHeight="1" x14ac:dyDescent="0.3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95" customHeight="1" x14ac:dyDescent="0.3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95" customHeight="1" x14ac:dyDescent="0.3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95" customHeight="1" x14ac:dyDescent="0.3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95" customHeight="1" x14ac:dyDescent="0.3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95" customHeight="1" x14ac:dyDescent="0.3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95" customHeight="1" x14ac:dyDescent="0.3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95" customHeight="1" x14ac:dyDescent="0.3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95" customHeight="1" x14ac:dyDescent="0.3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95" customHeight="1" x14ac:dyDescent="0.3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95" customHeight="1" x14ac:dyDescent="0.3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95" customHeight="1" x14ac:dyDescent="0.3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95" customHeight="1" x14ac:dyDescent="0.3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95" customHeight="1" x14ac:dyDescent="0.3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95" customHeight="1" x14ac:dyDescent="0.3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95" customHeight="1" x14ac:dyDescent="0.3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95" customHeight="1" x14ac:dyDescent="0.3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95" customHeight="1" x14ac:dyDescent="0.3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95" customHeight="1" x14ac:dyDescent="0.3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95" customHeight="1" x14ac:dyDescent="0.3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95" customHeight="1" x14ac:dyDescent="0.3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95" customHeight="1" x14ac:dyDescent="0.3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95" customHeight="1" x14ac:dyDescent="0.3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95" customHeight="1" x14ac:dyDescent="0.3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95" customHeight="1" x14ac:dyDescent="0.3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95" customHeight="1" x14ac:dyDescent="0.3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95" customHeight="1" x14ac:dyDescent="0.3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95" customHeight="1" x14ac:dyDescent="0.3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95" customHeight="1" x14ac:dyDescent="0.3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95" customHeight="1" x14ac:dyDescent="0.3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95" customHeight="1" x14ac:dyDescent="0.3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95" customHeight="1" x14ac:dyDescent="0.3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95" customHeight="1" x14ac:dyDescent="0.3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95" customHeight="1" x14ac:dyDescent="0.3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95" customHeight="1" x14ac:dyDescent="0.3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95" customHeight="1" x14ac:dyDescent="0.3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95" customHeight="1" x14ac:dyDescent="0.3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95" customHeight="1" x14ac:dyDescent="0.3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95" customHeight="1" x14ac:dyDescent="0.3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95" customHeight="1" x14ac:dyDescent="0.3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95" customHeight="1" x14ac:dyDescent="0.3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95" customHeight="1" x14ac:dyDescent="0.3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95" customHeight="1" x14ac:dyDescent="0.3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95" customHeight="1" x14ac:dyDescent="0.3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95" customHeight="1" x14ac:dyDescent="0.3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95" customHeight="1" x14ac:dyDescent="0.3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95" customHeight="1" x14ac:dyDescent="0.3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95" customHeight="1" x14ac:dyDescent="0.3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95" customHeight="1" x14ac:dyDescent="0.3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95" customHeight="1" x14ac:dyDescent="0.3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95" customHeight="1" x14ac:dyDescent="0.3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95" customHeight="1" x14ac:dyDescent="0.3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95" customHeight="1" x14ac:dyDescent="0.3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95" customHeight="1" x14ac:dyDescent="0.3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95" customHeight="1" x14ac:dyDescent="0.3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95" customHeight="1" x14ac:dyDescent="0.3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95" customHeight="1" x14ac:dyDescent="0.3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95" customHeight="1" x14ac:dyDescent="0.3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95" customHeight="1" x14ac:dyDescent="0.3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95" customHeight="1" x14ac:dyDescent="0.3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95" customHeight="1" x14ac:dyDescent="0.3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95" customHeight="1" x14ac:dyDescent="0.3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95" customHeight="1" x14ac:dyDescent="0.3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95" customHeight="1" x14ac:dyDescent="0.3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95" customHeight="1" x14ac:dyDescent="0.3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95" customHeight="1" x14ac:dyDescent="0.3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95" customHeight="1" x14ac:dyDescent="0.3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95" customHeight="1" x14ac:dyDescent="0.3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95" customHeight="1" x14ac:dyDescent="0.3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95" customHeight="1" x14ac:dyDescent="0.3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95" customHeight="1" x14ac:dyDescent="0.3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95" customHeight="1" x14ac:dyDescent="0.3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95" customHeight="1" x14ac:dyDescent="0.3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95" customHeight="1" x14ac:dyDescent="0.3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95" customHeight="1" x14ac:dyDescent="0.3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95" customHeight="1" x14ac:dyDescent="0.3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95" customHeight="1" x14ac:dyDescent="0.3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95" customHeight="1" x14ac:dyDescent="0.3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95" customHeight="1" x14ac:dyDescent="0.3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95" customHeight="1" x14ac:dyDescent="0.3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95" customHeight="1" x14ac:dyDescent="0.3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95" customHeight="1" x14ac:dyDescent="0.3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95" customHeight="1" x14ac:dyDescent="0.3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95" customHeight="1" x14ac:dyDescent="0.3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95" customHeight="1" x14ac:dyDescent="0.3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95" customHeight="1" x14ac:dyDescent="0.3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95" customHeight="1" x14ac:dyDescent="0.3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95" customHeight="1" x14ac:dyDescent="0.3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95" customHeight="1" x14ac:dyDescent="0.3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95" customHeight="1" x14ac:dyDescent="0.3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95" customHeight="1" x14ac:dyDescent="0.3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95" customHeight="1" x14ac:dyDescent="0.3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95" customHeight="1" x14ac:dyDescent="0.3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95" customHeight="1" x14ac:dyDescent="0.3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95" customHeight="1" x14ac:dyDescent="0.3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95" customHeight="1" x14ac:dyDescent="0.3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95" customHeight="1" x14ac:dyDescent="0.3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95" customHeight="1" x14ac:dyDescent="0.3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95" customHeight="1" x14ac:dyDescent="0.3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95" customHeight="1" x14ac:dyDescent="0.3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95" customHeight="1" x14ac:dyDescent="0.3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95" customHeight="1" x14ac:dyDescent="0.3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95" customHeight="1" x14ac:dyDescent="0.3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95" customHeight="1" x14ac:dyDescent="0.3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95" customHeight="1" x14ac:dyDescent="0.3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95" customHeight="1" x14ac:dyDescent="0.3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95" customHeight="1" x14ac:dyDescent="0.3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95" customHeight="1" x14ac:dyDescent="0.3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95" customHeight="1" x14ac:dyDescent="0.3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95" customHeight="1" x14ac:dyDescent="0.3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95" customHeight="1" x14ac:dyDescent="0.3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95" customHeight="1" x14ac:dyDescent="0.3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95" customHeight="1" x14ac:dyDescent="0.3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95" customHeight="1" x14ac:dyDescent="0.3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95" customHeight="1" x14ac:dyDescent="0.3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95" customHeight="1" x14ac:dyDescent="0.3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95" customHeight="1" x14ac:dyDescent="0.3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95" customHeight="1" x14ac:dyDescent="0.3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95" customHeight="1" x14ac:dyDescent="0.3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95" customHeight="1" x14ac:dyDescent="0.3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95" customHeight="1" x14ac:dyDescent="0.3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95" customHeight="1" x14ac:dyDescent="0.3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95" customHeight="1" x14ac:dyDescent="0.3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95" customHeight="1" x14ac:dyDescent="0.3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95" customHeight="1" x14ac:dyDescent="0.3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95" customHeight="1" x14ac:dyDescent="0.3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95" customHeight="1" x14ac:dyDescent="0.3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95" customHeight="1" x14ac:dyDescent="0.3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95" customHeight="1" x14ac:dyDescent="0.3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95" customHeight="1" x14ac:dyDescent="0.3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95" customHeight="1" x14ac:dyDescent="0.3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95" customHeight="1" x14ac:dyDescent="0.3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95" customHeight="1" x14ac:dyDescent="0.3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95" customHeight="1" x14ac:dyDescent="0.3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95" customHeight="1" x14ac:dyDescent="0.3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95" customHeight="1" x14ac:dyDescent="0.3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95" customHeight="1" x14ac:dyDescent="0.3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95" customHeight="1" x14ac:dyDescent="0.3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95" customHeight="1" x14ac:dyDescent="0.3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95" customHeight="1" x14ac:dyDescent="0.3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95" customHeight="1" x14ac:dyDescent="0.3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95" customHeight="1" x14ac:dyDescent="0.3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95" customHeight="1" x14ac:dyDescent="0.3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95" customHeight="1" x14ac:dyDescent="0.3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95" customHeight="1" x14ac:dyDescent="0.3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95" customHeight="1" x14ac:dyDescent="0.3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95" customHeight="1" x14ac:dyDescent="0.3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95" customHeight="1" x14ac:dyDescent="0.3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95" customHeight="1" x14ac:dyDescent="0.3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95" customHeight="1" x14ac:dyDescent="0.3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95" customHeight="1" x14ac:dyDescent="0.3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95" customHeight="1" x14ac:dyDescent="0.3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95" customHeight="1" x14ac:dyDescent="0.3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95" customHeight="1" x14ac:dyDescent="0.3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95" customHeight="1" x14ac:dyDescent="0.3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95" customHeight="1" x14ac:dyDescent="0.3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95" customHeight="1" x14ac:dyDescent="0.3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95" customHeight="1" x14ac:dyDescent="0.3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95" customHeight="1" x14ac:dyDescent="0.3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95" customHeight="1" x14ac:dyDescent="0.3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95" customHeight="1" x14ac:dyDescent="0.3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95" customHeight="1" x14ac:dyDescent="0.3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95" customHeight="1" x14ac:dyDescent="0.3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95" customHeight="1" x14ac:dyDescent="0.3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95" customHeight="1" x14ac:dyDescent="0.3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95" customHeight="1" x14ac:dyDescent="0.3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95" customHeight="1" x14ac:dyDescent="0.3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95" customHeight="1" x14ac:dyDescent="0.3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VLOOKUP(J1372,DADOS!$A$3:$B$101,2,FALSE)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95" customHeight="1" x14ac:dyDescent="0.3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VLOOKUP(J1373,DADOS!$A$3:$B$101,2,FALSE)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95" customHeight="1" x14ac:dyDescent="0.3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VLOOKUP(J1374,DADOS!$A$3:$B$101,2,FALSE)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95" customHeight="1" x14ac:dyDescent="0.3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VLOOKUP(J1375,DADOS!$A$3:$B$101,2,FALSE)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95" customHeight="1" x14ac:dyDescent="0.3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VLOOKUP(J1376,DADOS!$A$3:$B$101,2,FALSE)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95" customHeight="1" x14ac:dyDescent="0.3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VLOOKUP(J1377,DADOS!$A$3:$B$101,2,FALSE)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95" customHeight="1" x14ac:dyDescent="0.3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VLOOKUP(J1378,DADOS!$A$3:$B$101,2,FALSE)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95" customHeight="1" x14ac:dyDescent="0.3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VLOOKUP(J1379,DADOS!$A$3:$B$101,2,FALSE)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95" customHeight="1" x14ac:dyDescent="0.3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VLOOKUP(J1380,DADOS!$A$3:$B$101,2,FALSE)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95" customHeight="1" x14ac:dyDescent="0.3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VLOOKUP(J1381,DADOS!$A$3:$B$101,2,FALSE)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95" customHeight="1" x14ac:dyDescent="0.3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VLOOKUP(J1382,DADOS!$A$3:$B$101,2,FALSE)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95" customHeight="1" x14ac:dyDescent="0.3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VLOOKUP(J1383,DADOS!$A$3:$B$101,2,FALSE)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95" customHeight="1" x14ac:dyDescent="0.3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VLOOKUP(J1384,DADOS!$A$3:$B$101,2,FALSE)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95" customHeight="1" x14ac:dyDescent="0.3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VLOOKUP(J1385,DADOS!$A$3:$B$101,2,FALSE)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95" customHeight="1" x14ac:dyDescent="0.3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VLOOKUP(J1386,DADOS!$A$3:$B$101,2,FALSE)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95" customHeight="1" x14ac:dyDescent="0.3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VLOOKUP(J1387,DADOS!$A$3:$B$101,2,FALSE)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95" customHeight="1" x14ac:dyDescent="0.3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VLOOKUP(J1388,DADOS!$A$3:$B$101,2,FALSE)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95" customHeight="1" x14ac:dyDescent="0.3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VLOOKUP(J1389,DADOS!$A$3:$B$101,2,FALSE)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95" customHeight="1" x14ac:dyDescent="0.3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VLOOKUP(J1390,DADOS!$A$3:$B$101,2,FALSE)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95" customHeight="1" x14ac:dyDescent="0.3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VLOOKUP(J1391,DADOS!$A$3:$B$101,2,FALSE)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95" customHeight="1" x14ac:dyDescent="0.3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VLOOKUP(J1392,DADOS!$A$3:$B$101,2,FALSE)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95" customHeight="1" x14ac:dyDescent="0.3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VLOOKUP(J1393,DADOS!$A$3:$B$101,2,FALSE)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95" customHeight="1" x14ac:dyDescent="0.3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VLOOKUP(J1394,DADOS!$A$3:$B$101,2,FALSE)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95" customHeight="1" x14ac:dyDescent="0.3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VLOOKUP(J1395,DADOS!$A$3:$B$101,2,FALSE)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95" customHeight="1" x14ac:dyDescent="0.3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VLOOKUP(J1396,DADOS!$A$3:$B$101,2,FALSE)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95" customHeight="1" x14ac:dyDescent="0.3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VLOOKUP(J1397,DADOS!$A$3:$B$101,2,FALSE)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95" customHeight="1" x14ac:dyDescent="0.3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VLOOKUP(J1398,DADOS!$A$3:$B$101,2,FALSE)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95" customHeight="1" x14ac:dyDescent="0.3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VLOOKUP(J1399,DADOS!$A$3:$B$101,2,FALSE)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95" customHeight="1" x14ac:dyDescent="0.3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VLOOKUP(J1400,DADOS!$A$3:$B$101,2,FALSE)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95" customHeight="1" x14ac:dyDescent="0.3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VLOOKUP(J1401,DADOS!$A$3:$B$101,2,FALSE)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95" customHeight="1" x14ac:dyDescent="0.3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VLOOKUP(J1402,DADOS!$A$3:$B$101,2,FALSE)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95" customHeight="1" x14ac:dyDescent="0.3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VLOOKUP(J1403,DADOS!$A$3:$B$101,2,FALSE)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95" customHeight="1" x14ac:dyDescent="0.3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VLOOKUP(J1404,DADOS!$A$3:$B$101,2,FALSE)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95" customHeight="1" x14ac:dyDescent="0.3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VLOOKUP(J1405,DADOS!$A$3:$B$101,2,FALSE)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95" customHeight="1" x14ac:dyDescent="0.3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VLOOKUP(J1406,DADOS!$A$3:$B$101,2,FALSE)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95" customHeight="1" x14ac:dyDescent="0.3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VLOOKUP(J1407,DADOS!$A$3:$B$101,2,FALSE)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95" customHeight="1" x14ac:dyDescent="0.3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VLOOKUP(J1408,DADOS!$A$3:$B$101,2,FALSE)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95" customHeight="1" x14ac:dyDescent="0.3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VLOOKUP(J1409,DADOS!$A$3:$B$101,2,FALSE)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95" customHeight="1" x14ac:dyDescent="0.3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VLOOKUP(J1410,DADOS!$A$3:$B$101,2,FALSE)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95" customHeight="1" x14ac:dyDescent="0.3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VLOOKUP(J1411,DADOS!$A$3:$B$101,2,FALSE)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95" customHeight="1" x14ac:dyDescent="0.3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VLOOKUP(J1412,DADOS!$A$3:$B$101,2,FALSE)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95" customHeight="1" x14ac:dyDescent="0.3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VLOOKUP(J1413,DADOS!$A$3:$B$101,2,FALSE)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95" customHeight="1" x14ac:dyDescent="0.3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VLOOKUP(J1414,DADOS!$A$3:$B$101,2,FALSE)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95" customHeight="1" x14ac:dyDescent="0.3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VLOOKUP(J1415,DADOS!$A$3:$B$101,2,FALSE)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95" customHeight="1" x14ac:dyDescent="0.3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VLOOKUP(J1416,DADOS!$A$3:$B$101,2,FALSE)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95" customHeight="1" x14ac:dyDescent="0.3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VLOOKUP(J1417,DADOS!$A$3:$B$101,2,FALSE)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95" customHeight="1" x14ac:dyDescent="0.3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VLOOKUP(J1418,DADOS!$A$3:$B$101,2,FALSE)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95" customHeight="1" x14ac:dyDescent="0.3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VLOOKUP(J1419,DADOS!$A$3:$B$101,2,FALSE)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95" customHeight="1" x14ac:dyDescent="0.3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VLOOKUP(J1420,DADOS!$A$3:$B$101,2,FALSE)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95" customHeight="1" x14ac:dyDescent="0.3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VLOOKUP(J1421,DADOS!$A$3:$B$101,2,FALSE)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95" customHeight="1" x14ac:dyDescent="0.3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VLOOKUP(J1422,DADOS!$A$3:$B$101,2,FALSE)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95" customHeight="1" x14ac:dyDescent="0.3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VLOOKUP(J1423,DADOS!$A$3:$B$101,2,FALSE)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95" customHeight="1" x14ac:dyDescent="0.3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VLOOKUP(J1424,DADOS!$A$3:$B$101,2,FALSE)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95" customHeight="1" x14ac:dyDescent="0.3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VLOOKUP(J1425,DADOS!$A$3:$B$101,2,FALSE)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95" customHeight="1" x14ac:dyDescent="0.3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VLOOKUP(J1426,DADOS!$A$3:$B$101,2,FALSE)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95" customHeight="1" x14ac:dyDescent="0.3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VLOOKUP(J1427,DADOS!$A$3:$B$101,2,FALSE)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95" customHeight="1" x14ac:dyDescent="0.3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VLOOKUP(J1428,DADOS!$A$3:$B$101,2,FALSE)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95" customHeight="1" x14ac:dyDescent="0.3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VLOOKUP(J1429,DADOS!$A$3:$B$101,2,FALSE)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95" customHeight="1" x14ac:dyDescent="0.3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VLOOKUP(J1430,DADOS!$A$3:$B$101,2,FALSE)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95" customHeight="1" x14ac:dyDescent="0.3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VLOOKUP(J1431,DADOS!$A$3:$B$101,2,FALSE)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95" customHeight="1" x14ac:dyDescent="0.3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VLOOKUP(J1432,DADOS!$A$3:$B$101,2,FALSE)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95" customHeight="1" x14ac:dyDescent="0.3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VLOOKUP(J1433,DADOS!$A$3:$B$101,2,FALSE)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95" customHeight="1" x14ac:dyDescent="0.3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VLOOKUP(J1434,DADOS!$A$3:$B$101,2,FALSE)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95" customHeight="1" x14ac:dyDescent="0.3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VLOOKUP(J1435,DADOS!$A$3:$B$101,2,FALSE)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95" customHeight="1" x14ac:dyDescent="0.3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VLOOKUP(J1436,DADOS!$A$3:$B$101,2,FALSE)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95" customHeight="1" x14ac:dyDescent="0.3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VLOOKUP(J1437,DADOS!$A$3:$B$101,2,FALSE)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95" customHeight="1" x14ac:dyDescent="0.3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VLOOKUP(J1438,DADOS!$A$3:$B$101,2,FALSE)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95" customHeight="1" x14ac:dyDescent="0.3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VLOOKUP(J1439,DADOS!$A$3:$B$101,2,FALSE)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95" customHeight="1" x14ac:dyDescent="0.3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VLOOKUP(J1440,DADOS!$A$3:$B$101,2,FALSE)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95" customHeight="1" x14ac:dyDescent="0.3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VLOOKUP(J1441,DADOS!$A$3:$B$101,2,FALSE)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95" customHeight="1" x14ac:dyDescent="0.3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VLOOKUP(J1442,DADOS!$A$3:$B$101,2,FALSE)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95" customHeight="1" x14ac:dyDescent="0.3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VLOOKUP(J1443,DADOS!$A$3:$B$101,2,FALSE)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95" customHeight="1" x14ac:dyDescent="0.3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VLOOKUP(J1444,DADOS!$A$3:$B$101,2,FALSE)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95" customHeight="1" x14ac:dyDescent="0.3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VLOOKUP(J1445,DADOS!$A$3:$B$101,2,FALSE)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95" customHeight="1" x14ac:dyDescent="0.3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VLOOKUP(J1446,DADOS!$A$3:$B$101,2,FALSE)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95" customHeight="1" x14ac:dyDescent="0.3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VLOOKUP(J1447,DADOS!$A$3:$B$101,2,FALSE)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95" customHeight="1" x14ac:dyDescent="0.3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VLOOKUP(J1448,DADOS!$A$3:$B$101,2,FALSE)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95" customHeight="1" x14ac:dyDescent="0.3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VLOOKUP(J1449,DADOS!$A$3:$B$101,2,FALSE)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95" customHeight="1" x14ac:dyDescent="0.3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VLOOKUP(J1450,DADOS!$A$3:$B$101,2,FALSE)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95" customHeight="1" x14ac:dyDescent="0.3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VLOOKUP(J1451,DADOS!$A$3:$B$101,2,FALSE)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ht="19.95" customHeight="1" x14ac:dyDescent="0.3">
      <c r="A1452" s="6"/>
      <c r="B1452" s="7"/>
      <c r="C1452" s="8"/>
      <c r="D1452" s="8"/>
      <c r="E1452" s="8"/>
      <c r="F1452" s="9"/>
      <c r="G1452" s="9"/>
      <c r="H1452" s="9"/>
      <c r="I1452" s="9" t="s">
        <v>14</v>
      </c>
      <c r="J1452" s="10" t="s">
        <v>14</v>
      </c>
      <c r="K1452" s="15" t="e">
        <f>VLOOKUP(J1452,DADOS!$A$3:$B$101,2,FALSE)</f>
        <v>#N/A</v>
      </c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ht="19.95" customHeight="1" x14ac:dyDescent="0.3">
      <c r="A1453" s="6"/>
      <c r="B1453" s="7"/>
      <c r="C1453" s="8"/>
      <c r="D1453" s="8"/>
      <c r="E1453" s="8"/>
      <c r="F1453" s="9"/>
      <c r="G1453" s="9"/>
      <c r="H1453" s="9"/>
      <c r="I1453" s="9" t="s">
        <v>14</v>
      </c>
      <c r="J1453" s="10" t="s">
        <v>14</v>
      </c>
      <c r="K1453" s="15" t="e">
        <f>VLOOKUP(J1453,DADOS!$A$3:$B$101,2,FALSE)</f>
        <v>#N/A</v>
      </c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ht="19.95" customHeight="1" x14ac:dyDescent="0.3">
      <c r="A1454" s="6"/>
      <c r="B1454" s="7"/>
      <c r="C1454" s="8"/>
      <c r="D1454" s="8"/>
      <c r="E1454" s="8"/>
      <c r="F1454" s="9"/>
      <c r="G1454" s="9"/>
      <c r="H1454" s="9"/>
      <c r="I1454" s="9" t="s">
        <v>14</v>
      </c>
      <c r="J1454" s="10" t="s">
        <v>14</v>
      </c>
      <c r="K1454" s="15" t="e">
        <f>VLOOKUP(J1454,DADOS!$A$3:$B$101,2,FALSE)</f>
        <v>#N/A</v>
      </c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ht="19.95" customHeight="1" x14ac:dyDescent="0.3">
      <c r="A1455" s="6"/>
      <c r="B1455" s="7"/>
      <c r="C1455" s="8"/>
      <c r="D1455" s="8"/>
      <c r="E1455" s="8"/>
      <c r="F1455" s="9"/>
      <c r="G1455" s="9"/>
      <c r="H1455" s="9"/>
      <c r="I1455" s="9" t="s">
        <v>14</v>
      </c>
      <c r="J1455" s="10" t="s">
        <v>14</v>
      </c>
      <c r="K1455" s="15" t="e">
        <f>VLOOKUP(J1455,DADOS!$A$3:$B$101,2,FALSE)</f>
        <v>#N/A</v>
      </c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ht="19.95" customHeight="1" x14ac:dyDescent="0.3">
      <c r="A1456" s="6"/>
      <c r="B1456" s="7"/>
      <c r="C1456" s="8"/>
      <c r="D1456" s="8"/>
      <c r="E1456" s="8"/>
      <c r="F1456" s="9"/>
      <c r="G1456" s="9"/>
      <c r="H1456" s="9"/>
      <c r="I1456" s="9" t="s">
        <v>14</v>
      </c>
      <c r="J1456" s="10" t="s">
        <v>14</v>
      </c>
      <c r="K1456" s="15" t="e">
        <f>VLOOKUP(J1456,DADOS!$A$3:$B$101,2,FALSE)</f>
        <v>#N/A</v>
      </c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ht="19.95" customHeight="1" x14ac:dyDescent="0.3">
      <c r="A1457" s="6"/>
      <c r="B1457" s="7"/>
      <c r="C1457" s="8"/>
      <c r="D1457" s="8"/>
      <c r="E1457" s="8"/>
      <c r="F1457" s="9"/>
      <c r="G1457" s="9"/>
      <c r="H1457" s="9"/>
      <c r="I1457" s="9" t="s">
        <v>14</v>
      </c>
      <c r="J1457" s="10" t="s">
        <v>14</v>
      </c>
      <c r="K1457" s="15" t="e">
        <f>VLOOKUP(J1457,DADOS!$A$3:$B$101,2,FALSE)</f>
        <v>#N/A</v>
      </c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ht="19.95" customHeight="1" x14ac:dyDescent="0.3">
      <c r="A1458" s="6"/>
      <c r="B1458" s="7"/>
      <c r="C1458" s="8"/>
      <c r="D1458" s="8"/>
      <c r="E1458" s="8"/>
      <c r="F1458" s="9"/>
      <c r="G1458" s="9"/>
      <c r="H1458" s="9"/>
      <c r="I1458" s="9" t="s">
        <v>14</v>
      </c>
      <c r="J1458" s="10" t="s">
        <v>14</v>
      </c>
      <c r="K1458" s="15" t="e">
        <f>VLOOKUP(J1458,DADOS!$A$3:$B$101,2,FALSE)</f>
        <v>#N/A</v>
      </c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ht="19.95" customHeight="1" x14ac:dyDescent="0.3">
      <c r="A1459" s="6"/>
      <c r="B1459" s="7"/>
      <c r="C1459" s="8"/>
      <c r="D1459" s="8"/>
      <c r="E1459" s="8"/>
      <c r="F1459" s="9"/>
      <c r="G1459" s="9"/>
      <c r="H1459" s="9"/>
      <c r="I1459" s="9" t="s">
        <v>14</v>
      </c>
      <c r="J1459" s="10" t="s">
        <v>14</v>
      </c>
      <c r="K1459" s="15" t="e">
        <f>VLOOKUP(J1459,DADOS!$A$3:$B$101,2,FALSE)</f>
        <v>#N/A</v>
      </c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ht="19.95" customHeight="1" x14ac:dyDescent="0.3">
      <c r="A1460" s="6"/>
      <c r="B1460" s="7"/>
      <c r="C1460" s="8"/>
      <c r="D1460" s="8"/>
      <c r="E1460" s="8"/>
      <c r="F1460" s="9"/>
      <c r="G1460" s="9"/>
      <c r="H1460" s="9"/>
      <c r="I1460" s="9" t="s">
        <v>14</v>
      </c>
      <c r="J1460" s="10" t="s">
        <v>14</v>
      </c>
      <c r="K1460" s="15" t="e">
        <f>VLOOKUP(J1460,DADOS!$A$3:$B$101,2,FALSE)</f>
        <v>#N/A</v>
      </c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ht="19.95" customHeight="1" x14ac:dyDescent="0.3">
      <c r="A1461" s="6"/>
      <c r="B1461" s="7"/>
      <c r="C1461" s="8"/>
      <c r="D1461" s="8"/>
      <c r="E1461" s="8"/>
      <c r="F1461" s="9"/>
      <c r="G1461" s="9"/>
      <c r="H1461" s="9"/>
      <c r="I1461" s="9" t="s">
        <v>14</v>
      </c>
      <c r="J1461" s="10" t="s">
        <v>14</v>
      </c>
      <c r="K1461" s="15" t="e">
        <f>VLOOKUP(J1461,DADOS!$A$3:$B$101,2,FALSE)</f>
        <v>#N/A</v>
      </c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ht="19.95" customHeight="1" x14ac:dyDescent="0.3">
      <c r="A1462" s="6"/>
      <c r="B1462" s="7"/>
      <c r="C1462" s="8"/>
      <c r="D1462" s="8"/>
      <c r="E1462" s="8"/>
      <c r="F1462" s="9"/>
      <c r="G1462" s="9"/>
      <c r="H1462" s="9"/>
      <c r="I1462" s="9" t="s">
        <v>14</v>
      </c>
      <c r="J1462" s="10" t="s">
        <v>14</v>
      </c>
      <c r="K1462" s="15" t="e">
        <f>VLOOKUP(J1462,DADOS!$A$3:$B$101,2,FALSE)</f>
        <v>#N/A</v>
      </c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ht="19.95" customHeight="1" x14ac:dyDescent="0.3">
      <c r="A1463" s="6"/>
      <c r="B1463" s="7"/>
      <c r="C1463" s="8"/>
      <c r="D1463" s="8"/>
      <c r="E1463" s="8"/>
      <c r="F1463" s="9"/>
      <c r="G1463" s="9"/>
      <c r="H1463" s="9"/>
      <c r="I1463" s="9" t="s">
        <v>14</v>
      </c>
      <c r="J1463" s="10" t="s">
        <v>14</v>
      </c>
      <c r="K1463" s="15" t="e">
        <f>VLOOKUP(J1463,DADOS!$A$3:$B$101,2,FALSE)</f>
        <v>#N/A</v>
      </c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ht="19.95" customHeight="1" x14ac:dyDescent="0.3">
      <c r="A1464" s="6"/>
      <c r="B1464" s="7"/>
      <c r="C1464" s="8"/>
      <c r="D1464" s="8"/>
      <c r="E1464" s="8"/>
      <c r="F1464" s="9"/>
      <c r="G1464" s="9"/>
      <c r="H1464" s="9"/>
      <c r="I1464" s="9" t="s">
        <v>14</v>
      </c>
      <c r="J1464" s="10" t="s">
        <v>14</v>
      </c>
      <c r="K1464" s="15" t="e">
        <f>VLOOKUP(J1464,DADOS!$A$3:$B$101,2,FALSE)</f>
        <v>#N/A</v>
      </c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ht="19.95" customHeight="1" x14ac:dyDescent="0.3">
      <c r="A1465" s="6"/>
      <c r="B1465" s="7"/>
      <c r="C1465" s="8"/>
      <c r="D1465" s="8"/>
      <c r="E1465" s="8"/>
      <c r="F1465" s="9"/>
      <c r="G1465" s="9"/>
      <c r="H1465" s="9"/>
      <c r="I1465" s="9" t="s">
        <v>14</v>
      </c>
      <c r="J1465" s="10" t="s">
        <v>14</v>
      </c>
      <c r="K1465" s="15" t="e">
        <f>VLOOKUP(J1465,DADOS!$A$3:$B$101,2,FALSE)</f>
        <v>#N/A</v>
      </c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ht="19.95" customHeight="1" x14ac:dyDescent="0.3">
      <c r="A1466" s="6"/>
      <c r="B1466" s="7"/>
      <c r="C1466" s="8"/>
      <c r="D1466" s="8"/>
      <c r="E1466" s="8"/>
      <c r="F1466" s="9"/>
      <c r="G1466" s="9"/>
      <c r="H1466" s="9"/>
      <c r="I1466" s="9" t="s">
        <v>14</v>
      </c>
      <c r="J1466" s="10" t="s">
        <v>14</v>
      </c>
      <c r="K1466" s="15" t="e">
        <f>VLOOKUP(J1466,DADOS!$A$3:$B$101,2,FALSE)</f>
        <v>#N/A</v>
      </c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ht="19.95" customHeight="1" x14ac:dyDescent="0.3">
      <c r="A1467" s="6"/>
      <c r="B1467" s="7"/>
      <c r="C1467" s="8"/>
      <c r="D1467" s="8"/>
      <c r="E1467" s="8"/>
      <c r="F1467" s="9"/>
      <c r="G1467" s="9"/>
      <c r="H1467" s="9"/>
      <c r="I1467" s="9" t="s">
        <v>14</v>
      </c>
      <c r="J1467" s="10" t="s">
        <v>14</v>
      </c>
      <c r="K1467" s="15" t="e">
        <f>VLOOKUP(J1467,DADOS!$A$3:$B$101,2,FALSE)</f>
        <v>#N/A</v>
      </c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  <row r="1468" spans="1:26" ht="19.95" customHeight="1" x14ac:dyDescent="0.3">
      <c r="A1468" s="6"/>
      <c r="B1468" s="7"/>
      <c r="C1468" s="8"/>
      <c r="D1468" s="8"/>
      <c r="E1468" s="8"/>
      <c r="F1468" s="9"/>
      <c r="G1468" s="9"/>
      <c r="H1468" s="9"/>
      <c r="I1468" s="9" t="s">
        <v>14</v>
      </c>
      <c r="J1468" s="10" t="s">
        <v>14</v>
      </c>
      <c r="K1468" s="15" t="e">
        <f>VLOOKUP(J1468,DADOS!$A$3:$B$101,2,FALSE)</f>
        <v>#N/A</v>
      </c>
      <c r="L1468" s="15"/>
      <c r="M1468" s="18" t="b">
        <v>0</v>
      </c>
      <c r="N1468" s="17" t="b">
        <v>0</v>
      </c>
      <c r="O1468" s="17" t="b">
        <v>0</v>
      </c>
      <c r="P1468" s="17" t="b">
        <v>0</v>
      </c>
      <c r="Q1468" s="17" t="b">
        <v>0</v>
      </c>
      <c r="R1468" s="17" t="b">
        <v>0</v>
      </c>
      <c r="S1468" s="17" t="b">
        <v>0</v>
      </c>
      <c r="T1468" s="17" t="b">
        <v>0</v>
      </c>
      <c r="U1468" s="17" t="b">
        <v>0</v>
      </c>
      <c r="V1468" s="17" t="b">
        <v>0</v>
      </c>
      <c r="W1468" s="11"/>
      <c r="X1468" s="12"/>
      <c r="Y1468" s="12"/>
      <c r="Z1468" s="13"/>
    </row>
    <row r="1469" spans="1:26" ht="19.95" customHeight="1" x14ac:dyDescent="0.3">
      <c r="A1469" s="6"/>
      <c r="B1469" s="7"/>
      <c r="C1469" s="8"/>
      <c r="D1469" s="8"/>
      <c r="E1469" s="8"/>
      <c r="F1469" s="9"/>
      <c r="G1469" s="9"/>
      <c r="H1469" s="9"/>
      <c r="I1469" s="9" t="s">
        <v>14</v>
      </c>
      <c r="J1469" s="10" t="s">
        <v>14</v>
      </c>
      <c r="K1469" s="15" t="e">
        <f>VLOOKUP(J1469,DADOS!$A$3:$B$101,2,FALSE)</f>
        <v>#N/A</v>
      </c>
      <c r="L1469" s="15"/>
      <c r="M1469" s="18" t="b">
        <v>0</v>
      </c>
      <c r="N1469" s="17" t="b">
        <v>0</v>
      </c>
      <c r="O1469" s="17" t="b">
        <v>0</v>
      </c>
      <c r="P1469" s="17" t="b">
        <v>0</v>
      </c>
      <c r="Q1469" s="17" t="b">
        <v>0</v>
      </c>
      <c r="R1469" s="17" t="b">
        <v>0</v>
      </c>
      <c r="S1469" s="17" t="b">
        <v>0</v>
      </c>
      <c r="T1469" s="17" t="b">
        <v>0</v>
      </c>
      <c r="U1469" s="17" t="b">
        <v>0</v>
      </c>
      <c r="V1469" s="17" t="b">
        <v>0</v>
      </c>
      <c r="W1469" s="11"/>
      <c r="X1469" s="12"/>
      <c r="Y1469" s="12"/>
      <c r="Z1469" s="13"/>
    </row>
    <row r="1470" spans="1:26" ht="19.95" customHeight="1" x14ac:dyDescent="0.3">
      <c r="A1470" s="6"/>
      <c r="B1470" s="7"/>
      <c r="C1470" s="8"/>
      <c r="D1470" s="8"/>
      <c r="E1470" s="8"/>
      <c r="F1470" s="9"/>
      <c r="G1470" s="9"/>
      <c r="H1470" s="9"/>
      <c r="I1470" s="9" t="s">
        <v>14</v>
      </c>
      <c r="J1470" s="10" t="s">
        <v>14</v>
      </c>
      <c r="K1470" s="15" t="e">
        <f>VLOOKUP(J1470,DADOS!$A$3:$B$101,2,FALSE)</f>
        <v>#N/A</v>
      </c>
      <c r="L1470" s="15"/>
      <c r="M1470" s="18" t="b">
        <v>0</v>
      </c>
      <c r="N1470" s="17" t="b">
        <v>0</v>
      </c>
      <c r="O1470" s="17" t="b">
        <v>0</v>
      </c>
      <c r="P1470" s="17" t="b">
        <v>0</v>
      </c>
      <c r="Q1470" s="17" t="b">
        <v>0</v>
      </c>
      <c r="R1470" s="17" t="b">
        <v>0</v>
      </c>
      <c r="S1470" s="17" t="b">
        <v>0</v>
      </c>
      <c r="T1470" s="17" t="b">
        <v>0</v>
      </c>
      <c r="U1470" s="17" t="b">
        <v>0</v>
      </c>
      <c r="V1470" s="17" t="b">
        <v>0</v>
      </c>
      <c r="W1470" s="11"/>
      <c r="X1470" s="12"/>
      <c r="Y1470" s="12"/>
      <c r="Z1470" s="13"/>
    </row>
    <row r="1471" spans="1:26" ht="19.95" customHeight="1" x14ac:dyDescent="0.3">
      <c r="A1471" s="6"/>
      <c r="B1471" s="7"/>
      <c r="C1471" s="8"/>
      <c r="D1471" s="8"/>
      <c r="E1471" s="8"/>
      <c r="F1471" s="9"/>
      <c r="G1471" s="9"/>
      <c r="H1471" s="9"/>
      <c r="I1471" s="9" t="s">
        <v>14</v>
      </c>
      <c r="J1471" s="10" t="s">
        <v>14</v>
      </c>
      <c r="K1471" s="15" t="e">
        <f>VLOOKUP(J1471,DADOS!$A$3:$B$101,2,FALSE)</f>
        <v>#N/A</v>
      </c>
      <c r="L1471" s="15"/>
      <c r="M1471" s="18" t="b">
        <v>0</v>
      </c>
      <c r="N1471" s="17" t="b">
        <v>0</v>
      </c>
      <c r="O1471" s="17" t="b">
        <v>0</v>
      </c>
      <c r="P1471" s="17" t="b">
        <v>0</v>
      </c>
      <c r="Q1471" s="17" t="b">
        <v>0</v>
      </c>
      <c r="R1471" s="17" t="b">
        <v>0</v>
      </c>
      <c r="S1471" s="17" t="b">
        <v>0</v>
      </c>
      <c r="T1471" s="17" t="b">
        <v>0</v>
      </c>
      <c r="U1471" s="17" t="b">
        <v>0</v>
      </c>
      <c r="V1471" s="17" t="b">
        <v>0</v>
      </c>
      <c r="W1471" s="11"/>
      <c r="X1471" s="12"/>
      <c r="Y1471" s="12"/>
      <c r="Z1471" s="13"/>
    </row>
    <row r="1472" spans="1:26" ht="19.95" customHeight="1" x14ac:dyDescent="0.3">
      <c r="A1472" s="6"/>
      <c r="B1472" s="7"/>
      <c r="C1472" s="8"/>
      <c r="D1472" s="8"/>
      <c r="E1472" s="8"/>
      <c r="F1472" s="9"/>
      <c r="G1472" s="9"/>
      <c r="H1472" s="9"/>
      <c r="I1472" s="9" t="s">
        <v>14</v>
      </c>
      <c r="J1472" s="10" t="s">
        <v>14</v>
      </c>
      <c r="K1472" s="15" t="e">
        <f>VLOOKUP(J1472,DADOS!$A$3:$B$101,2,FALSE)</f>
        <v>#N/A</v>
      </c>
      <c r="L1472" s="15"/>
      <c r="M1472" s="18" t="b">
        <v>0</v>
      </c>
      <c r="N1472" s="17" t="b">
        <v>0</v>
      </c>
      <c r="O1472" s="17" t="b">
        <v>0</v>
      </c>
      <c r="P1472" s="17" t="b">
        <v>0</v>
      </c>
      <c r="Q1472" s="17" t="b">
        <v>0</v>
      </c>
      <c r="R1472" s="17" t="b">
        <v>0</v>
      </c>
      <c r="S1472" s="17" t="b">
        <v>0</v>
      </c>
      <c r="T1472" s="17" t="b">
        <v>0</v>
      </c>
      <c r="U1472" s="17" t="b">
        <v>0</v>
      </c>
      <c r="V1472" s="17" t="b">
        <v>0</v>
      </c>
      <c r="W1472" s="11"/>
      <c r="X1472" s="12"/>
      <c r="Y1472" s="12"/>
      <c r="Z1472" s="13"/>
    </row>
    <row r="1473" spans="1:26" ht="19.95" customHeight="1" x14ac:dyDescent="0.3">
      <c r="A1473" s="6"/>
      <c r="B1473" s="7"/>
      <c r="C1473" s="8"/>
      <c r="D1473" s="8"/>
      <c r="E1473" s="8"/>
      <c r="F1473" s="9"/>
      <c r="G1473" s="9"/>
      <c r="H1473" s="9"/>
      <c r="I1473" s="9" t="s">
        <v>14</v>
      </c>
      <c r="J1473" s="10" t="s">
        <v>14</v>
      </c>
      <c r="K1473" s="15" t="e">
        <f>VLOOKUP(J1473,DADOS!$A$3:$B$101,2,FALSE)</f>
        <v>#N/A</v>
      </c>
      <c r="L1473" s="15"/>
      <c r="M1473" s="18" t="b">
        <v>0</v>
      </c>
      <c r="N1473" s="17" t="b">
        <v>0</v>
      </c>
      <c r="O1473" s="17" t="b">
        <v>0</v>
      </c>
      <c r="P1473" s="17" t="b">
        <v>0</v>
      </c>
      <c r="Q1473" s="17" t="b">
        <v>0</v>
      </c>
      <c r="R1473" s="17" t="b">
        <v>0</v>
      </c>
      <c r="S1473" s="17" t="b">
        <v>0</v>
      </c>
      <c r="T1473" s="17" t="b">
        <v>0</v>
      </c>
      <c r="U1473" s="17" t="b">
        <v>0</v>
      </c>
      <c r="V1473" s="17" t="b">
        <v>0</v>
      </c>
      <c r="W1473" s="11"/>
      <c r="X1473" s="12"/>
      <c r="Y1473" s="12"/>
      <c r="Z1473" s="13"/>
    </row>
    <row r="1474" spans="1:26" ht="19.95" customHeight="1" x14ac:dyDescent="0.3">
      <c r="A1474" s="6"/>
      <c r="B1474" s="7"/>
      <c r="C1474" s="8"/>
      <c r="D1474" s="8"/>
      <c r="E1474" s="8"/>
      <c r="F1474" s="9"/>
      <c r="G1474" s="9"/>
      <c r="H1474" s="9"/>
      <c r="I1474" s="9" t="s">
        <v>14</v>
      </c>
      <c r="J1474" s="10" t="s">
        <v>14</v>
      </c>
      <c r="K1474" s="15" t="e">
        <f>VLOOKUP(J1474,DADOS!$A$3:$B$101,2,FALSE)</f>
        <v>#N/A</v>
      </c>
      <c r="L1474" s="15"/>
      <c r="M1474" s="18" t="b">
        <v>0</v>
      </c>
      <c r="N1474" s="17" t="b">
        <v>0</v>
      </c>
      <c r="O1474" s="17" t="b">
        <v>0</v>
      </c>
      <c r="P1474" s="17" t="b">
        <v>0</v>
      </c>
      <c r="Q1474" s="17" t="b">
        <v>0</v>
      </c>
      <c r="R1474" s="17" t="b">
        <v>0</v>
      </c>
      <c r="S1474" s="17" t="b">
        <v>0</v>
      </c>
      <c r="T1474" s="17" t="b">
        <v>0</v>
      </c>
      <c r="U1474" s="17" t="b">
        <v>0</v>
      </c>
      <c r="V1474" s="17" t="b">
        <v>0</v>
      </c>
      <c r="W1474" s="11"/>
      <c r="X1474" s="12"/>
      <c r="Y1474" s="12"/>
      <c r="Z1474" s="13"/>
    </row>
    <row r="1475" spans="1:26" ht="19.95" customHeight="1" x14ac:dyDescent="0.3">
      <c r="A1475" s="6"/>
      <c r="B1475" s="7"/>
      <c r="C1475" s="8"/>
      <c r="D1475" s="8"/>
      <c r="E1475" s="8"/>
      <c r="F1475" s="9"/>
      <c r="G1475" s="9"/>
      <c r="H1475" s="9"/>
      <c r="I1475" s="9" t="s">
        <v>14</v>
      </c>
      <c r="J1475" s="10" t="s">
        <v>14</v>
      </c>
      <c r="K1475" s="15" t="e">
        <f>VLOOKUP(J1475,DADOS!$A$3:$B$101,2,FALSE)</f>
        <v>#N/A</v>
      </c>
      <c r="L1475" s="15"/>
      <c r="M1475" s="18" t="b">
        <v>0</v>
      </c>
      <c r="N1475" s="17" t="b">
        <v>0</v>
      </c>
      <c r="O1475" s="17" t="b">
        <v>0</v>
      </c>
      <c r="P1475" s="17" t="b">
        <v>0</v>
      </c>
      <c r="Q1475" s="17" t="b">
        <v>0</v>
      </c>
      <c r="R1475" s="17" t="b">
        <v>0</v>
      </c>
      <c r="S1475" s="17" t="b">
        <v>0</v>
      </c>
      <c r="T1475" s="17" t="b">
        <v>0</v>
      </c>
      <c r="U1475" s="17" t="b">
        <v>0</v>
      </c>
      <c r="V1475" s="17" t="b">
        <v>0</v>
      </c>
      <c r="W1475" s="11"/>
      <c r="X1475" s="12"/>
      <c r="Y1475" s="12"/>
      <c r="Z1475" s="13"/>
    </row>
    <row r="1476" spans="1:26" ht="19.95" customHeight="1" x14ac:dyDescent="0.3">
      <c r="A1476" s="6"/>
      <c r="B1476" s="7"/>
      <c r="C1476" s="8"/>
      <c r="D1476" s="8"/>
      <c r="E1476" s="8"/>
      <c r="F1476" s="9"/>
      <c r="G1476" s="9"/>
      <c r="H1476" s="9"/>
      <c r="I1476" s="9" t="s">
        <v>14</v>
      </c>
      <c r="J1476" s="10" t="s">
        <v>14</v>
      </c>
      <c r="K1476" s="15" t="e">
        <f>VLOOKUP(J1476,DADOS!$A$3:$B$101,2,FALSE)</f>
        <v>#N/A</v>
      </c>
      <c r="L1476" s="15"/>
      <c r="M1476" s="18" t="b">
        <v>0</v>
      </c>
      <c r="N1476" s="17" t="b">
        <v>0</v>
      </c>
      <c r="O1476" s="17" t="b">
        <v>0</v>
      </c>
      <c r="P1476" s="17" t="b">
        <v>0</v>
      </c>
      <c r="Q1476" s="17" t="b">
        <v>0</v>
      </c>
      <c r="R1476" s="17" t="b">
        <v>0</v>
      </c>
      <c r="S1476" s="17" t="b">
        <v>0</v>
      </c>
      <c r="T1476" s="17" t="b">
        <v>0</v>
      </c>
      <c r="U1476" s="17" t="b">
        <v>0</v>
      </c>
      <c r="V1476" s="17" t="b">
        <v>0</v>
      </c>
      <c r="W1476" s="11"/>
      <c r="X1476" s="12"/>
      <c r="Y1476" s="12"/>
      <c r="Z1476" s="13"/>
    </row>
    <row r="1477" spans="1:26" ht="19.95" customHeight="1" x14ac:dyDescent="0.3">
      <c r="A1477" s="6"/>
      <c r="B1477" s="7"/>
      <c r="C1477" s="8"/>
      <c r="D1477" s="8"/>
      <c r="E1477" s="8"/>
      <c r="F1477" s="9"/>
      <c r="G1477" s="9"/>
      <c r="H1477" s="9"/>
      <c r="I1477" s="9" t="s">
        <v>14</v>
      </c>
      <c r="J1477" s="10" t="s">
        <v>14</v>
      </c>
      <c r="K1477" s="15" t="e">
        <f>VLOOKUP(J1477,DADOS!$A$3:$B$101,2,FALSE)</f>
        <v>#N/A</v>
      </c>
      <c r="L1477" s="15"/>
      <c r="M1477" s="18" t="b">
        <v>0</v>
      </c>
      <c r="N1477" s="17" t="b">
        <v>0</v>
      </c>
      <c r="O1477" s="17" t="b">
        <v>0</v>
      </c>
      <c r="P1477" s="17" t="b">
        <v>0</v>
      </c>
      <c r="Q1477" s="17" t="b">
        <v>0</v>
      </c>
      <c r="R1477" s="17" t="b">
        <v>0</v>
      </c>
      <c r="S1477" s="17" t="b">
        <v>0</v>
      </c>
      <c r="T1477" s="17" t="b">
        <v>0</v>
      </c>
      <c r="U1477" s="17" t="b">
        <v>0</v>
      </c>
      <c r="V1477" s="17" t="b">
        <v>0</v>
      </c>
      <c r="W1477" s="11"/>
      <c r="X1477" s="12"/>
      <c r="Y1477" s="12"/>
      <c r="Z1477" s="13"/>
    </row>
    <row r="1478" spans="1:26" ht="19.95" customHeight="1" x14ac:dyDescent="0.3">
      <c r="A1478" s="6"/>
      <c r="B1478" s="7"/>
      <c r="C1478" s="8"/>
      <c r="D1478" s="8"/>
      <c r="E1478" s="8"/>
      <c r="F1478" s="9"/>
      <c r="G1478" s="9"/>
      <c r="H1478" s="9"/>
      <c r="I1478" s="9" t="s">
        <v>14</v>
      </c>
      <c r="J1478" s="10" t="s">
        <v>14</v>
      </c>
      <c r="K1478" s="15" t="e">
        <f>VLOOKUP(J1478,DADOS!$A$3:$B$101,2,FALSE)</f>
        <v>#N/A</v>
      </c>
      <c r="L1478" s="15"/>
      <c r="M1478" s="18" t="b">
        <v>0</v>
      </c>
      <c r="N1478" s="17" t="b">
        <v>0</v>
      </c>
      <c r="O1478" s="17" t="b">
        <v>0</v>
      </c>
      <c r="P1478" s="17" t="b">
        <v>0</v>
      </c>
      <c r="Q1478" s="17" t="b">
        <v>0</v>
      </c>
      <c r="R1478" s="17" t="b">
        <v>0</v>
      </c>
      <c r="S1478" s="17" t="b">
        <v>0</v>
      </c>
      <c r="T1478" s="17" t="b">
        <v>0</v>
      </c>
      <c r="U1478" s="17" t="b">
        <v>0</v>
      </c>
      <c r="V1478" s="17" t="b">
        <v>0</v>
      </c>
      <c r="W1478" s="11"/>
      <c r="X1478" s="12"/>
      <c r="Y1478" s="12"/>
      <c r="Z1478" s="13"/>
    </row>
    <row r="1479" spans="1:26" ht="19.95" customHeight="1" x14ac:dyDescent="0.3">
      <c r="A1479" s="6"/>
      <c r="B1479" s="7"/>
      <c r="C1479" s="8"/>
      <c r="D1479" s="8"/>
      <c r="E1479" s="8"/>
      <c r="F1479" s="9"/>
      <c r="G1479" s="9"/>
      <c r="H1479" s="9"/>
      <c r="I1479" s="9" t="s">
        <v>14</v>
      </c>
      <c r="J1479" s="10" t="s">
        <v>14</v>
      </c>
      <c r="K1479" s="15" t="e">
        <f>VLOOKUP(J1479,DADOS!$A$3:$B$101,2,FALSE)</f>
        <v>#N/A</v>
      </c>
      <c r="L1479" s="15"/>
      <c r="M1479" s="18" t="b">
        <v>0</v>
      </c>
      <c r="N1479" s="17" t="b">
        <v>0</v>
      </c>
      <c r="O1479" s="17" t="b">
        <v>0</v>
      </c>
      <c r="P1479" s="17" t="b">
        <v>0</v>
      </c>
      <c r="Q1479" s="17" t="b">
        <v>0</v>
      </c>
      <c r="R1479" s="17" t="b">
        <v>0</v>
      </c>
      <c r="S1479" s="17" t="b">
        <v>0</v>
      </c>
      <c r="T1479" s="17" t="b">
        <v>0</v>
      </c>
      <c r="U1479" s="17" t="b">
        <v>0</v>
      </c>
      <c r="V1479" s="17" t="b">
        <v>0</v>
      </c>
      <c r="W1479" s="11"/>
      <c r="X1479" s="12"/>
      <c r="Y1479" s="12"/>
      <c r="Z1479" s="13"/>
    </row>
    <row r="1480" spans="1:26" ht="19.95" customHeight="1" x14ac:dyDescent="0.3">
      <c r="A1480" s="6"/>
      <c r="B1480" s="7"/>
      <c r="C1480" s="8"/>
      <c r="D1480" s="8"/>
      <c r="E1480" s="8"/>
      <c r="F1480" s="9"/>
      <c r="G1480" s="9"/>
      <c r="H1480" s="9"/>
      <c r="I1480" s="9" t="s">
        <v>14</v>
      </c>
      <c r="J1480" s="10" t="s">
        <v>14</v>
      </c>
      <c r="K1480" s="15" t="e">
        <f>VLOOKUP(J1480,DADOS!$A$3:$B$101,2,FALSE)</f>
        <v>#N/A</v>
      </c>
      <c r="L1480" s="15"/>
      <c r="M1480" s="18" t="b">
        <v>0</v>
      </c>
      <c r="N1480" s="17" t="b">
        <v>0</v>
      </c>
      <c r="O1480" s="17" t="b">
        <v>0</v>
      </c>
      <c r="P1480" s="17" t="b">
        <v>0</v>
      </c>
      <c r="Q1480" s="17" t="b">
        <v>0</v>
      </c>
      <c r="R1480" s="17" t="b">
        <v>0</v>
      </c>
      <c r="S1480" s="17" t="b">
        <v>0</v>
      </c>
      <c r="T1480" s="17" t="b">
        <v>0</v>
      </c>
      <c r="U1480" s="17" t="b">
        <v>0</v>
      </c>
      <c r="V1480" s="17" t="b">
        <v>0</v>
      </c>
      <c r="W1480" s="11"/>
      <c r="X1480" s="12"/>
      <c r="Y1480" s="12"/>
      <c r="Z1480" s="13"/>
    </row>
    <row r="1481" spans="1:26" ht="19.95" customHeight="1" x14ac:dyDescent="0.3">
      <c r="A1481" s="6"/>
      <c r="B1481" s="7"/>
      <c r="C1481" s="8"/>
      <c r="D1481" s="8"/>
      <c r="E1481" s="8"/>
      <c r="F1481" s="9"/>
      <c r="G1481" s="9"/>
      <c r="H1481" s="9"/>
      <c r="I1481" s="9" t="s">
        <v>14</v>
      </c>
      <c r="J1481" s="10" t="s">
        <v>14</v>
      </c>
      <c r="K1481" s="15" t="e">
        <f>VLOOKUP(J1481,DADOS!$A$3:$B$101,2,FALSE)</f>
        <v>#N/A</v>
      </c>
      <c r="L1481" s="15"/>
      <c r="M1481" s="18" t="b">
        <v>0</v>
      </c>
      <c r="N1481" s="17" t="b">
        <v>0</v>
      </c>
      <c r="O1481" s="17" t="b">
        <v>0</v>
      </c>
      <c r="P1481" s="17" t="b">
        <v>0</v>
      </c>
      <c r="Q1481" s="17" t="b">
        <v>0</v>
      </c>
      <c r="R1481" s="17" t="b">
        <v>0</v>
      </c>
      <c r="S1481" s="17" t="b">
        <v>0</v>
      </c>
      <c r="T1481" s="17" t="b">
        <v>0</v>
      </c>
      <c r="U1481" s="17" t="b">
        <v>0</v>
      </c>
      <c r="V1481" s="17" t="b">
        <v>0</v>
      </c>
      <c r="W1481" s="11"/>
      <c r="X1481" s="12"/>
      <c r="Y1481" s="12"/>
      <c r="Z1481" s="13"/>
    </row>
    <row r="1482" spans="1:26" ht="19.95" customHeight="1" x14ac:dyDescent="0.3">
      <c r="A1482" s="6"/>
      <c r="B1482" s="7"/>
      <c r="C1482" s="8"/>
      <c r="D1482" s="8"/>
      <c r="E1482" s="8"/>
      <c r="F1482" s="9"/>
      <c r="G1482" s="9"/>
      <c r="H1482" s="9"/>
      <c r="I1482" s="9" t="s">
        <v>14</v>
      </c>
      <c r="J1482" s="10" t="s">
        <v>14</v>
      </c>
      <c r="K1482" s="15" t="e">
        <f>VLOOKUP(J1482,DADOS!$A$3:$B$101,2,FALSE)</f>
        <v>#N/A</v>
      </c>
      <c r="L1482" s="15"/>
      <c r="M1482" s="18" t="b">
        <v>0</v>
      </c>
      <c r="N1482" s="17" t="b">
        <v>0</v>
      </c>
      <c r="O1482" s="17" t="b">
        <v>0</v>
      </c>
      <c r="P1482" s="17" t="b">
        <v>0</v>
      </c>
      <c r="Q1482" s="17" t="b">
        <v>0</v>
      </c>
      <c r="R1482" s="17" t="b">
        <v>0</v>
      </c>
      <c r="S1482" s="17" t="b">
        <v>0</v>
      </c>
      <c r="T1482" s="17" t="b">
        <v>0</v>
      </c>
      <c r="U1482" s="17" t="b">
        <v>0</v>
      </c>
      <c r="V1482" s="17" t="b">
        <v>0</v>
      </c>
      <c r="W1482" s="11"/>
      <c r="X1482" s="12"/>
      <c r="Y1482" s="12"/>
      <c r="Z1482" s="13"/>
    </row>
    <row r="1483" spans="1:26" ht="19.95" customHeight="1" x14ac:dyDescent="0.3">
      <c r="A1483" s="6"/>
      <c r="B1483" s="7"/>
      <c r="C1483" s="8"/>
      <c r="D1483" s="8"/>
      <c r="E1483" s="8"/>
      <c r="F1483" s="9"/>
      <c r="G1483" s="9"/>
      <c r="H1483" s="9"/>
      <c r="I1483" s="9" t="s">
        <v>14</v>
      </c>
      <c r="J1483" s="10" t="s">
        <v>14</v>
      </c>
      <c r="K1483" s="15" t="e">
        <f>VLOOKUP(J1483,DADOS!$A$3:$B$101,2,FALSE)</f>
        <v>#N/A</v>
      </c>
      <c r="L1483" s="15"/>
      <c r="M1483" s="18" t="b">
        <v>0</v>
      </c>
      <c r="N1483" s="17" t="b">
        <v>0</v>
      </c>
      <c r="O1483" s="17" t="b">
        <v>0</v>
      </c>
      <c r="P1483" s="17" t="b">
        <v>0</v>
      </c>
      <c r="Q1483" s="17" t="b">
        <v>0</v>
      </c>
      <c r="R1483" s="17" t="b">
        <v>0</v>
      </c>
      <c r="S1483" s="17" t="b">
        <v>0</v>
      </c>
      <c r="T1483" s="17" t="b">
        <v>0</v>
      </c>
      <c r="U1483" s="17" t="b">
        <v>0</v>
      </c>
      <c r="V1483" s="17" t="b">
        <v>0</v>
      </c>
      <c r="W1483" s="11"/>
      <c r="X1483" s="12"/>
      <c r="Y1483" s="12"/>
      <c r="Z1483" s="13"/>
    </row>
    <row r="1484" spans="1:26" ht="19.95" customHeight="1" x14ac:dyDescent="0.3">
      <c r="A1484" s="6"/>
      <c r="B1484" s="7"/>
      <c r="C1484" s="8"/>
      <c r="D1484" s="8"/>
      <c r="E1484" s="8"/>
      <c r="F1484" s="9"/>
      <c r="G1484" s="9"/>
      <c r="H1484" s="9"/>
      <c r="I1484" s="9" t="s">
        <v>14</v>
      </c>
      <c r="J1484" s="10" t="s">
        <v>14</v>
      </c>
      <c r="K1484" s="15" t="e">
        <f>VLOOKUP(J1484,DADOS!$A$3:$B$101,2,FALSE)</f>
        <v>#N/A</v>
      </c>
      <c r="L1484" s="15"/>
      <c r="M1484" s="18" t="b">
        <v>0</v>
      </c>
      <c r="N1484" s="17" t="b">
        <v>0</v>
      </c>
      <c r="O1484" s="17" t="b">
        <v>0</v>
      </c>
      <c r="P1484" s="17" t="b">
        <v>0</v>
      </c>
      <c r="Q1484" s="17" t="b">
        <v>0</v>
      </c>
      <c r="R1484" s="17" t="b">
        <v>0</v>
      </c>
      <c r="S1484" s="17" t="b">
        <v>0</v>
      </c>
      <c r="T1484" s="17" t="b">
        <v>0</v>
      </c>
      <c r="U1484" s="17" t="b">
        <v>0</v>
      </c>
      <c r="V1484" s="17" t="b">
        <v>0</v>
      </c>
      <c r="W1484" s="11"/>
      <c r="X1484" s="12"/>
      <c r="Y1484" s="12"/>
      <c r="Z1484" s="13"/>
    </row>
    <row r="1485" spans="1:26" ht="19.95" customHeight="1" x14ac:dyDescent="0.3">
      <c r="A1485" s="6"/>
      <c r="B1485" s="7"/>
      <c r="C1485" s="8"/>
      <c r="D1485" s="8"/>
      <c r="E1485" s="8"/>
      <c r="F1485" s="9"/>
      <c r="G1485" s="9"/>
      <c r="H1485" s="9"/>
      <c r="I1485" s="9" t="s">
        <v>14</v>
      </c>
      <c r="J1485" s="10" t="s">
        <v>14</v>
      </c>
      <c r="K1485" s="15" t="e">
        <f>VLOOKUP(J1485,DADOS!$A$3:$B$101,2,FALSE)</f>
        <v>#N/A</v>
      </c>
      <c r="L1485" s="15"/>
      <c r="M1485" s="18" t="b">
        <v>0</v>
      </c>
      <c r="N1485" s="17" t="b">
        <v>0</v>
      </c>
      <c r="O1485" s="17" t="b">
        <v>0</v>
      </c>
      <c r="P1485" s="17" t="b">
        <v>0</v>
      </c>
      <c r="Q1485" s="17" t="b">
        <v>0</v>
      </c>
      <c r="R1485" s="17" t="b">
        <v>0</v>
      </c>
      <c r="S1485" s="17" t="b">
        <v>0</v>
      </c>
      <c r="T1485" s="17" t="b">
        <v>0</v>
      </c>
      <c r="U1485" s="17" t="b">
        <v>0</v>
      </c>
      <c r="V1485" s="17" t="b">
        <v>0</v>
      </c>
      <c r="W1485" s="11"/>
      <c r="X1485" s="12"/>
      <c r="Y1485" s="12"/>
      <c r="Z1485" s="13"/>
    </row>
    <row r="1486" spans="1:26" ht="19.95" customHeight="1" x14ac:dyDescent="0.3">
      <c r="A1486" s="6"/>
      <c r="B1486" s="7"/>
      <c r="C1486" s="8"/>
      <c r="D1486" s="8"/>
      <c r="E1486" s="8"/>
      <c r="F1486" s="9"/>
      <c r="G1486" s="9"/>
      <c r="H1486" s="9"/>
      <c r="I1486" s="9" t="s">
        <v>14</v>
      </c>
      <c r="J1486" s="10" t="s">
        <v>14</v>
      </c>
      <c r="K1486" s="15" t="e">
        <f>VLOOKUP(J1486,DADOS!$A$3:$B$101,2,FALSE)</f>
        <v>#N/A</v>
      </c>
      <c r="L1486" s="15"/>
      <c r="M1486" s="18" t="b">
        <v>0</v>
      </c>
      <c r="N1486" s="17" t="b">
        <v>0</v>
      </c>
      <c r="O1486" s="17" t="b">
        <v>0</v>
      </c>
      <c r="P1486" s="17" t="b">
        <v>0</v>
      </c>
      <c r="Q1486" s="17" t="b">
        <v>0</v>
      </c>
      <c r="R1486" s="17" t="b">
        <v>0</v>
      </c>
      <c r="S1486" s="17" t="b">
        <v>0</v>
      </c>
      <c r="T1486" s="17" t="b">
        <v>0</v>
      </c>
      <c r="U1486" s="17" t="b">
        <v>0</v>
      </c>
      <c r="V1486" s="17" t="b">
        <v>0</v>
      </c>
      <c r="W1486" s="11"/>
      <c r="X1486" s="12"/>
      <c r="Y1486" s="12"/>
      <c r="Z1486" s="13"/>
    </row>
    <row r="1487" spans="1:26" ht="19.95" customHeight="1" x14ac:dyDescent="0.3">
      <c r="A1487" s="6"/>
      <c r="B1487" s="7"/>
      <c r="C1487" s="8"/>
      <c r="D1487" s="8"/>
      <c r="E1487" s="8"/>
      <c r="F1487" s="9"/>
      <c r="G1487" s="9"/>
      <c r="H1487" s="9"/>
      <c r="I1487" s="9" t="s">
        <v>14</v>
      </c>
      <c r="J1487" s="10" t="s">
        <v>14</v>
      </c>
      <c r="K1487" s="15" t="e">
        <f>VLOOKUP(J1487,DADOS!$A$3:$B$101,2,FALSE)</f>
        <v>#N/A</v>
      </c>
      <c r="L1487" s="15"/>
      <c r="M1487" s="18" t="b">
        <v>0</v>
      </c>
      <c r="N1487" s="17" t="b">
        <v>0</v>
      </c>
      <c r="O1487" s="17" t="b">
        <v>0</v>
      </c>
      <c r="P1487" s="17" t="b">
        <v>0</v>
      </c>
      <c r="Q1487" s="17" t="b">
        <v>0</v>
      </c>
      <c r="R1487" s="17" t="b">
        <v>0</v>
      </c>
      <c r="S1487" s="17" t="b">
        <v>0</v>
      </c>
      <c r="T1487" s="17" t="b">
        <v>0</v>
      </c>
      <c r="U1487" s="17" t="b">
        <v>0</v>
      </c>
      <c r="V1487" s="17" t="b">
        <v>0</v>
      </c>
      <c r="W1487" s="11"/>
      <c r="X1487" s="12"/>
      <c r="Y1487" s="12"/>
      <c r="Z1487" s="13"/>
    </row>
    <row r="1488" spans="1:26" ht="19.95" customHeight="1" x14ac:dyDescent="0.3">
      <c r="A1488" s="6"/>
      <c r="B1488" s="7"/>
      <c r="C1488" s="8"/>
      <c r="D1488" s="8"/>
      <c r="E1488" s="8"/>
      <c r="F1488" s="9"/>
      <c r="G1488" s="9"/>
      <c r="H1488" s="9"/>
      <c r="I1488" s="9" t="s">
        <v>14</v>
      </c>
      <c r="J1488" s="10" t="s">
        <v>14</v>
      </c>
      <c r="K1488" s="15" t="e">
        <f>VLOOKUP(J1488,DADOS!$A$3:$B$101,2,FALSE)</f>
        <v>#N/A</v>
      </c>
      <c r="L1488" s="15"/>
      <c r="M1488" s="18" t="b">
        <v>0</v>
      </c>
      <c r="N1488" s="17" t="b">
        <v>0</v>
      </c>
      <c r="O1488" s="17" t="b">
        <v>0</v>
      </c>
      <c r="P1488" s="17" t="b">
        <v>0</v>
      </c>
      <c r="Q1488" s="17" t="b">
        <v>0</v>
      </c>
      <c r="R1488" s="17" t="b">
        <v>0</v>
      </c>
      <c r="S1488" s="17" t="b">
        <v>0</v>
      </c>
      <c r="T1488" s="17" t="b">
        <v>0</v>
      </c>
      <c r="U1488" s="17" t="b">
        <v>0</v>
      </c>
      <c r="V1488" s="17" t="b">
        <v>0</v>
      </c>
      <c r="W1488" s="11"/>
      <c r="X1488" s="12"/>
      <c r="Y1488" s="12"/>
      <c r="Z1488" s="13"/>
    </row>
    <row r="1489" spans="1:26" ht="19.95" customHeight="1" x14ac:dyDescent="0.3">
      <c r="A1489" s="6"/>
      <c r="B1489" s="7"/>
      <c r="C1489" s="8"/>
      <c r="D1489" s="8"/>
      <c r="E1489" s="8"/>
      <c r="F1489" s="9"/>
      <c r="G1489" s="9"/>
      <c r="H1489" s="9"/>
      <c r="I1489" s="9" t="s">
        <v>14</v>
      </c>
      <c r="J1489" s="10" t="s">
        <v>14</v>
      </c>
      <c r="K1489" s="15" t="e">
        <f>VLOOKUP(J1489,DADOS!$A$3:$B$101,2,FALSE)</f>
        <v>#N/A</v>
      </c>
      <c r="L1489" s="15"/>
      <c r="M1489" s="18" t="b">
        <v>0</v>
      </c>
      <c r="N1489" s="17" t="b">
        <v>0</v>
      </c>
      <c r="O1489" s="17" t="b">
        <v>0</v>
      </c>
      <c r="P1489" s="17" t="b">
        <v>0</v>
      </c>
      <c r="Q1489" s="17" t="b">
        <v>0</v>
      </c>
      <c r="R1489" s="17" t="b">
        <v>0</v>
      </c>
      <c r="S1489" s="17" t="b">
        <v>0</v>
      </c>
      <c r="T1489" s="17" t="b">
        <v>0</v>
      </c>
      <c r="U1489" s="17" t="b">
        <v>0</v>
      </c>
      <c r="V1489" s="17" t="b">
        <v>0</v>
      </c>
      <c r="W1489" s="11"/>
      <c r="X1489" s="12"/>
      <c r="Y1489" s="12"/>
      <c r="Z1489" s="13"/>
    </row>
    <row r="1490" spans="1:26" ht="19.95" customHeight="1" x14ac:dyDescent="0.3">
      <c r="A1490" s="6"/>
      <c r="B1490" s="7"/>
      <c r="C1490" s="8"/>
      <c r="D1490" s="8"/>
      <c r="E1490" s="8"/>
      <c r="F1490" s="9"/>
      <c r="G1490" s="9"/>
      <c r="H1490" s="9"/>
      <c r="I1490" s="9" t="s">
        <v>14</v>
      </c>
      <c r="J1490" s="10" t="s">
        <v>14</v>
      </c>
      <c r="K1490" s="15" t="e">
        <f>VLOOKUP(J1490,DADOS!$A$3:$B$101,2,FALSE)</f>
        <v>#N/A</v>
      </c>
      <c r="L1490" s="15"/>
      <c r="M1490" s="18" t="b">
        <v>0</v>
      </c>
      <c r="N1490" s="17" t="b">
        <v>0</v>
      </c>
      <c r="O1490" s="17" t="b">
        <v>0</v>
      </c>
      <c r="P1490" s="17" t="b">
        <v>0</v>
      </c>
      <c r="Q1490" s="17" t="b">
        <v>0</v>
      </c>
      <c r="R1490" s="17" t="b">
        <v>0</v>
      </c>
      <c r="S1490" s="17" t="b">
        <v>0</v>
      </c>
      <c r="T1490" s="17" t="b">
        <v>0</v>
      </c>
      <c r="U1490" s="17" t="b">
        <v>0</v>
      </c>
      <c r="V1490" s="17" t="b">
        <v>0</v>
      </c>
      <c r="W1490" s="11"/>
      <c r="X1490" s="12"/>
      <c r="Y1490" s="12"/>
      <c r="Z1490" s="13"/>
    </row>
    <row r="1491" spans="1:26" ht="19.95" customHeight="1" x14ac:dyDescent="0.3">
      <c r="A1491" s="6"/>
      <c r="B1491" s="7"/>
      <c r="C1491" s="8"/>
      <c r="D1491" s="8"/>
      <c r="E1491" s="8"/>
      <c r="F1491" s="9"/>
      <c r="G1491" s="9"/>
      <c r="H1491" s="9"/>
      <c r="I1491" s="9" t="s">
        <v>14</v>
      </c>
      <c r="J1491" s="10" t="s">
        <v>14</v>
      </c>
      <c r="K1491" s="15" t="e">
        <f>VLOOKUP(J1491,DADOS!$A$3:$B$101,2,FALSE)</f>
        <v>#N/A</v>
      </c>
      <c r="L1491" s="15"/>
      <c r="M1491" s="18" t="b">
        <v>0</v>
      </c>
      <c r="N1491" s="17" t="b">
        <v>0</v>
      </c>
      <c r="O1491" s="17" t="b">
        <v>0</v>
      </c>
      <c r="P1491" s="17" t="b">
        <v>0</v>
      </c>
      <c r="Q1491" s="17" t="b">
        <v>0</v>
      </c>
      <c r="R1491" s="17" t="b">
        <v>0</v>
      </c>
      <c r="S1491" s="17" t="b">
        <v>0</v>
      </c>
      <c r="T1491" s="17" t="b">
        <v>0</v>
      </c>
      <c r="U1491" s="17" t="b">
        <v>0</v>
      </c>
      <c r="V1491" s="17" t="b">
        <v>0</v>
      </c>
      <c r="W1491" s="11"/>
      <c r="X1491" s="12"/>
      <c r="Y1491" s="12"/>
      <c r="Z1491" s="13"/>
    </row>
    <row r="1492" spans="1:26" ht="19.95" customHeight="1" x14ac:dyDescent="0.3">
      <c r="A1492" s="6"/>
      <c r="B1492" s="7"/>
      <c r="C1492" s="8"/>
      <c r="D1492" s="8"/>
      <c r="E1492" s="8"/>
      <c r="F1492" s="9"/>
      <c r="G1492" s="9"/>
      <c r="H1492" s="9"/>
      <c r="I1492" s="9" t="s">
        <v>14</v>
      </c>
      <c r="J1492" s="10" t="s">
        <v>14</v>
      </c>
      <c r="K1492" s="15" t="e">
        <f>VLOOKUP(J1492,DADOS!$A$3:$B$101,2,FALSE)</f>
        <v>#N/A</v>
      </c>
      <c r="L1492" s="15"/>
      <c r="M1492" s="18" t="b">
        <v>0</v>
      </c>
      <c r="N1492" s="17" t="b">
        <v>0</v>
      </c>
      <c r="O1492" s="17" t="b">
        <v>0</v>
      </c>
      <c r="P1492" s="17" t="b">
        <v>0</v>
      </c>
      <c r="Q1492" s="17" t="b">
        <v>0</v>
      </c>
      <c r="R1492" s="17" t="b">
        <v>0</v>
      </c>
      <c r="S1492" s="17" t="b">
        <v>0</v>
      </c>
      <c r="T1492" s="17" t="b">
        <v>0</v>
      </c>
      <c r="U1492" s="17" t="b">
        <v>0</v>
      </c>
      <c r="V1492" s="17" t="b">
        <v>0</v>
      </c>
      <c r="W1492" s="11"/>
      <c r="X1492" s="12"/>
      <c r="Y1492" s="12"/>
      <c r="Z1492" s="13"/>
    </row>
    <row r="1493" spans="1:26" ht="19.95" customHeight="1" x14ac:dyDescent="0.3">
      <c r="A1493" s="6"/>
      <c r="B1493" s="7"/>
      <c r="C1493" s="8"/>
      <c r="D1493" s="8"/>
      <c r="E1493" s="8"/>
      <c r="F1493" s="9"/>
      <c r="G1493" s="9"/>
      <c r="H1493" s="9"/>
      <c r="I1493" s="9" t="s">
        <v>14</v>
      </c>
      <c r="J1493" s="10" t="s">
        <v>14</v>
      </c>
      <c r="K1493" s="15" t="e">
        <f>VLOOKUP(J1493,DADOS!$A$3:$B$101,2,FALSE)</f>
        <v>#N/A</v>
      </c>
      <c r="L1493" s="15"/>
      <c r="M1493" s="18" t="b">
        <v>0</v>
      </c>
      <c r="N1493" s="17" t="b">
        <v>0</v>
      </c>
      <c r="O1493" s="17" t="b">
        <v>0</v>
      </c>
      <c r="P1493" s="17" t="b">
        <v>0</v>
      </c>
      <c r="Q1493" s="17" t="b">
        <v>0</v>
      </c>
      <c r="R1493" s="17" t="b">
        <v>0</v>
      </c>
      <c r="S1493" s="17" t="b">
        <v>0</v>
      </c>
      <c r="T1493" s="17" t="b">
        <v>0</v>
      </c>
      <c r="U1493" s="17" t="b">
        <v>0</v>
      </c>
      <c r="V1493" s="17" t="b">
        <v>0</v>
      </c>
      <c r="W1493" s="11"/>
      <c r="X1493" s="12"/>
      <c r="Y1493" s="12"/>
      <c r="Z1493" s="13"/>
    </row>
    <row r="1494" spans="1:26" ht="19.95" customHeight="1" x14ac:dyDescent="0.3">
      <c r="A1494" s="6"/>
      <c r="B1494" s="7"/>
      <c r="C1494" s="8"/>
      <c r="D1494" s="8"/>
      <c r="E1494" s="8"/>
      <c r="F1494" s="9"/>
      <c r="G1494" s="9"/>
      <c r="H1494" s="9"/>
      <c r="I1494" s="9" t="s">
        <v>14</v>
      </c>
      <c r="J1494" s="10" t="s">
        <v>14</v>
      </c>
      <c r="K1494" s="15" t="e">
        <f>VLOOKUP(J1494,DADOS!$A$3:$B$101,2,FALSE)</f>
        <v>#N/A</v>
      </c>
      <c r="L1494" s="15"/>
      <c r="M1494" s="18" t="b">
        <v>0</v>
      </c>
      <c r="N1494" s="17" t="b">
        <v>0</v>
      </c>
      <c r="O1494" s="17" t="b">
        <v>0</v>
      </c>
      <c r="P1494" s="17" t="b">
        <v>0</v>
      </c>
      <c r="Q1494" s="17" t="b">
        <v>0</v>
      </c>
      <c r="R1494" s="17" t="b">
        <v>0</v>
      </c>
      <c r="S1494" s="17" t="b">
        <v>0</v>
      </c>
      <c r="T1494" s="17" t="b">
        <v>0</v>
      </c>
      <c r="U1494" s="17" t="b">
        <v>0</v>
      </c>
      <c r="V1494" s="17" t="b">
        <v>0</v>
      </c>
      <c r="W1494" s="11"/>
      <c r="X1494" s="12"/>
      <c r="Y1494" s="12"/>
      <c r="Z1494" s="13"/>
    </row>
    <row r="1495" spans="1:26" ht="19.95" customHeight="1" x14ac:dyDescent="0.3">
      <c r="A1495" s="6"/>
      <c r="B1495" s="7"/>
      <c r="C1495" s="8"/>
      <c r="D1495" s="8"/>
      <c r="E1495" s="8"/>
      <c r="F1495" s="9"/>
      <c r="G1495" s="9"/>
      <c r="H1495" s="9"/>
      <c r="I1495" s="9" t="s">
        <v>14</v>
      </c>
      <c r="J1495" s="10" t="s">
        <v>14</v>
      </c>
      <c r="K1495" s="15" t="e">
        <f>VLOOKUP(J1495,DADOS!$A$3:$B$101,2,FALSE)</f>
        <v>#N/A</v>
      </c>
      <c r="L1495" s="15"/>
      <c r="M1495" s="18" t="b">
        <v>0</v>
      </c>
      <c r="N1495" s="17" t="b">
        <v>0</v>
      </c>
      <c r="O1495" s="17" t="b">
        <v>0</v>
      </c>
      <c r="P1495" s="17" t="b">
        <v>0</v>
      </c>
      <c r="Q1495" s="17" t="b">
        <v>0</v>
      </c>
      <c r="R1495" s="17" t="b">
        <v>0</v>
      </c>
      <c r="S1495" s="17" t="b">
        <v>0</v>
      </c>
      <c r="T1495" s="17" t="b">
        <v>0</v>
      </c>
      <c r="U1495" s="17" t="b">
        <v>0</v>
      </c>
      <c r="V1495" s="17" t="b">
        <v>0</v>
      </c>
      <c r="W1495" s="11"/>
      <c r="X1495" s="12"/>
      <c r="Y1495" s="12"/>
      <c r="Z1495" s="13"/>
    </row>
    <row r="1496" spans="1:26" ht="19.95" customHeight="1" x14ac:dyDescent="0.3">
      <c r="A1496" s="6"/>
      <c r="B1496" s="7"/>
      <c r="C1496" s="8"/>
      <c r="D1496" s="8"/>
      <c r="E1496" s="8"/>
      <c r="F1496" s="9"/>
      <c r="G1496" s="9"/>
      <c r="H1496" s="9"/>
      <c r="I1496" s="9" t="s">
        <v>14</v>
      </c>
      <c r="J1496" s="10" t="s">
        <v>14</v>
      </c>
      <c r="K1496" s="15" t="e">
        <f>VLOOKUP(J1496,DADOS!$A$3:$B$101,2,FALSE)</f>
        <v>#N/A</v>
      </c>
      <c r="L1496" s="15"/>
      <c r="M1496" s="18" t="b">
        <v>0</v>
      </c>
      <c r="N1496" s="17" t="b">
        <v>0</v>
      </c>
      <c r="O1496" s="17" t="b">
        <v>0</v>
      </c>
      <c r="P1496" s="17" t="b">
        <v>0</v>
      </c>
      <c r="Q1496" s="17" t="b">
        <v>0</v>
      </c>
      <c r="R1496" s="17" t="b">
        <v>0</v>
      </c>
      <c r="S1496" s="17" t="b">
        <v>0</v>
      </c>
      <c r="T1496" s="17" t="b">
        <v>0</v>
      </c>
      <c r="U1496" s="17" t="b">
        <v>0</v>
      </c>
      <c r="V1496" s="17" t="b">
        <v>0</v>
      </c>
      <c r="W1496" s="11"/>
      <c r="X1496" s="12"/>
      <c r="Y1496" s="12"/>
      <c r="Z1496" s="13"/>
    </row>
    <row r="1497" spans="1:26" ht="19.95" customHeight="1" x14ac:dyDescent="0.3">
      <c r="A1497" s="6"/>
      <c r="B1497" s="7"/>
      <c r="C1497" s="8"/>
      <c r="D1497" s="8"/>
      <c r="E1497" s="8"/>
      <c r="F1497" s="9"/>
      <c r="G1497" s="9"/>
      <c r="H1497" s="9"/>
      <c r="I1497" s="9" t="s">
        <v>14</v>
      </c>
      <c r="J1497" s="10" t="s">
        <v>14</v>
      </c>
      <c r="K1497" s="15" t="e">
        <f>VLOOKUP(J1497,DADOS!$A$3:$B$101,2,FALSE)</f>
        <v>#N/A</v>
      </c>
      <c r="L1497" s="15"/>
      <c r="M1497" s="18" t="b">
        <v>0</v>
      </c>
      <c r="N1497" s="17" t="b">
        <v>0</v>
      </c>
      <c r="O1497" s="17" t="b">
        <v>0</v>
      </c>
      <c r="P1497" s="17" t="b">
        <v>0</v>
      </c>
      <c r="Q1497" s="17" t="b">
        <v>0</v>
      </c>
      <c r="R1497" s="17" t="b">
        <v>0</v>
      </c>
      <c r="S1497" s="17" t="b">
        <v>0</v>
      </c>
      <c r="T1497" s="17" t="b">
        <v>0</v>
      </c>
      <c r="U1497" s="17" t="b">
        <v>0</v>
      </c>
      <c r="V1497" s="17" t="b">
        <v>0</v>
      </c>
      <c r="W1497" s="11"/>
      <c r="X1497" s="12"/>
      <c r="Y1497" s="12"/>
      <c r="Z1497" s="13"/>
    </row>
    <row r="1498" spans="1:26" ht="19.95" customHeight="1" x14ac:dyDescent="0.3">
      <c r="A1498" s="6"/>
      <c r="B1498" s="7"/>
      <c r="C1498" s="8"/>
      <c r="D1498" s="8"/>
      <c r="E1498" s="8"/>
      <c r="F1498" s="9"/>
      <c r="G1498" s="9"/>
      <c r="H1498" s="9"/>
      <c r="I1498" s="9" t="s">
        <v>14</v>
      </c>
      <c r="J1498" s="10" t="s">
        <v>14</v>
      </c>
      <c r="K1498" s="15" t="e">
        <f>VLOOKUP(J1498,DADOS!$A$3:$B$101,2,FALSE)</f>
        <v>#N/A</v>
      </c>
      <c r="L1498" s="15"/>
      <c r="M1498" s="18" t="b">
        <v>0</v>
      </c>
      <c r="N1498" s="17" t="b">
        <v>0</v>
      </c>
      <c r="O1498" s="17" t="b">
        <v>0</v>
      </c>
      <c r="P1498" s="17" t="b">
        <v>0</v>
      </c>
      <c r="Q1498" s="17" t="b">
        <v>0</v>
      </c>
      <c r="R1498" s="17" t="b">
        <v>0</v>
      </c>
      <c r="S1498" s="17" t="b">
        <v>0</v>
      </c>
      <c r="T1498" s="17" t="b">
        <v>0</v>
      </c>
      <c r="U1498" s="17" t="b">
        <v>0</v>
      </c>
      <c r="V1498" s="17" t="b">
        <v>0</v>
      </c>
      <c r="W1498" s="11"/>
      <c r="X1498" s="12"/>
      <c r="Y1498" s="12"/>
      <c r="Z1498" s="13"/>
    </row>
    <row r="1499" spans="1:26" ht="19.95" customHeight="1" x14ac:dyDescent="0.3">
      <c r="A1499" s="6"/>
      <c r="B1499" s="7"/>
      <c r="C1499" s="8"/>
      <c r="D1499" s="8"/>
      <c r="E1499" s="8"/>
      <c r="F1499" s="9"/>
      <c r="G1499" s="9"/>
      <c r="H1499" s="9"/>
      <c r="I1499" s="9" t="s">
        <v>14</v>
      </c>
      <c r="J1499" s="10" t="s">
        <v>14</v>
      </c>
      <c r="K1499" s="15" t="e">
        <f>VLOOKUP(J1499,DADOS!$A$3:$B$101,2,FALSE)</f>
        <v>#N/A</v>
      </c>
      <c r="L1499" s="15"/>
      <c r="M1499" s="18" t="b">
        <v>0</v>
      </c>
      <c r="N1499" s="17" t="b">
        <v>0</v>
      </c>
      <c r="O1499" s="17" t="b">
        <v>0</v>
      </c>
      <c r="P1499" s="17" t="b">
        <v>0</v>
      </c>
      <c r="Q1499" s="17" t="b">
        <v>0</v>
      </c>
      <c r="R1499" s="17" t="b">
        <v>0</v>
      </c>
      <c r="S1499" s="17" t="b">
        <v>0</v>
      </c>
      <c r="T1499" s="17" t="b">
        <v>0</v>
      </c>
      <c r="U1499" s="17" t="b">
        <v>0</v>
      </c>
      <c r="V1499" s="17" t="b">
        <v>0</v>
      </c>
      <c r="W1499" s="11"/>
      <c r="X1499" s="12"/>
      <c r="Y1499" s="12"/>
      <c r="Z1499" s="13"/>
    </row>
    <row r="1500" spans="1:26" ht="19.95" customHeight="1" x14ac:dyDescent="0.3">
      <c r="A1500" s="6"/>
      <c r="B1500" s="7"/>
      <c r="C1500" s="8"/>
      <c r="D1500" s="8"/>
      <c r="E1500" s="8"/>
      <c r="F1500" s="9"/>
      <c r="G1500" s="9"/>
      <c r="H1500" s="9"/>
      <c r="I1500" s="9" t="s">
        <v>14</v>
      </c>
      <c r="J1500" s="10" t="s">
        <v>14</v>
      </c>
      <c r="K1500" s="15" t="e">
        <f>VLOOKUP(J1500,DADOS!$A$3:$B$101,2,FALSE)</f>
        <v>#N/A</v>
      </c>
      <c r="L1500" s="15"/>
      <c r="M1500" s="18" t="b">
        <v>0</v>
      </c>
      <c r="N1500" s="17" t="b">
        <v>0</v>
      </c>
      <c r="O1500" s="17" t="b">
        <v>0</v>
      </c>
      <c r="P1500" s="17" t="b">
        <v>0</v>
      </c>
      <c r="Q1500" s="17" t="b">
        <v>0</v>
      </c>
      <c r="R1500" s="17" t="b">
        <v>0</v>
      </c>
      <c r="S1500" s="17" t="b">
        <v>0</v>
      </c>
      <c r="T1500" s="17" t="b">
        <v>0</v>
      </c>
      <c r="U1500" s="17" t="b">
        <v>0</v>
      </c>
      <c r="V1500" s="17" t="b">
        <v>0</v>
      </c>
      <c r="W1500" s="11"/>
      <c r="X1500" s="12"/>
      <c r="Y1500" s="12"/>
      <c r="Z1500" s="13"/>
    </row>
    <row r="1501" spans="1:26" ht="19.95" customHeight="1" x14ac:dyDescent="0.3">
      <c r="A1501" s="6"/>
      <c r="B1501" s="7"/>
      <c r="C1501" s="8"/>
      <c r="D1501" s="8"/>
      <c r="E1501" s="8"/>
      <c r="F1501" s="9"/>
      <c r="G1501" s="9"/>
      <c r="H1501" s="9"/>
      <c r="I1501" s="9" t="s">
        <v>14</v>
      </c>
      <c r="J1501" s="10" t="s">
        <v>14</v>
      </c>
      <c r="K1501" s="15" t="e">
        <f>VLOOKUP(J1501,DADOS!$A$3:$B$101,2,FALSE)</f>
        <v>#N/A</v>
      </c>
      <c r="L1501" s="15"/>
      <c r="M1501" s="18" t="b">
        <v>0</v>
      </c>
      <c r="N1501" s="17" t="b">
        <v>0</v>
      </c>
      <c r="O1501" s="17" t="b">
        <v>0</v>
      </c>
      <c r="P1501" s="17" t="b">
        <v>0</v>
      </c>
      <c r="Q1501" s="17" t="b">
        <v>0</v>
      </c>
      <c r="R1501" s="17" t="b">
        <v>0</v>
      </c>
      <c r="S1501" s="17" t="b">
        <v>0</v>
      </c>
      <c r="T1501" s="17" t="b">
        <v>0</v>
      </c>
      <c r="U1501" s="17" t="b">
        <v>0</v>
      </c>
      <c r="V1501" s="17" t="b">
        <v>0</v>
      </c>
      <c r="W1501" s="11"/>
      <c r="X1501" s="12"/>
      <c r="Y1501" s="12"/>
      <c r="Z1501" s="13"/>
    </row>
    <row r="1502" spans="1:26" ht="19.95" customHeight="1" x14ac:dyDescent="0.3">
      <c r="A1502" s="6"/>
      <c r="B1502" s="7"/>
      <c r="C1502" s="8"/>
      <c r="D1502" s="8"/>
      <c r="E1502" s="8"/>
      <c r="F1502" s="9"/>
      <c r="G1502" s="9"/>
      <c r="H1502" s="9"/>
      <c r="I1502" s="9" t="s">
        <v>14</v>
      </c>
      <c r="J1502" s="10" t="s">
        <v>14</v>
      </c>
      <c r="K1502" s="15" t="e">
        <f>VLOOKUP(J1502,DADOS!$A$3:$B$101,2,FALSE)</f>
        <v>#N/A</v>
      </c>
      <c r="L1502" s="15"/>
      <c r="M1502" s="18" t="b">
        <v>0</v>
      </c>
      <c r="N1502" s="17" t="b">
        <v>0</v>
      </c>
      <c r="O1502" s="17" t="b">
        <v>0</v>
      </c>
      <c r="P1502" s="17" t="b">
        <v>0</v>
      </c>
      <c r="Q1502" s="17" t="b">
        <v>0</v>
      </c>
      <c r="R1502" s="17" t="b">
        <v>0</v>
      </c>
      <c r="S1502" s="17" t="b">
        <v>0</v>
      </c>
      <c r="T1502" s="17" t="b">
        <v>0</v>
      </c>
      <c r="U1502" s="17" t="b">
        <v>0</v>
      </c>
      <c r="V1502" s="17" t="b">
        <v>0</v>
      </c>
      <c r="W1502" s="11"/>
      <c r="X1502" s="12"/>
      <c r="Y1502" s="12"/>
      <c r="Z1502" s="13"/>
    </row>
    <row r="1503" spans="1:26" ht="19.95" customHeight="1" x14ac:dyDescent="0.3">
      <c r="A1503" s="6"/>
      <c r="B1503" s="7"/>
      <c r="C1503" s="8"/>
      <c r="D1503" s="8"/>
      <c r="E1503" s="8"/>
      <c r="F1503" s="9"/>
      <c r="G1503" s="9"/>
      <c r="H1503" s="9"/>
      <c r="I1503" s="9" t="s">
        <v>14</v>
      </c>
      <c r="J1503" s="10" t="s">
        <v>14</v>
      </c>
      <c r="K1503" s="15" t="e">
        <f>VLOOKUP(J1503,DADOS!$A$3:$B$101,2,FALSE)</f>
        <v>#N/A</v>
      </c>
      <c r="L1503" s="15"/>
      <c r="M1503" s="18" t="b">
        <v>0</v>
      </c>
      <c r="N1503" s="17" t="b">
        <v>0</v>
      </c>
      <c r="O1503" s="17" t="b">
        <v>0</v>
      </c>
      <c r="P1503" s="17" t="b">
        <v>0</v>
      </c>
      <c r="Q1503" s="17" t="b">
        <v>0</v>
      </c>
      <c r="R1503" s="17" t="b">
        <v>0</v>
      </c>
      <c r="S1503" s="17" t="b">
        <v>0</v>
      </c>
      <c r="T1503" s="17" t="b">
        <v>0</v>
      </c>
      <c r="U1503" s="17" t="b">
        <v>0</v>
      </c>
      <c r="V1503" s="17" t="b">
        <v>0</v>
      </c>
      <c r="W1503" s="11"/>
      <c r="X1503" s="12"/>
      <c r="Y1503" s="12"/>
      <c r="Z1503" s="13"/>
    </row>
    <row r="1504" spans="1:26" ht="19.95" customHeight="1" x14ac:dyDescent="0.3">
      <c r="A1504" s="6"/>
      <c r="B1504" s="7"/>
      <c r="C1504" s="8"/>
      <c r="D1504" s="8"/>
      <c r="E1504" s="8"/>
      <c r="F1504" s="9"/>
      <c r="G1504" s="9"/>
      <c r="H1504" s="9"/>
      <c r="I1504" s="9" t="s">
        <v>14</v>
      </c>
      <c r="J1504" s="10" t="s">
        <v>14</v>
      </c>
      <c r="K1504" s="15" t="e">
        <f>VLOOKUP(J1504,DADOS!$A$3:$B$101,2,FALSE)</f>
        <v>#N/A</v>
      </c>
      <c r="L1504" s="15"/>
      <c r="M1504" s="18" t="b">
        <v>0</v>
      </c>
      <c r="N1504" s="17" t="b">
        <v>0</v>
      </c>
      <c r="O1504" s="17" t="b">
        <v>0</v>
      </c>
      <c r="P1504" s="17" t="b">
        <v>0</v>
      </c>
      <c r="Q1504" s="17" t="b">
        <v>0</v>
      </c>
      <c r="R1504" s="17" t="b">
        <v>0</v>
      </c>
      <c r="S1504" s="17" t="b">
        <v>0</v>
      </c>
      <c r="T1504" s="17" t="b">
        <v>0</v>
      </c>
      <c r="U1504" s="17" t="b">
        <v>0</v>
      </c>
      <c r="V1504" s="17" t="b">
        <v>0</v>
      </c>
      <c r="W1504" s="11"/>
      <c r="X1504" s="12"/>
      <c r="Y1504" s="12"/>
      <c r="Z1504" s="13"/>
    </row>
    <row r="1505" spans="1:26" ht="19.95" customHeight="1" x14ac:dyDescent="0.3">
      <c r="A1505" s="6"/>
      <c r="B1505" s="7"/>
      <c r="C1505" s="8"/>
      <c r="D1505" s="8"/>
      <c r="E1505" s="8"/>
      <c r="F1505" s="9"/>
      <c r="G1505" s="9"/>
      <c r="H1505" s="9"/>
      <c r="I1505" s="9" t="s">
        <v>14</v>
      </c>
      <c r="J1505" s="10" t="s">
        <v>14</v>
      </c>
      <c r="K1505" s="15" t="e">
        <f>VLOOKUP(J1505,DADOS!$A$3:$B$101,2,FALSE)</f>
        <v>#N/A</v>
      </c>
      <c r="L1505" s="15"/>
      <c r="M1505" s="18" t="b">
        <v>0</v>
      </c>
      <c r="N1505" s="17" t="b">
        <v>0</v>
      </c>
      <c r="O1505" s="17" t="b">
        <v>0</v>
      </c>
      <c r="P1505" s="17" t="b">
        <v>0</v>
      </c>
      <c r="Q1505" s="17" t="b">
        <v>0</v>
      </c>
      <c r="R1505" s="17" t="b">
        <v>0</v>
      </c>
      <c r="S1505" s="17" t="b">
        <v>0</v>
      </c>
      <c r="T1505" s="17" t="b">
        <v>0</v>
      </c>
      <c r="U1505" s="17" t="b">
        <v>0</v>
      </c>
      <c r="V1505" s="17" t="b">
        <v>0</v>
      </c>
      <c r="W1505" s="11"/>
      <c r="X1505" s="12"/>
      <c r="Y1505" s="12"/>
      <c r="Z1505" s="13"/>
    </row>
    <row r="1506" spans="1:26" ht="19.95" customHeight="1" x14ac:dyDescent="0.3">
      <c r="A1506" s="6"/>
      <c r="B1506" s="7"/>
      <c r="C1506" s="8"/>
      <c r="D1506" s="8"/>
      <c r="E1506" s="8"/>
      <c r="F1506" s="9"/>
      <c r="G1506" s="9"/>
      <c r="H1506" s="9"/>
      <c r="I1506" s="9" t="s">
        <v>14</v>
      </c>
      <c r="J1506" s="10" t="s">
        <v>14</v>
      </c>
      <c r="K1506" s="15" t="e">
        <f>VLOOKUP(J1506,DADOS!$A$3:$B$101,2,FALSE)</f>
        <v>#N/A</v>
      </c>
      <c r="L1506" s="15"/>
      <c r="M1506" s="18" t="b">
        <v>0</v>
      </c>
      <c r="N1506" s="17" t="b">
        <v>0</v>
      </c>
      <c r="O1506" s="17" t="b">
        <v>0</v>
      </c>
      <c r="P1506" s="17" t="b">
        <v>0</v>
      </c>
      <c r="Q1506" s="17" t="b">
        <v>0</v>
      </c>
      <c r="R1506" s="17" t="b">
        <v>0</v>
      </c>
      <c r="S1506" s="17" t="b">
        <v>0</v>
      </c>
      <c r="T1506" s="17" t="b">
        <v>0</v>
      </c>
      <c r="U1506" s="17" t="b">
        <v>0</v>
      </c>
      <c r="V1506" s="17" t="b">
        <v>0</v>
      </c>
      <c r="W1506" s="11"/>
      <c r="X1506" s="12"/>
      <c r="Y1506" s="12"/>
      <c r="Z1506" s="13"/>
    </row>
    <row r="1507" spans="1:26" ht="19.95" customHeight="1" x14ac:dyDescent="0.3">
      <c r="A1507" s="6"/>
      <c r="B1507" s="7"/>
      <c r="C1507" s="8"/>
      <c r="D1507" s="8"/>
      <c r="E1507" s="8"/>
      <c r="F1507" s="9"/>
      <c r="G1507" s="9"/>
      <c r="H1507" s="9"/>
      <c r="I1507" s="9" t="s">
        <v>14</v>
      </c>
      <c r="J1507" s="10" t="s">
        <v>14</v>
      </c>
      <c r="K1507" s="15" t="e">
        <f>VLOOKUP(J1507,DADOS!$A$3:$B$101,2,FALSE)</f>
        <v>#N/A</v>
      </c>
      <c r="L1507" s="15"/>
      <c r="M1507" s="18" t="b">
        <v>0</v>
      </c>
      <c r="N1507" s="17" t="b">
        <v>0</v>
      </c>
      <c r="O1507" s="17" t="b">
        <v>0</v>
      </c>
      <c r="P1507" s="17" t="b">
        <v>0</v>
      </c>
      <c r="Q1507" s="17" t="b">
        <v>0</v>
      </c>
      <c r="R1507" s="17" t="b">
        <v>0</v>
      </c>
      <c r="S1507" s="17" t="b">
        <v>0</v>
      </c>
      <c r="T1507" s="17" t="b">
        <v>0</v>
      </c>
      <c r="U1507" s="17" t="b">
        <v>0</v>
      </c>
      <c r="V1507" s="17" t="b">
        <v>0</v>
      </c>
      <c r="W1507" s="11"/>
      <c r="X1507" s="12"/>
      <c r="Y1507" s="12"/>
      <c r="Z1507" s="13"/>
    </row>
    <row r="1508" spans="1:26" ht="19.95" customHeight="1" x14ac:dyDescent="0.3">
      <c r="A1508" s="6"/>
      <c r="B1508" s="7"/>
      <c r="C1508" s="8"/>
      <c r="D1508" s="8"/>
      <c r="E1508" s="8"/>
      <c r="F1508" s="9"/>
      <c r="G1508" s="9"/>
      <c r="H1508" s="9"/>
      <c r="I1508" s="9" t="s">
        <v>14</v>
      </c>
      <c r="J1508" s="10" t="s">
        <v>14</v>
      </c>
      <c r="K1508" s="15" t="e">
        <f>VLOOKUP(J1508,DADOS!$A$3:$B$101,2,FALSE)</f>
        <v>#N/A</v>
      </c>
      <c r="L1508" s="15"/>
      <c r="M1508" s="18" t="b">
        <v>0</v>
      </c>
      <c r="N1508" s="17" t="b">
        <v>0</v>
      </c>
      <c r="O1508" s="17" t="b">
        <v>0</v>
      </c>
      <c r="P1508" s="17" t="b">
        <v>0</v>
      </c>
      <c r="Q1508" s="17" t="b">
        <v>0</v>
      </c>
      <c r="R1508" s="17" t="b">
        <v>0</v>
      </c>
      <c r="S1508" s="17" t="b">
        <v>0</v>
      </c>
      <c r="T1508" s="17" t="b">
        <v>0</v>
      </c>
      <c r="U1508" s="17" t="b">
        <v>0</v>
      </c>
      <c r="V1508" s="17" t="b">
        <v>0</v>
      </c>
      <c r="W1508" s="11"/>
      <c r="X1508" s="12"/>
      <c r="Y1508" s="12"/>
      <c r="Z1508" s="13"/>
    </row>
    <row r="1509" spans="1:26" ht="19.95" customHeight="1" x14ac:dyDescent="0.3">
      <c r="A1509" s="6"/>
      <c r="B1509" s="7"/>
      <c r="C1509" s="8"/>
      <c r="D1509" s="8"/>
      <c r="E1509" s="8"/>
      <c r="F1509" s="9"/>
      <c r="G1509" s="9"/>
      <c r="H1509" s="9"/>
      <c r="I1509" s="9" t="s">
        <v>14</v>
      </c>
      <c r="J1509" s="10" t="s">
        <v>14</v>
      </c>
      <c r="K1509" s="15" t="e">
        <f>VLOOKUP(J1509,DADOS!$A$3:$B$101,2,FALSE)</f>
        <v>#N/A</v>
      </c>
      <c r="L1509" s="15"/>
      <c r="M1509" s="18" t="b">
        <v>0</v>
      </c>
      <c r="N1509" s="17" t="b">
        <v>0</v>
      </c>
      <c r="O1509" s="17" t="b">
        <v>0</v>
      </c>
      <c r="P1509" s="17" t="b">
        <v>0</v>
      </c>
      <c r="Q1509" s="17" t="b">
        <v>0</v>
      </c>
      <c r="R1509" s="17" t="b">
        <v>0</v>
      </c>
      <c r="S1509" s="17" t="b">
        <v>0</v>
      </c>
      <c r="T1509" s="17" t="b">
        <v>0</v>
      </c>
      <c r="U1509" s="17" t="b">
        <v>0</v>
      </c>
      <c r="V1509" s="17" t="b">
        <v>0</v>
      </c>
      <c r="W1509" s="11"/>
      <c r="X1509" s="12"/>
      <c r="Y1509" s="12"/>
      <c r="Z1509" s="13"/>
    </row>
    <row r="1510" spans="1:26" ht="19.95" customHeight="1" x14ac:dyDescent="0.3">
      <c r="A1510" s="6"/>
      <c r="B1510" s="7"/>
      <c r="C1510" s="8"/>
      <c r="D1510" s="8"/>
      <c r="E1510" s="8"/>
      <c r="F1510" s="9"/>
      <c r="G1510" s="9"/>
      <c r="H1510" s="9"/>
      <c r="I1510" s="9" t="s">
        <v>14</v>
      </c>
      <c r="J1510" s="10" t="s">
        <v>14</v>
      </c>
      <c r="K1510" s="15" t="e">
        <f>VLOOKUP(J1510,DADOS!$A$3:$B$101,2,FALSE)</f>
        <v>#N/A</v>
      </c>
      <c r="L1510" s="15"/>
      <c r="M1510" s="18" t="b">
        <v>0</v>
      </c>
      <c r="N1510" s="17" t="b">
        <v>0</v>
      </c>
      <c r="O1510" s="17" t="b">
        <v>0</v>
      </c>
      <c r="P1510" s="17" t="b">
        <v>0</v>
      </c>
      <c r="Q1510" s="17" t="b">
        <v>0</v>
      </c>
      <c r="R1510" s="17" t="b">
        <v>0</v>
      </c>
      <c r="S1510" s="17" t="b">
        <v>0</v>
      </c>
      <c r="T1510" s="17" t="b">
        <v>0</v>
      </c>
      <c r="U1510" s="17" t="b">
        <v>0</v>
      </c>
      <c r="V1510" s="17" t="b">
        <v>0</v>
      </c>
      <c r="W1510" s="11"/>
      <c r="X1510" s="12"/>
      <c r="Y1510" s="12"/>
      <c r="Z1510" s="13"/>
    </row>
    <row r="1511" spans="1:26" ht="19.95" customHeight="1" x14ac:dyDescent="0.3">
      <c r="A1511" s="6"/>
      <c r="B1511" s="7"/>
      <c r="C1511" s="8"/>
      <c r="D1511" s="8"/>
      <c r="E1511" s="8"/>
      <c r="F1511" s="9"/>
      <c r="G1511" s="9"/>
      <c r="H1511" s="9"/>
      <c r="I1511" s="9" t="s">
        <v>14</v>
      </c>
      <c r="J1511" s="10" t="s">
        <v>14</v>
      </c>
      <c r="K1511" s="15" t="e">
        <f>VLOOKUP(J1511,DADOS!$A$3:$B$101,2,FALSE)</f>
        <v>#N/A</v>
      </c>
      <c r="L1511" s="15"/>
      <c r="M1511" s="18" t="b">
        <v>0</v>
      </c>
      <c r="N1511" s="17" t="b">
        <v>0</v>
      </c>
      <c r="O1511" s="17" t="b">
        <v>0</v>
      </c>
      <c r="P1511" s="17" t="b">
        <v>0</v>
      </c>
      <c r="Q1511" s="17" t="b">
        <v>0</v>
      </c>
      <c r="R1511" s="17" t="b">
        <v>0</v>
      </c>
      <c r="S1511" s="17" t="b">
        <v>0</v>
      </c>
      <c r="T1511" s="17" t="b">
        <v>0</v>
      </c>
      <c r="U1511" s="17" t="b">
        <v>0</v>
      </c>
      <c r="V1511" s="17" t="b">
        <v>0</v>
      </c>
      <c r="W1511" s="11"/>
      <c r="X1511" s="12"/>
      <c r="Y1511" s="12"/>
      <c r="Z1511" s="13"/>
    </row>
    <row r="1512" spans="1:26" ht="19.95" customHeight="1" x14ac:dyDescent="0.3">
      <c r="A1512" s="6"/>
      <c r="B1512" s="7"/>
      <c r="C1512" s="8"/>
      <c r="D1512" s="8"/>
      <c r="E1512" s="8"/>
      <c r="F1512" s="9"/>
      <c r="G1512" s="9"/>
      <c r="H1512" s="9"/>
      <c r="I1512" s="9" t="s">
        <v>14</v>
      </c>
      <c r="J1512" s="10" t="s">
        <v>14</v>
      </c>
      <c r="K1512" s="15" t="e">
        <f>VLOOKUP(J1512,DADOS!$A$3:$B$101,2,FALSE)</f>
        <v>#N/A</v>
      </c>
      <c r="L1512" s="15"/>
      <c r="M1512" s="18" t="b">
        <v>0</v>
      </c>
      <c r="N1512" s="17" t="b">
        <v>0</v>
      </c>
      <c r="O1512" s="17" t="b">
        <v>0</v>
      </c>
      <c r="P1512" s="17" t="b">
        <v>0</v>
      </c>
      <c r="Q1512" s="17" t="b">
        <v>0</v>
      </c>
      <c r="R1512" s="17" t="b">
        <v>0</v>
      </c>
      <c r="S1512" s="17" t="b">
        <v>0</v>
      </c>
      <c r="T1512" s="17" t="b">
        <v>0</v>
      </c>
      <c r="U1512" s="17" t="b">
        <v>0</v>
      </c>
      <c r="V1512" s="17" t="b">
        <v>0</v>
      </c>
      <c r="W1512" s="11"/>
      <c r="X1512" s="12"/>
      <c r="Y1512" s="12"/>
      <c r="Z1512" s="13"/>
    </row>
    <row r="1513" spans="1:26" ht="19.95" customHeight="1" x14ac:dyDescent="0.3">
      <c r="A1513" s="6"/>
      <c r="B1513" s="7"/>
      <c r="C1513" s="8"/>
      <c r="D1513" s="8"/>
      <c r="E1513" s="8"/>
      <c r="F1513" s="9"/>
      <c r="G1513" s="9"/>
      <c r="H1513" s="9"/>
      <c r="I1513" s="9" t="s">
        <v>14</v>
      </c>
      <c r="J1513" s="10" t="s">
        <v>14</v>
      </c>
      <c r="K1513" s="15" t="e">
        <f>VLOOKUP(J1513,DADOS!$A$3:$B$101,2,FALSE)</f>
        <v>#N/A</v>
      </c>
      <c r="L1513" s="15"/>
      <c r="M1513" s="18" t="b">
        <v>0</v>
      </c>
      <c r="N1513" s="17" t="b">
        <v>0</v>
      </c>
      <c r="O1513" s="17" t="b">
        <v>0</v>
      </c>
      <c r="P1513" s="17" t="b">
        <v>0</v>
      </c>
      <c r="Q1513" s="17" t="b">
        <v>0</v>
      </c>
      <c r="R1513" s="17" t="b">
        <v>0</v>
      </c>
      <c r="S1513" s="17" t="b">
        <v>0</v>
      </c>
      <c r="T1513" s="17" t="b">
        <v>0</v>
      </c>
      <c r="U1513" s="17" t="b">
        <v>0</v>
      </c>
      <c r="V1513" s="17" t="b">
        <v>0</v>
      </c>
      <c r="W1513" s="11"/>
      <c r="X1513" s="12"/>
      <c r="Y1513" s="12"/>
      <c r="Z1513" s="13"/>
    </row>
    <row r="1514" spans="1:26" ht="19.95" customHeight="1" x14ac:dyDescent="0.3">
      <c r="A1514" s="6"/>
      <c r="B1514" s="7"/>
      <c r="C1514" s="8"/>
      <c r="D1514" s="8"/>
      <c r="E1514" s="8"/>
      <c r="F1514" s="9"/>
      <c r="G1514" s="9"/>
      <c r="H1514" s="9"/>
      <c r="I1514" s="9" t="s">
        <v>14</v>
      </c>
      <c r="J1514" s="10" t="s">
        <v>14</v>
      </c>
      <c r="K1514" s="15" t="e">
        <f>VLOOKUP(J1514,DADOS!$A$3:$B$101,2,FALSE)</f>
        <v>#N/A</v>
      </c>
      <c r="L1514" s="15"/>
      <c r="M1514" s="18" t="b">
        <v>0</v>
      </c>
      <c r="N1514" s="17" t="b">
        <v>0</v>
      </c>
      <c r="O1514" s="17" t="b">
        <v>0</v>
      </c>
      <c r="P1514" s="17" t="b">
        <v>0</v>
      </c>
      <c r="Q1514" s="17" t="b">
        <v>0</v>
      </c>
      <c r="R1514" s="17" t="b">
        <v>0</v>
      </c>
      <c r="S1514" s="17" t="b">
        <v>0</v>
      </c>
      <c r="T1514" s="17" t="b">
        <v>0</v>
      </c>
      <c r="U1514" s="17" t="b">
        <v>0</v>
      </c>
      <c r="V1514" s="17" t="b">
        <v>0</v>
      </c>
      <c r="W1514" s="11"/>
      <c r="X1514" s="12"/>
      <c r="Y1514" s="12"/>
      <c r="Z1514" s="13"/>
    </row>
    <row r="1515" spans="1:26" ht="19.95" customHeight="1" x14ac:dyDescent="0.3">
      <c r="A1515" s="6"/>
      <c r="B1515" s="7"/>
      <c r="C1515" s="8"/>
      <c r="D1515" s="8"/>
      <c r="E1515" s="8"/>
      <c r="F1515" s="9"/>
      <c r="G1515" s="9"/>
      <c r="H1515" s="9"/>
      <c r="I1515" s="9" t="s">
        <v>14</v>
      </c>
      <c r="J1515" s="10" t="s">
        <v>14</v>
      </c>
      <c r="K1515" s="15" t="e">
        <f>VLOOKUP(J1515,DADOS!$A$3:$B$101,2,FALSE)</f>
        <v>#N/A</v>
      </c>
      <c r="L1515" s="15"/>
      <c r="M1515" s="18" t="b">
        <v>0</v>
      </c>
      <c r="N1515" s="17" t="b">
        <v>0</v>
      </c>
      <c r="O1515" s="17" t="b">
        <v>0</v>
      </c>
      <c r="P1515" s="17" t="b">
        <v>0</v>
      </c>
      <c r="Q1515" s="17" t="b">
        <v>0</v>
      </c>
      <c r="R1515" s="17" t="b">
        <v>0</v>
      </c>
      <c r="S1515" s="17" t="b">
        <v>0</v>
      </c>
      <c r="T1515" s="17" t="b">
        <v>0</v>
      </c>
      <c r="U1515" s="17" t="b">
        <v>0</v>
      </c>
      <c r="V1515" s="17" t="b">
        <v>0</v>
      </c>
      <c r="W1515" s="11"/>
      <c r="X1515" s="12"/>
      <c r="Y1515" s="12"/>
      <c r="Z1515" s="13"/>
    </row>
    <row r="1516" spans="1:26" ht="19.95" customHeight="1" x14ac:dyDescent="0.3">
      <c r="A1516" s="6"/>
      <c r="B1516" s="7"/>
      <c r="C1516" s="8"/>
      <c r="D1516" s="8"/>
      <c r="E1516" s="8"/>
      <c r="F1516" s="9"/>
      <c r="G1516" s="9"/>
      <c r="H1516" s="9"/>
      <c r="I1516" s="9" t="s">
        <v>14</v>
      </c>
      <c r="J1516" s="10" t="s">
        <v>14</v>
      </c>
      <c r="K1516" s="15" t="e">
        <f>VLOOKUP(J1516,DADOS!$A$3:$B$101,2,FALSE)</f>
        <v>#N/A</v>
      </c>
      <c r="L1516" s="15"/>
      <c r="M1516" s="18" t="b">
        <v>0</v>
      </c>
      <c r="N1516" s="17" t="b">
        <v>0</v>
      </c>
      <c r="O1516" s="17" t="b">
        <v>0</v>
      </c>
      <c r="P1516" s="17" t="b">
        <v>0</v>
      </c>
      <c r="Q1516" s="17" t="b">
        <v>0</v>
      </c>
      <c r="R1516" s="17" t="b">
        <v>0</v>
      </c>
      <c r="S1516" s="17" t="b">
        <v>0</v>
      </c>
      <c r="T1516" s="17" t="b">
        <v>0</v>
      </c>
      <c r="U1516" s="17" t="b">
        <v>0</v>
      </c>
      <c r="V1516" s="17" t="b">
        <v>0</v>
      </c>
      <c r="W1516" s="11"/>
      <c r="X1516" s="12"/>
      <c r="Y1516" s="12"/>
      <c r="Z1516" s="13"/>
    </row>
    <row r="1517" spans="1:26" ht="19.95" customHeight="1" x14ac:dyDescent="0.3">
      <c r="A1517" s="6"/>
      <c r="B1517" s="7"/>
      <c r="C1517" s="8"/>
      <c r="D1517" s="8"/>
      <c r="E1517" s="8"/>
      <c r="F1517" s="9"/>
      <c r="G1517" s="9"/>
      <c r="H1517" s="9"/>
      <c r="I1517" s="9" t="s">
        <v>14</v>
      </c>
      <c r="J1517" s="10" t="s">
        <v>14</v>
      </c>
      <c r="K1517" s="15" t="e">
        <f>VLOOKUP(J1517,DADOS!$A$3:$B$101,2,FALSE)</f>
        <v>#N/A</v>
      </c>
      <c r="L1517" s="15"/>
      <c r="M1517" s="18" t="b">
        <v>0</v>
      </c>
      <c r="N1517" s="17" t="b">
        <v>0</v>
      </c>
      <c r="O1517" s="17" t="b">
        <v>0</v>
      </c>
      <c r="P1517" s="17" t="b">
        <v>0</v>
      </c>
      <c r="Q1517" s="17" t="b">
        <v>0</v>
      </c>
      <c r="R1517" s="17" t="b">
        <v>0</v>
      </c>
      <c r="S1517" s="17" t="b">
        <v>0</v>
      </c>
      <c r="T1517" s="17" t="b">
        <v>0</v>
      </c>
      <c r="U1517" s="17" t="b">
        <v>0</v>
      </c>
      <c r="V1517" s="17" t="b">
        <v>0</v>
      </c>
      <c r="W1517" s="11"/>
      <c r="X1517" s="12"/>
      <c r="Y1517" s="12"/>
      <c r="Z1517" s="13"/>
    </row>
    <row r="1518" spans="1:26" ht="19.95" customHeight="1" x14ac:dyDescent="0.3">
      <c r="A1518" s="6"/>
      <c r="B1518" s="7"/>
      <c r="C1518" s="8"/>
      <c r="D1518" s="8"/>
      <c r="E1518" s="8"/>
      <c r="F1518" s="9"/>
      <c r="G1518" s="9"/>
      <c r="H1518" s="9"/>
      <c r="I1518" s="9" t="s">
        <v>14</v>
      </c>
      <c r="J1518" s="10" t="s">
        <v>14</v>
      </c>
      <c r="K1518" s="15" t="e">
        <f>VLOOKUP(J1518,DADOS!$A$3:$B$101,2,FALSE)</f>
        <v>#N/A</v>
      </c>
      <c r="L1518" s="15"/>
      <c r="M1518" s="18" t="b">
        <v>0</v>
      </c>
      <c r="N1518" s="17" t="b">
        <v>0</v>
      </c>
      <c r="O1518" s="17" t="b">
        <v>0</v>
      </c>
      <c r="P1518" s="17" t="b">
        <v>0</v>
      </c>
      <c r="Q1518" s="17" t="b">
        <v>0</v>
      </c>
      <c r="R1518" s="17" t="b">
        <v>0</v>
      </c>
      <c r="S1518" s="17" t="b">
        <v>0</v>
      </c>
      <c r="T1518" s="17" t="b">
        <v>0</v>
      </c>
      <c r="U1518" s="17" t="b">
        <v>0</v>
      </c>
      <c r="V1518" s="17" t="b">
        <v>0</v>
      </c>
      <c r="W1518" s="11"/>
      <c r="X1518" s="12"/>
      <c r="Y1518" s="12"/>
      <c r="Z1518" s="13"/>
    </row>
    <row r="1519" spans="1:26" ht="19.95" customHeight="1" x14ac:dyDescent="0.3">
      <c r="A1519" s="6"/>
      <c r="B1519" s="7"/>
      <c r="C1519" s="8"/>
      <c r="D1519" s="8"/>
      <c r="E1519" s="8"/>
      <c r="F1519" s="9"/>
      <c r="G1519" s="9"/>
      <c r="H1519" s="9"/>
      <c r="I1519" s="9" t="s">
        <v>14</v>
      </c>
      <c r="J1519" s="10" t="s">
        <v>14</v>
      </c>
      <c r="K1519" s="15" t="e">
        <f>VLOOKUP(J1519,DADOS!$A$3:$B$101,2,FALSE)</f>
        <v>#N/A</v>
      </c>
      <c r="L1519" s="15"/>
      <c r="M1519" s="18" t="b">
        <v>0</v>
      </c>
      <c r="N1519" s="17" t="b">
        <v>0</v>
      </c>
      <c r="O1519" s="17" t="b">
        <v>0</v>
      </c>
      <c r="P1519" s="17" t="b">
        <v>0</v>
      </c>
      <c r="Q1519" s="17" t="b">
        <v>0</v>
      </c>
      <c r="R1519" s="17" t="b">
        <v>0</v>
      </c>
      <c r="S1519" s="17" t="b">
        <v>0</v>
      </c>
      <c r="T1519" s="17" t="b">
        <v>0</v>
      </c>
      <c r="U1519" s="17" t="b">
        <v>0</v>
      </c>
      <c r="V1519" s="17" t="b">
        <v>0</v>
      </c>
      <c r="W1519" s="11"/>
      <c r="X1519" s="12"/>
      <c r="Y1519" s="12"/>
      <c r="Z1519" s="13"/>
    </row>
    <row r="1520" spans="1:26" ht="19.95" customHeight="1" x14ac:dyDescent="0.3">
      <c r="A1520" s="6"/>
      <c r="B1520" s="7"/>
      <c r="C1520" s="8"/>
      <c r="D1520" s="8"/>
      <c r="E1520" s="8"/>
      <c r="F1520" s="9"/>
      <c r="G1520" s="9"/>
      <c r="H1520" s="9"/>
      <c r="I1520" s="9" t="s">
        <v>14</v>
      </c>
      <c r="J1520" s="10" t="s">
        <v>14</v>
      </c>
      <c r="K1520" s="15" t="e">
        <f>VLOOKUP(J1520,DADOS!$A$3:$B$101,2,FALSE)</f>
        <v>#N/A</v>
      </c>
      <c r="L1520" s="15"/>
      <c r="M1520" s="18" t="b">
        <v>0</v>
      </c>
      <c r="N1520" s="17" t="b">
        <v>0</v>
      </c>
      <c r="O1520" s="17" t="b">
        <v>0</v>
      </c>
      <c r="P1520" s="17" t="b">
        <v>0</v>
      </c>
      <c r="Q1520" s="17" t="b">
        <v>0</v>
      </c>
      <c r="R1520" s="17" t="b">
        <v>0</v>
      </c>
      <c r="S1520" s="17" t="b">
        <v>0</v>
      </c>
      <c r="T1520" s="17" t="b">
        <v>0</v>
      </c>
      <c r="U1520" s="17" t="b">
        <v>0</v>
      </c>
      <c r="V1520" s="17" t="b">
        <v>0</v>
      </c>
      <c r="W1520" s="11"/>
      <c r="X1520" s="12"/>
      <c r="Y1520" s="12"/>
      <c r="Z1520" s="13"/>
    </row>
    <row r="1521" spans="1:26" ht="19.95" customHeight="1" x14ac:dyDescent="0.3">
      <c r="A1521" s="6"/>
      <c r="B1521" s="7"/>
      <c r="C1521" s="8"/>
      <c r="D1521" s="8"/>
      <c r="E1521" s="8"/>
      <c r="F1521" s="9"/>
      <c r="G1521" s="9"/>
      <c r="H1521" s="9"/>
      <c r="I1521" s="9" t="s">
        <v>14</v>
      </c>
      <c r="J1521" s="10" t="s">
        <v>14</v>
      </c>
      <c r="K1521" s="15" t="e">
        <f>VLOOKUP(J1521,DADOS!$A$3:$B$101,2,FALSE)</f>
        <v>#N/A</v>
      </c>
      <c r="L1521" s="15"/>
      <c r="M1521" s="18" t="b">
        <v>0</v>
      </c>
      <c r="N1521" s="17" t="b">
        <v>0</v>
      </c>
      <c r="O1521" s="17" t="b">
        <v>0</v>
      </c>
      <c r="P1521" s="17" t="b">
        <v>0</v>
      </c>
      <c r="Q1521" s="17" t="b">
        <v>0</v>
      </c>
      <c r="R1521" s="17" t="b">
        <v>0</v>
      </c>
      <c r="S1521" s="17" t="b">
        <v>0</v>
      </c>
      <c r="T1521" s="17" t="b">
        <v>0</v>
      </c>
      <c r="U1521" s="17" t="b">
        <v>0</v>
      </c>
      <c r="V1521" s="17" t="b">
        <v>0</v>
      </c>
      <c r="W1521" s="11"/>
      <c r="X1521" s="12"/>
      <c r="Y1521" s="12"/>
      <c r="Z1521" s="13"/>
    </row>
    <row r="1522" spans="1:26" ht="19.95" customHeight="1" x14ac:dyDescent="0.3">
      <c r="A1522" s="6"/>
      <c r="B1522" s="7"/>
      <c r="C1522" s="8"/>
      <c r="D1522" s="8"/>
      <c r="E1522" s="8"/>
      <c r="F1522" s="9"/>
      <c r="G1522" s="9"/>
      <c r="H1522" s="9"/>
      <c r="I1522" s="9" t="s">
        <v>14</v>
      </c>
      <c r="J1522" s="10" t="s">
        <v>14</v>
      </c>
      <c r="K1522" s="15" t="e">
        <f>VLOOKUP(J1522,DADOS!$A$3:$B$101,2,FALSE)</f>
        <v>#N/A</v>
      </c>
      <c r="L1522" s="15"/>
      <c r="M1522" s="18" t="b">
        <v>0</v>
      </c>
      <c r="N1522" s="17" t="b">
        <v>0</v>
      </c>
      <c r="O1522" s="17" t="b">
        <v>0</v>
      </c>
      <c r="P1522" s="17" t="b">
        <v>0</v>
      </c>
      <c r="Q1522" s="17" t="b">
        <v>0</v>
      </c>
      <c r="R1522" s="17" t="b">
        <v>0</v>
      </c>
      <c r="S1522" s="17" t="b">
        <v>0</v>
      </c>
      <c r="T1522" s="17" t="b">
        <v>0</v>
      </c>
      <c r="U1522" s="17" t="b">
        <v>0</v>
      </c>
      <c r="V1522" s="17" t="b">
        <v>0</v>
      </c>
      <c r="W1522" s="11"/>
      <c r="X1522" s="12"/>
      <c r="Y1522" s="12"/>
      <c r="Z1522" s="13"/>
    </row>
    <row r="1523" spans="1:26" ht="19.95" customHeight="1" x14ac:dyDescent="0.3">
      <c r="A1523" s="6"/>
      <c r="B1523" s="7"/>
      <c r="C1523" s="8"/>
      <c r="D1523" s="8"/>
      <c r="E1523" s="8"/>
      <c r="F1523" s="9"/>
      <c r="G1523" s="9"/>
      <c r="H1523" s="9"/>
      <c r="I1523" s="9" t="s">
        <v>14</v>
      </c>
      <c r="J1523" s="10" t="s">
        <v>14</v>
      </c>
      <c r="K1523" s="15" t="e">
        <f>VLOOKUP(J1523,DADOS!$A$3:$B$101,2,FALSE)</f>
        <v>#N/A</v>
      </c>
      <c r="L1523" s="15"/>
      <c r="M1523" s="18" t="b">
        <v>0</v>
      </c>
      <c r="N1523" s="17" t="b">
        <v>0</v>
      </c>
      <c r="O1523" s="17" t="b">
        <v>0</v>
      </c>
      <c r="P1523" s="17" t="b">
        <v>0</v>
      </c>
      <c r="Q1523" s="17" t="b">
        <v>0</v>
      </c>
      <c r="R1523" s="17" t="b">
        <v>0</v>
      </c>
      <c r="S1523" s="17" t="b">
        <v>0</v>
      </c>
      <c r="T1523" s="17" t="b">
        <v>0</v>
      </c>
      <c r="U1523" s="17" t="b">
        <v>0</v>
      </c>
      <c r="V1523" s="17" t="b">
        <v>0</v>
      </c>
      <c r="W1523" s="11"/>
      <c r="X1523" s="12"/>
      <c r="Y1523" s="12"/>
      <c r="Z1523" s="13"/>
    </row>
    <row r="1524" spans="1:26" ht="19.95" customHeight="1" x14ac:dyDescent="0.3">
      <c r="A1524" s="6"/>
      <c r="B1524" s="7"/>
      <c r="C1524" s="8"/>
      <c r="D1524" s="8"/>
      <c r="E1524" s="8"/>
      <c r="F1524" s="9"/>
      <c r="G1524" s="9"/>
      <c r="H1524" s="9"/>
      <c r="I1524" s="9" t="s">
        <v>14</v>
      </c>
      <c r="J1524" s="10" t="s">
        <v>14</v>
      </c>
      <c r="K1524" s="15" t="e">
        <f>VLOOKUP(J1524,DADOS!$A$3:$B$101,2,FALSE)</f>
        <v>#N/A</v>
      </c>
      <c r="L1524" s="15"/>
      <c r="M1524" s="18" t="b">
        <v>0</v>
      </c>
      <c r="N1524" s="17" t="b">
        <v>0</v>
      </c>
      <c r="O1524" s="17" t="b">
        <v>0</v>
      </c>
      <c r="P1524" s="17" t="b">
        <v>0</v>
      </c>
      <c r="Q1524" s="17" t="b">
        <v>0</v>
      </c>
      <c r="R1524" s="17" t="b">
        <v>0</v>
      </c>
      <c r="S1524" s="17" t="b">
        <v>0</v>
      </c>
      <c r="T1524" s="17" t="b">
        <v>0</v>
      </c>
      <c r="U1524" s="17" t="b">
        <v>0</v>
      </c>
      <c r="V1524" s="17" t="b">
        <v>0</v>
      </c>
      <c r="W1524" s="11"/>
      <c r="X1524" s="12"/>
      <c r="Y1524" s="12"/>
      <c r="Z1524" s="13"/>
    </row>
    <row r="1525" spans="1:26" ht="19.95" customHeight="1" x14ac:dyDescent="0.3">
      <c r="A1525" s="6"/>
      <c r="B1525" s="7"/>
      <c r="C1525" s="8"/>
      <c r="D1525" s="8"/>
      <c r="E1525" s="8"/>
      <c r="F1525" s="9"/>
      <c r="G1525" s="9"/>
      <c r="H1525" s="9"/>
      <c r="I1525" s="9" t="s">
        <v>14</v>
      </c>
      <c r="J1525" s="10" t="s">
        <v>14</v>
      </c>
      <c r="K1525" s="15" t="e">
        <f>VLOOKUP(J1525,DADOS!$A$3:$B$101,2,FALSE)</f>
        <v>#N/A</v>
      </c>
      <c r="L1525" s="15"/>
      <c r="M1525" s="18" t="b">
        <v>0</v>
      </c>
      <c r="N1525" s="17" t="b">
        <v>0</v>
      </c>
      <c r="O1525" s="17" t="b">
        <v>0</v>
      </c>
      <c r="P1525" s="17" t="b">
        <v>0</v>
      </c>
      <c r="Q1525" s="17" t="b">
        <v>0</v>
      </c>
      <c r="R1525" s="17" t="b">
        <v>0</v>
      </c>
      <c r="S1525" s="17" t="b">
        <v>0</v>
      </c>
      <c r="T1525" s="17" t="b">
        <v>0</v>
      </c>
      <c r="U1525" s="17" t="b">
        <v>0</v>
      </c>
      <c r="V1525" s="17" t="b">
        <v>0</v>
      </c>
      <c r="W1525" s="11"/>
      <c r="X1525" s="12"/>
      <c r="Y1525" s="12"/>
      <c r="Z1525" s="13"/>
    </row>
    <row r="1526" spans="1:26" ht="19.95" customHeight="1" x14ac:dyDescent="0.3">
      <c r="A1526" s="6"/>
      <c r="B1526" s="7"/>
      <c r="C1526" s="8"/>
      <c r="D1526" s="8"/>
      <c r="E1526" s="8"/>
      <c r="F1526" s="9"/>
      <c r="G1526" s="9"/>
      <c r="H1526" s="9"/>
      <c r="I1526" s="9" t="s">
        <v>14</v>
      </c>
      <c r="J1526" s="10" t="s">
        <v>14</v>
      </c>
      <c r="K1526" s="15" t="e">
        <f>VLOOKUP(J1526,DADOS!$A$3:$B$101,2,FALSE)</f>
        <v>#N/A</v>
      </c>
      <c r="L1526" s="15"/>
      <c r="M1526" s="18" t="b">
        <v>0</v>
      </c>
      <c r="N1526" s="17" t="b">
        <v>0</v>
      </c>
      <c r="O1526" s="17" t="b">
        <v>0</v>
      </c>
      <c r="P1526" s="17" t="b">
        <v>0</v>
      </c>
      <c r="Q1526" s="17" t="b">
        <v>0</v>
      </c>
      <c r="R1526" s="17" t="b">
        <v>0</v>
      </c>
      <c r="S1526" s="17" t="b">
        <v>0</v>
      </c>
      <c r="T1526" s="17" t="b">
        <v>0</v>
      </c>
      <c r="U1526" s="17" t="b">
        <v>0</v>
      </c>
      <c r="V1526" s="17" t="b">
        <v>0</v>
      </c>
      <c r="W1526" s="11"/>
      <c r="X1526" s="12"/>
      <c r="Y1526" s="12"/>
      <c r="Z1526" s="13"/>
    </row>
    <row r="1527" spans="1:26" ht="19.95" customHeight="1" x14ac:dyDescent="0.3">
      <c r="A1527" s="6"/>
      <c r="B1527" s="7"/>
      <c r="C1527" s="8"/>
      <c r="D1527" s="8"/>
      <c r="E1527" s="8"/>
      <c r="F1527" s="9"/>
      <c r="G1527" s="9"/>
      <c r="H1527" s="9"/>
      <c r="I1527" s="9" t="s">
        <v>14</v>
      </c>
      <c r="J1527" s="10" t="s">
        <v>14</v>
      </c>
      <c r="K1527" s="15" t="e">
        <f>VLOOKUP(J1527,DADOS!$A$3:$B$101,2,FALSE)</f>
        <v>#N/A</v>
      </c>
      <c r="L1527" s="15"/>
      <c r="M1527" s="18" t="b">
        <v>0</v>
      </c>
      <c r="N1527" s="17" t="b">
        <v>0</v>
      </c>
      <c r="O1527" s="17" t="b">
        <v>0</v>
      </c>
      <c r="P1527" s="17" t="b">
        <v>0</v>
      </c>
      <c r="Q1527" s="17" t="b">
        <v>0</v>
      </c>
      <c r="R1527" s="17" t="b">
        <v>0</v>
      </c>
      <c r="S1527" s="17" t="b">
        <v>0</v>
      </c>
      <c r="T1527" s="17" t="b">
        <v>0</v>
      </c>
      <c r="U1527" s="17" t="b">
        <v>0</v>
      </c>
      <c r="V1527" s="17" t="b">
        <v>0</v>
      </c>
      <c r="W1527" s="11"/>
      <c r="X1527" s="12"/>
      <c r="Y1527" s="12"/>
      <c r="Z1527" s="13"/>
    </row>
    <row r="1528" spans="1:26" ht="19.95" customHeight="1" x14ac:dyDescent="0.3">
      <c r="A1528" s="6"/>
      <c r="B1528" s="7"/>
      <c r="C1528" s="8"/>
      <c r="D1528" s="8"/>
      <c r="E1528" s="8"/>
      <c r="F1528" s="9"/>
      <c r="G1528" s="9"/>
      <c r="H1528" s="9"/>
      <c r="I1528" s="9" t="s">
        <v>14</v>
      </c>
      <c r="J1528" s="10" t="s">
        <v>14</v>
      </c>
      <c r="K1528" s="15" t="e">
        <f>VLOOKUP(J1528,DADOS!$A$3:$B$101,2,FALSE)</f>
        <v>#N/A</v>
      </c>
      <c r="L1528" s="15"/>
      <c r="M1528" s="18" t="b">
        <v>0</v>
      </c>
      <c r="N1528" s="17" t="b">
        <v>0</v>
      </c>
      <c r="O1528" s="17" t="b">
        <v>0</v>
      </c>
      <c r="P1528" s="17" t="b">
        <v>0</v>
      </c>
      <c r="Q1528" s="17" t="b">
        <v>0</v>
      </c>
      <c r="R1528" s="17" t="b">
        <v>0</v>
      </c>
      <c r="S1528" s="17" t="b">
        <v>0</v>
      </c>
      <c r="T1528" s="17" t="b">
        <v>0</v>
      </c>
      <c r="U1528" s="17" t="b">
        <v>0</v>
      </c>
      <c r="V1528" s="17" t="b">
        <v>0</v>
      </c>
      <c r="W1528" s="11"/>
      <c r="X1528" s="12"/>
      <c r="Y1528" s="12"/>
      <c r="Z1528" s="13"/>
    </row>
    <row r="1529" spans="1:26" ht="19.95" customHeight="1" x14ac:dyDescent="0.3">
      <c r="A1529" s="6"/>
      <c r="B1529" s="7"/>
      <c r="C1529" s="8"/>
      <c r="D1529" s="8"/>
      <c r="E1529" s="8"/>
      <c r="F1529" s="9"/>
      <c r="G1529" s="9"/>
      <c r="H1529" s="9"/>
      <c r="I1529" s="9" t="s">
        <v>14</v>
      </c>
      <c r="J1529" s="10" t="s">
        <v>14</v>
      </c>
      <c r="K1529" s="15" t="e">
        <f>VLOOKUP(J1529,DADOS!$A$3:$B$101,2,FALSE)</f>
        <v>#N/A</v>
      </c>
      <c r="L1529" s="15"/>
      <c r="M1529" s="18" t="b">
        <v>0</v>
      </c>
      <c r="N1529" s="17" t="b">
        <v>0</v>
      </c>
      <c r="O1529" s="17" t="b">
        <v>0</v>
      </c>
      <c r="P1529" s="17" t="b">
        <v>0</v>
      </c>
      <c r="Q1529" s="17" t="b">
        <v>0</v>
      </c>
      <c r="R1529" s="17" t="b">
        <v>0</v>
      </c>
      <c r="S1529" s="17" t="b">
        <v>0</v>
      </c>
      <c r="T1529" s="17" t="b">
        <v>0</v>
      </c>
      <c r="U1529" s="17" t="b">
        <v>0</v>
      </c>
      <c r="V1529" s="17" t="b">
        <v>0</v>
      </c>
      <c r="W1529" s="11"/>
      <c r="X1529" s="12"/>
      <c r="Y1529" s="12"/>
      <c r="Z1529" s="13"/>
    </row>
    <row r="1530" spans="1:26" ht="19.95" customHeight="1" x14ac:dyDescent="0.3">
      <c r="A1530" s="6"/>
      <c r="B1530" s="7"/>
      <c r="C1530" s="8"/>
      <c r="D1530" s="8"/>
      <c r="E1530" s="8"/>
      <c r="F1530" s="9"/>
      <c r="G1530" s="9"/>
      <c r="H1530" s="9"/>
      <c r="I1530" s="9" t="s">
        <v>14</v>
      </c>
      <c r="J1530" s="10" t="s">
        <v>14</v>
      </c>
      <c r="K1530" s="15" t="e">
        <f>VLOOKUP(J1530,DADOS!$A$3:$B$101,2,FALSE)</f>
        <v>#N/A</v>
      </c>
      <c r="L1530" s="15"/>
      <c r="M1530" s="18" t="b">
        <v>0</v>
      </c>
      <c r="N1530" s="17" t="b">
        <v>0</v>
      </c>
      <c r="O1530" s="17" t="b">
        <v>0</v>
      </c>
      <c r="P1530" s="17" t="b">
        <v>0</v>
      </c>
      <c r="Q1530" s="17" t="b">
        <v>0</v>
      </c>
      <c r="R1530" s="17" t="b">
        <v>0</v>
      </c>
      <c r="S1530" s="17" t="b">
        <v>0</v>
      </c>
      <c r="T1530" s="17" t="b">
        <v>0</v>
      </c>
      <c r="U1530" s="17" t="b">
        <v>0</v>
      </c>
      <c r="V1530" s="17" t="b">
        <v>0</v>
      </c>
      <c r="W1530" s="11"/>
      <c r="X1530" s="12"/>
      <c r="Y1530" s="12"/>
      <c r="Z1530" s="13"/>
    </row>
    <row r="1531" spans="1:26" ht="19.95" customHeight="1" x14ac:dyDescent="0.3">
      <c r="A1531" s="6"/>
      <c r="B1531" s="7"/>
      <c r="C1531" s="8"/>
      <c r="D1531" s="8"/>
      <c r="E1531" s="8"/>
      <c r="F1531" s="9"/>
      <c r="G1531" s="9"/>
      <c r="H1531" s="9"/>
      <c r="I1531" s="9" t="s">
        <v>14</v>
      </c>
      <c r="J1531" s="10" t="s">
        <v>14</v>
      </c>
      <c r="K1531" s="15" t="e">
        <f>VLOOKUP(J1531,DADOS!$A$3:$B$101,2,FALSE)</f>
        <v>#N/A</v>
      </c>
      <c r="L1531" s="15"/>
      <c r="M1531" s="18" t="b">
        <v>0</v>
      </c>
      <c r="N1531" s="17" t="b">
        <v>0</v>
      </c>
      <c r="O1531" s="17" t="b">
        <v>0</v>
      </c>
      <c r="P1531" s="17" t="b">
        <v>0</v>
      </c>
      <c r="Q1531" s="17" t="b">
        <v>0</v>
      </c>
      <c r="R1531" s="17" t="b">
        <v>0</v>
      </c>
      <c r="S1531" s="17" t="b">
        <v>0</v>
      </c>
      <c r="T1531" s="17" t="b">
        <v>0</v>
      </c>
      <c r="U1531" s="17" t="b">
        <v>0</v>
      </c>
      <c r="V1531" s="17" t="b">
        <v>0</v>
      </c>
      <c r="W1531" s="11"/>
      <c r="X1531" s="12"/>
      <c r="Y1531" s="12"/>
      <c r="Z1531" s="13"/>
    </row>
    <row r="1532" spans="1:26" ht="19.95" customHeight="1" x14ac:dyDescent="0.3">
      <c r="A1532" s="6"/>
      <c r="B1532" s="7"/>
      <c r="C1532" s="8"/>
      <c r="D1532" s="8"/>
      <c r="E1532" s="8"/>
      <c r="F1532" s="9"/>
      <c r="G1532" s="9"/>
      <c r="H1532" s="9"/>
      <c r="I1532" s="9" t="s">
        <v>14</v>
      </c>
      <c r="J1532" s="10" t="s">
        <v>14</v>
      </c>
      <c r="K1532" s="15" t="e">
        <f>VLOOKUP(J1532,DADOS!$A$3:$B$101,2,FALSE)</f>
        <v>#N/A</v>
      </c>
      <c r="L1532" s="15"/>
      <c r="M1532" s="18" t="b">
        <v>0</v>
      </c>
      <c r="N1532" s="17" t="b">
        <v>0</v>
      </c>
      <c r="O1532" s="17" t="b">
        <v>0</v>
      </c>
      <c r="P1532" s="17" t="b">
        <v>0</v>
      </c>
      <c r="Q1532" s="17" t="b">
        <v>0</v>
      </c>
      <c r="R1532" s="17" t="b">
        <v>0</v>
      </c>
      <c r="S1532" s="17" t="b">
        <v>0</v>
      </c>
      <c r="T1532" s="17" t="b">
        <v>0</v>
      </c>
      <c r="U1532" s="17" t="b">
        <v>0</v>
      </c>
      <c r="V1532" s="17" t="b">
        <v>0</v>
      </c>
      <c r="W1532" s="11"/>
      <c r="X1532" s="12"/>
      <c r="Y1532" s="12"/>
      <c r="Z1532" s="13"/>
    </row>
    <row r="1533" spans="1:26" ht="19.95" customHeight="1" x14ac:dyDescent="0.3">
      <c r="A1533" s="6"/>
      <c r="B1533" s="7"/>
      <c r="C1533" s="8"/>
      <c r="D1533" s="8"/>
      <c r="E1533" s="8"/>
      <c r="F1533" s="9"/>
      <c r="G1533" s="9"/>
      <c r="H1533" s="9"/>
      <c r="I1533" s="9" t="s">
        <v>14</v>
      </c>
      <c r="J1533" s="10" t="s">
        <v>14</v>
      </c>
      <c r="K1533" s="15" t="e">
        <f>VLOOKUP(J1533,DADOS!$A$3:$B$101,2,FALSE)</f>
        <v>#N/A</v>
      </c>
      <c r="L1533" s="15"/>
      <c r="M1533" s="18" t="b">
        <v>0</v>
      </c>
      <c r="N1533" s="17" t="b">
        <v>0</v>
      </c>
      <c r="O1533" s="17" t="b">
        <v>0</v>
      </c>
      <c r="P1533" s="17" t="b">
        <v>0</v>
      </c>
      <c r="Q1533" s="17" t="b">
        <v>0</v>
      </c>
      <c r="R1533" s="17" t="b">
        <v>0</v>
      </c>
      <c r="S1533" s="17" t="b">
        <v>0</v>
      </c>
      <c r="T1533" s="17" t="b">
        <v>0</v>
      </c>
      <c r="U1533" s="17" t="b">
        <v>0</v>
      </c>
      <c r="V1533" s="17" t="b">
        <v>0</v>
      </c>
      <c r="W1533" s="11"/>
      <c r="X1533" s="12"/>
      <c r="Y1533" s="12"/>
      <c r="Z1533" s="13"/>
    </row>
    <row r="1534" spans="1:26" ht="19.95" customHeight="1" x14ac:dyDescent="0.3">
      <c r="A1534" s="6"/>
      <c r="B1534" s="7"/>
      <c r="C1534" s="8"/>
      <c r="D1534" s="8"/>
      <c r="E1534" s="8"/>
      <c r="F1534" s="9"/>
      <c r="G1534" s="9"/>
      <c r="H1534" s="9"/>
      <c r="I1534" s="9" t="s">
        <v>14</v>
      </c>
      <c r="J1534" s="10" t="s">
        <v>14</v>
      </c>
      <c r="K1534" s="15" t="e">
        <f>VLOOKUP(J1534,DADOS!$A$3:$B$101,2,FALSE)</f>
        <v>#N/A</v>
      </c>
      <c r="L1534" s="15"/>
      <c r="M1534" s="18" t="b">
        <v>0</v>
      </c>
      <c r="N1534" s="17" t="b">
        <v>0</v>
      </c>
      <c r="O1534" s="17" t="b">
        <v>0</v>
      </c>
      <c r="P1534" s="17" t="b">
        <v>0</v>
      </c>
      <c r="Q1534" s="17" t="b">
        <v>0</v>
      </c>
      <c r="R1534" s="17" t="b">
        <v>0</v>
      </c>
      <c r="S1534" s="17" t="b">
        <v>0</v>
      </c>
      <c r="T1534" s="17" t="b">
        <v>0</v>
      </c>
      <c r="U1534" s="17" t="b">
        <v>0</v>
      </c>
      <c r="V1534" s="17" t="b">
        <v>0</v>
      </c>
      <c r="W1534" s="11"/>
      <c r="X1534" s="12"/>
      <c r="Y1534" s="12"/>
      <c r="Z1534" s="13"/>
    </row>
    <row r="1535" spans="1:26" ht="19.95" customHeight="1" x14ac:dyDescent="0.3">
      <c r="A1535" s="6"/>
      <c r="B1535" s="7"/>
      <c r="C1535" s="8"/>
      <c r="D1535" s="8"/>
      <c r="E1535" s="8"/>
      <c r="F1535" s="9"/>
      <c r="G1535" s="9"/>
      <c r="H1535" s="9"/>
      <c r="I1535" s="9" t="s">
        <v>14</v>
      </c>
      <c r="J1535" s="10" t="s">
        <v>14</v>
      </c>
      <c r="K1535" s="15" t="e">
        <f>VLOOKUP(J1535,DADOS!$A$3:$B$101,2,FALSE)</f>
        <v>#N/A</v>
      </c>
      <c r="L1535" s="15"/>
      <c r="M1535" s="18" t="b">
        <v>0</v>
      </c>
      <c r="N1535" s="17" t="b">
        <v>0</v>
      </c>
      <c r="O1535" s="17" t="b">
        <v>0</v>
      </c>
      <c r="P1535" s="17" t="b">
        <v>0</v>
      </c>
      <c r="Q1535" s="17" t="b">
        <v>0</v>
      </c>
      <c r="R1535" s="17" t="b">
        <v>0</v>
      </c>
      <c r="S1535" s="17" t="b">
        <v>0</v>
      </c>
      <c r="T1535" s="17" t="b">
        <v>0</v>
      </c>
      <c r="U1535" s="17" t="b">
        <v>0</v>
      </c>
      <c r="V1535" s="17" t="b">
        <v>0</v>
      </c>
      <c r="W1535" s="11"/>
      <c r="X1535" s="12"/>
      <c r="Y1535" s="12"/>
      <c r="Z1535" s="13"/>
    </row>
    <row r="1536" spans="1:26" ht="19.95" customHeight="1" x14ac:dyDescent="0.3">
      <c r="A1536" s="6"/>
      <c r="B1536" s="7"/>
      <c r="C1536" s="8"/>
      <c r="D1536" s="8"/>
      <c r="E1536" s="8"/>
      <c r="F1536" s="9"/>
      <c r="G1536" s="9"/>
      <c r="H1536" s="9"/>
      <c r="I1536" s="9" t="s">
        <v>14</v>
      </c>
      <c r="J1536" s="10" t="s">
        <v>14</v>
      </c>
      <c r="K1536" s="15" t="e">
        <f>VLOOKUP(J1536,DADOS!$A$3:$B$101,2,FALSE)</f>
        <v>#N/A</v>
      </c>
      <c r="L1536" s="15"/>
      <c r="M1536" s="18" t="b">
        <v>0</v>
      </c>
      <c r="N1536" s="17" t="b">
        <v>0</v>
      </c>
      <c r="O1536" s="17" t="b">
        <v>0</v>
      </c>
      <c r="P1536" s="17" t="b">
        <v>0</v>
      </c>
      <c r="Q1536" s="17" t="b">
        <v>0</v>
      </c>
      <c r="R1536" s="17" t="b">
        <v>0</v>
      </c>
      <c r="S1536" s="17" t="b">
        <v>0</v>
      </c>
      <c r="T1536" s="17" t="b">
        <v>0</v>
      </c>
      <c r="U1536" s="17" t="b">
        <v>0</v>
      </c>
      <c r="V1536" s="17" t="b">
        <v>0</v>
      </c>
      <c r="W1536" s="11"/>
      <c r="X1536" s="12"/>
      <c r="Y1536" s="12"/>
      <c r="Z1536" s="13"/>
    </row>
    <row r="1537" spans="1:26" ht="19.95" customHeight="1" x14ac:dyDescent="0.3">
      <c r="A1537" s="6"/>
      <c r="B1537" s="7"/>
      <c r="C1537" s="8"/>
      <c r="D1537" s="8"/>
      <c r="E1537" s="8"/>
      <c r="F1537" s="9"/>
      <c r="G1537" s="9"/>
      <c r="H1537" s="9"/>
      <c r="I1537" s="9" t="s">
        <v>14</v>
      </c>
      <c r="J1537" s="10" t="s">
        <v>14</v>
      </c>
      <c r="K1537" s="15" t="e">
        <f>VLOOKUP(J1537,DADOS!$A$3:$B$101,2,FALSE)</f>
        <v>#N/A</v>
      </c>
      <c r="L1537" s="15"/>
      <c r="M1537" s="18" t="b">
        <v>0</v>
      </c>
      <c r="N1537" s="17" t="b">
        <v>0</v>
      </c>
      <c r="O1537" s="17" t="b">
        <v>0</v>
      </c>
      <c r="P1537" s="17" t="b">
        <v>0</v>
      </c>
      <c r="Q1537" s="17" t="b">
        <v>0</v>
      </c>
      <c r="R1537" s="17" t="b">
        <v>0</v>
      </c>
      <c r="S1537" s="17" t="b">
        <v>0</v>
      </c>
      <c r="T1537" s="17" t="b">
        <v>0</v>
      </c>
      <c r="U1537" s="17" t="b">
        <v>0</v>
      </c>
      <c r="V1537" s="17" t="b">
        <v>0</v>
      </c>
      <c r="W1537" s="11"/>
      <c r="X1537" s="12"/>
      <c r="Y1537" s="12"/>
      <c r="Z1537" s="13"/>
    </row>
    <row r="1538" spans="1:26" ht="19.95" customHeight="1" x14ac:dyDescent="0.3">
      <c r="A1538" s="6"/>
      <c r="B1538" s="7"/>
      <c r="C1538" s="8"/>
      <c r="D1538" s="8"/>
      <c r="E1538" s="8"/>
      <c r="F1538" s="9"/>
      <c r="G1538" s="9"/>
      <c r="H1538" s="9"/>
      <c r="I1538" s="9" t="s">
        <v>14</v>
      </c>
      <c r="J1538" s="10" t="s">
        <v>14</v>
      </c>
      <c r="K1538" s="15" t="e">
        <f>VLOOKUP(J1538,DADOS!$A$3:$B$101,2,FALSE)</f>
        <v>#N/A</v>
      </c>
      <c r="L1538" s="15"/>
      <c r="M1538" s="18" t="b">
        <v>0</v>
      </c>
      <c r="N1538" s="17" t="b">
        <v>0</v>
      </c>
      <c r="O1538" s="17" t="b">
        <v>0</v>
      </c>
      <c r="P1538" s="17" t="b">
        <v>0</v>
      </c>
      <c r="Q1538" s="17" t="b">
        <v>0</v>
      </c>
      <c r="R1538" s="17" t="b">
        <v>0</v>
      </c>
      <c r="S1538" s="17" t="b">
        <v>0</v>
      </c>
      <c r="T1538" s="17" t="b">
        <v>0</v>
      </c>
      <c r="U1538" s="17" t="b">
        <v>0</v>
      </c>
      <c r="V1538" s="17" t="b">
        <v>0</v>
      </c>
      <c r="W1538" s="11"/>
      <c r="X1538" s="12"/>
      <c r="Y1538" s="12"/>
      <c r="Z1538" s="13"/>
    </row>
    <row r="1539" spans="1:26" ht="19.95" customHeight="1" x14ac:dyDescent="0.3">
      <c r="A1539" s="6"/>
      <c r="B1539" s="7"/>
      <c r="C1539" s="8"/>
      <c r="D1539" s="8"/>
      <c r="E1539" s="8"/>
      <c r="F1539" s="9"/>
      <c r="G1539" s="9"/>
      <c r="H1539" s="9"/>
      <c r="I1539" s="9" t="s">
        <v>14</v>
      </c>
      <c r="J1539" s="10" t="s">
        <v>14</v>
      </c>
      <c r="K1539" s="15" t="e">
        <f>VLOOKUP(J1539,DADOS!$A$3:$B$101,2,FALSE)</f>
        <v>#N/A</v>
      </c>
      <c r="L1539" s="15"/>
      <c r="M1539" s="18" t="b">
        <v>0</v>
      </c>
      <c r="N1539" s="17" t="b">
        <v>0</v>
      </c>
      <c r="O1539" s="17" t="b">
        <v>0</v>
      </c>
      <c r="P1539" s="17" t="b">
        <v>0</v>
      </c>
      <c r="Q1539" s="17" t="b">
        <v>0</v>
      </c>
      <c r="R1539" s="17" t="b">
        <v>0</v>
      </c>
      <c r="S1539" s="17" t="b">
        <v>0</v>
      </c>
      <c r="T1539" s="17" t="b">
        <v>0</v>
      </c>
      <c r="U1539" s="17" t="b">
        <v>0</v>
      </c>
      <c r="V1539" s="17" t="b">
        <v>0</v>
      </c>
      <c r="W1539" s="11"/>
      <c r="X1539" s="12"/>
      <c r="Y1539" s="12"/>
      <c r="Z1539" s="13"/>
    </row>
    <row r="1540" spans="1:26" ht="19.95" customHeight="1" x14ac:dyDescent="0.3">
      <c r="A1540" s="6"/>
      <c r="B1540" s="7"/>
      <c r="C1540" s="8"/>
      <c r="D1540" s="8"/>
      <c r="E1540" s="8"/>
      <c r="F1540" s="9"/>
      <c r="G1540" s="9"/>
      <c r="H1540" s="9"/>
      <c r="I1540" s="9" t="s">
        <v>14</v>
      </c>
      <c r="J1540" s="10" t="s">
        <v>14</v>
      </c>
      <c r="K1540" s="15" t="e">
        <f>VLOOKUP(J1540,DADOS!$A$3:$B$101,2,FALSE)</f>
        <v>#N/A</v>
      </c>
      <c r="L1540" s="15"/>
      <c r="M1540" s="18" t="b">
        <v>0</v>
      </c>
      <c r="N1540" s="17" t="b">
        <v>0</v>
      </c>
      <c r="O1540" s="17" t="b">
        <v>0</v>
      </c>
      <c r="P1540" s="17" t="b">
        <v>0</v>
      </c>
      <c r="Q1540" s="17" t="b">
        <v>0</v>
      </c>
      <c r="R1540" s="17" t="b">
        <v>0</v>
      </c>
      <c r="S1540" s="17" t="b">
        <v>0</v>
      </c>
      <c r="T1540" s="17" t="b">
        <v>0</v>
      </c>
      <c r="U1540" s="17" t="b">
        <v>0</v>
      </c>
      <c r="V1540" s="17" t="b">
        <v>0</v>
      </c>
      <c r="W1540" s="11"/>
      <c r="X1540" s="12"/>
      <c r="Y1540" s="12"/>
      <c r="Z1540" s="13"/>
    </row>
    <row r="1541" spans="1:26" ht="19.95" customHeight="1" x14ac:dyDescent="0.3">
      <c r="A1541" s="6"/>
      <c r="B1541" s="7"/>
      <c r="C1541" s="8"/>
      <c r="D1541" s="8"/>
      <c r="E1541" s="8"/>
      <c r="F1541" s="9"/>
      <c r="G1541" s="9"/>
      <c r="H1541" s="9"/>
      <c r="I1541" s="9" t="s">
        <v>14</v>
      </c>
      <c r="J1541" s="10" t="s">
        <v>14</v>
      </c>
      <c r="K1541" s="15" t="e">
        <f>VLOOKUP(J1541,DADOS!$A$3:$B$101,2,FALSE)</f>
        <v>#N/A</v>
      </c>
      <c r="L1541" s="15"/>
      <c r="M1541" s="18" t="b">
        <v>0</v>
      </c>
      <c r="N1541" s="17" t="b">
        <v>0</v>
      </c>
      <c r="O1541" s="17" t="b">
        <v>0</v>
      </c>
      <c r="P1541" s="17" t="b">
        <v>0</v>
      </c>
      <c r="Q1541" s="17" t="b">
        <v>0</v>
      </c>
      <c r="R1541" s="17" t="b">
        <v>0</v>
      </c>
      <c r="S1541" s="17" t="b">
        <v>0</v>
      </c>
      <c r="T1541" s="17" t="b">
        <v>0</v>
      </c>
      <c r="U1541" s="17" t="b">
        <v>0</v>
      </c>
      <c r="V1541" s="17" t="b">
        <v>0</v>
      </c>
      <c r="W1541" s="11"/>
      <c r="X1541" s="12"/>
      <c r="Y1541" s="12"/>
      <c r="Z1541" s="13"/>
    </row>
    <row r="1542" spans="1:26" ht="19.95" customHeight="1" x14ac:dyDescent="0.3">
      <c r="A1542" s="6"/>
      <c r="B1542" s="7"/>
      <c r="C1542" s="8"/>
      <c r="D1542" s="8"/>
      <c r="E1542" s="8"/>
      <c r="F1542" s="9"/>
      <c r="G1542" s="9"/>
      <c r="H1542" s="9"/>
      <c r="I1542" s="9" t="s">
        <v>14</v>
      </c>
      <c r="J1542" s="10" t="s">
        <v>14</v>
      </c>
      <c r="K1542" s="15" t="e">
        <f>VLOOKUP(J1542,DADOS!$A$3:$B$101,2,FALSE)</f>
        <v>#N/A</v>
      </c>
      <c r="L1542" s="15"/>
      <c r="M1542" s="18" t="b">
        <v>0</v>
      </c>
      <c r="N1542" s="17" t="b">
        <v>0</v>
      </c>
      <c r="O1542" s="17" t="b">
        <v>0</v>
      </c>
      <c r="P1542" s="17" t="b">
        <v>0</v>
      </c>
      <c r="Q1542" s="17" t="b">
        <v>0</v>
      </c>
      <c r="R1542" s="17" t="b">
        <v>0</v>
      </c>
      <c r="S1542" s="17" t="b">
        <v>0</v>
      </c>
      <c r="T1542" s="17" t="b">
        <v>0</v>
      </c>
      <c r="U1542" s="17" t="b">
        <v>0</v>
      </c>
      <c r="V1542" s="17" t="b">
        <v>0</v>
      </c>
      <c r="W1542" s="11"/>
      <c r="X1542" s="12"/>
      <c r="Y1542" s="12"/>
      <c r="Z1542" s="13"/>
    </row>
    <row r="1543" spans="1:26" ht="19.95" customHeight="1" x14ac:dyDescent="0.3">
      <c r="A1543" s="6"/>
      <c r="B1543" s="7"/>
      <c r="C1543" s="8"/>
      <c r="D1543" s="8"/>
      <c r="E1543" s="8"/>
      <c r="F1543" s="9"/>
      <c r="G1543" s="9"/>
      <c r="H1543" s="9"/>
      <c r="I1543" s="9" t="s">
        <v>14</v>
      </c>
      <c r="J1543" s="10" t="s">
        <v>14</v>
      </c>
      <c r="K1543" s="15" t="e">
        <f>VLOOKUP(J1543,DADOS!$A$3:$B$101,2,FALSE)</f>
        <v>#N/A</v>
      </c>
      <c r="L1543" s="15"/>
      <c r="M1543" s="18" t="b">
        <v>0</v>
      </c>
      <c r="N1543" s="17" t="b">
        <v>0</v>
      </c>
      <c r="O1543" s="17" t="b">
        <v>0</v>
      </c>
      <c r="P1543" s="17" t="b">
        <v>0</v>
      </c>
      <c r="Q1543" s="17" t="b">
        <v>0</v>
      </c>
      <c r="R1543" s="17" t="b">
        <v>0</v>
      </c>
      <c r="S1543" s="17" t="b">
        <v>0</v>
      </c>
      <c r="T1543" s="17" t="b">
        <v>0</v>
      </c>
      <c r="U1543" s="17" t="b">
        <v>0</v>
      </c>
      <c r="V1543" s="17" t="b">
        <v>0</v>
      </c>
      <c r="W1543" s="11"/>
      <c r="X1543" s="12"/>
      <c r="Y1543" s="12"/>
      <c r="Z1543" s="13"/>
    </row>
    <row r="1544" spans="1:26" ht="19.95" customHeight="1" x14ac:dyDescent="0.3">
      <c r="A1544" s="6"/>
      <c r="B1544" s="7"/>
      <c r="C1544" s="8"/>
      <c r="D1544" s="8"/>
      <c r="E1544" s="8"/>
      <c r="F1544" s="9"/>
      <c r="G1544" s="9"/>
      <c r="H1544" s="9"/>
      <c r="I1544" s="9" t="s">
        <v>14</v>
      </c>
      <c r="J1544" s="10" t="s">
        <v>14</v>
      </c>
      <c r="K1544" s="15" t="e">
        <f>VLOOKUP(J1544,DADOS!$A$3:$B$101,2,FALSE)</f>
        <v>#N/A</v>
      </c>
      <c r="L1544" s="15"/>
      <c r="M1544" s="18" t="b">
        <v>0</v>
      </c>
      <c r="N1544" s="17" t="b">
        <v>0</v>
      </c>
      <c r="O1544" s="17" t="b">
        <v>0</v>
      </c>
      <c r="P1544" s="17" t="b">
        <v>0</v>
      </c>
      <c r="Q1544" s="17" t="b">
        <v>0</v>
      </c>
      <c r="R1544" s="17" t="b">
        <v>0</v>
      </c>
      <c r="S1544" s="17" t="b">
        <v>0</v>
      </c>
      <c r="T1544" s="17" t="b">
        <v>0</v>
      </c>
      <c r="U1544" s="17" t="b">
        <v>0</v>
      </c>
      <c r="V1544" s="17" t="b">
        <v>0</v>
      </c>
      <c r="W1544" s="11"/>
      <c r="X1544" s="12"/>
      <c r="Y1544" s="12"/>
      <c r="Z1544" s="13"/>
    </row>
    <row r="1545" spans="1:26" ht="19.95" customHeight="1" x14ac:dyDescent="0.3">
      <c r="A1545" s="6"/>
      <c r="B1545" s="7"/>
      <c r="C1545" s="8"/>
      <c r="D1545" s="8"/>
      <c r="E1545" s="8"/>
      <c r="F1545" s="9"/>
      <c r="G1545" s="9"/>
      <c r="H1545" s="9"/>
      <c r="I1545" s="9" t="s">
        <v>14</v>
      </c>
      <c r="J1545" s="10" t="s">
        <v>14</v>
      </c>
      <c r="K1545" s="15" t="e">
        <f>VLOOKUP(J1545,DADOS!$A$3:$B$101,2,FALSE)</f>
        <v>#N/A</v>
      </c>
      <c r="L1545" s="15"/>
      <c r="M1545" s="18" t="b">
        <v>0</v>
      </c>
      <c r="N1545" s="17" t="b">
        <v>0</v>
      </c>
      <c r="O1545" s="17" t="b">
        <v>0</v>
      </c>
      <c r="P1545" s="17" t="b">
        <v>0</v>
      </c>
      <c r="Q1545" s="17" t="b">
        <v>0</v>
      </c>
      <c r="R1545" s="17" t="b">
        <v>0</v>
      </c>
      <c r="S1545" s="17" t="b">
        <v>0</v>
      </c>
      <c r="T1545" s="17" t="b">
        <v>0</v>
      </c>
      <c r="U1545" s="17" t="b">
        <v>0</v>
      </c>
      <c r="V1545" s="17" t="b">
        <v>0</v>
      </c>
      <c r="W1545" s="11"/>
      <c r="X1545" s="12"/>
      <c r="Y1545" s="12"/>
      <c r="Z1545" s="13"/>
    </row>
    <row r="1546" spans="1:26" ht="19.95" customHeight="1" x14ac:dyDescent="0.3">
      <c r="A1546" s="6"/>
      <c r="B1546" s="7"/>
      <c r="C1546" s="8"/>
      <c r="D1546" s="8"/>
      <c r="E1546" s="8"/>
      <c r="F1546" s="9"/>
      <c r="G1546" s="9"/>
      <c r="H1546" s="9"/>
      <c r="I1546" s="9" t="s">
        <v>14</v>
      </c>
      <c r="J1546" s="10" t="s">
        <v>14</v>
      </c>
      <c r="K1546" s="15" t="e">
        <f>VLOOKUP(J1546,DADOS!$A$3:$B$101,2,FALSE)</f>
        <v>#N/A</v>
      </c>
      <c r="L1546" s="15"/>
      <c r="M1546" s="18" t="b">
        <v>0</v>
      </c>
      <c r="N1546" s="17" t="b">
        <v>0</v>
      </c>
      <c r="O1546" s="17" t="b">
        <v>0</v>
      </c>
      <c r="P1546" s="17" t="b">
        <v>0</v>
      </c>
      <c r="Q1546" s="17" t="b">
        <v>0</v>
      </c>
      <c r="R1546" s="17" t="b">
        <v>0</v>
      </c>
      <c r="S1546" s="17" t="b">
        <v>0</v>
      </c>
      <c r="T1546" s="17" t="b">
        <v>0</v>
      </c>
      <c r="U1546" s="17" t="b">
        <v>0</v>
      </c>
      <c r="V1546" s="17" t="b">
        <v>0</v>
      </c>
      <c r="W1546" s="11"/>
      <c r="X1546" s="12"/>
      <c r="Y1546" s="12"/>
      <c r="Z1546" s="13"/>
    </row>
    <row r="1547" spans="1:26" ht="19.95" customHeight="1" x14ac:dyDescent="0.3">
      <c r="A1547" s="6"/>
      <c r="B1547" s="7"/>
      <c r="C1547" s="8"/>
      <c r="D1547" s="8"/>
      <c r="E1547" s="8"/>
      <c r="F1547" s="9"/>
      <c r="G1547" s="9"/>
      <c r="H1547" s="9"/>
      <c r="I1547" s="9" t="s">
        <v>14</v>
      </c>
      <c r="J1547" s="10" t="s">
        <v>14</v>
      </c>
      <c r="K1547" s="15" t="e">
        <f>VLOOKUP(J1547,DADOS!$A$3:$B$101,2,FALSE)</f>
        <v>#N/A</v>
      </c>
      <c r="L1547" s="15"/>
      <c r="M1547" s="18" t="b">
        <v>0</v>
      </c>
      <c r="N1547" s="17" t="b">
        <v>0</v>
      </c>
      <c r="O1547" s="17" t="b">
        <v>0</v>
      </c>
      <c r="P1547" s="17" t="b">
        <v>0</v>
      </c>
      <c r="Q1547" s="17" t="b">
        <v>0</v>
      </c>
      <c r="R1547" s="17" t="b">
        <v>0</v>
      </c>
      <c r="S1547" s="17" t="b">
        <v>0</v>
      </c>
      <c r="T1547" s="17" t="b">
        <v>0</v>
      </c>
      <c r="U1547" s="17" t="b">
        <v>0</v>
      </c>
      <c r="V1547" s="17" t="b">
        <v>0</v>
      </c>
      <c r="W1547" s="11"/>
      <c r="X1547" s="12"/>
      <c r="Y1547" s="12"/>
      <c r="Z1547" s="13"/>
    </row>
    <row r="1548" spans="1:26" ht="19.95" customHeight="1" x14ac:dyDescent="0.3">
      <c r="A1548" s="6"/>
      <c r="B1548" s="7"/>
      <c r="C1548" s="8"/>
      <c r="D1548" s="8"/>
      <c r="E1548" s="8"/>
      <c r="F1548" s="9"/>
      <c r="G1548" s="9"/>
      <c r="H1548" s="9"/>
      <c r="I1548" s="9" t="s">
        <v>14</v>
      </c>
      <c r="J1548" s="10" t="s">
        <v>14</v>
      </c>
      <c r="K1548" s="15" t="e">
        <f>VLOOKUP(J1548,DADOS!$A$3:$B$101,2,FALSE)</f>
        <v>#N/A</v>
      </c>
      <c r="L1548" s="15"/>
      <c r="M1548" s="18" t="b">
        <v>0</v>
      </c>
      <c r="N1548" s="17" t="b">
        <v>0</v>
      </c>
      <c r="O1548" s="17" t="b">
        <v>0</v>
      </c>
      <c r="P1548" s="17" t="b">
        <v>0</v>
      </c>
      <c r="Q1548" s="17" t="b">
        <v>0</v>
      </c>
      <c r="R1548" s="17" t="b">
        <v>0</v>
      </c>
      <c r="S1548" s="17" t="b">
        <v>0</v>
      </c>
      <c r="T1548" s="17" t="b">
        <v>0</v>
      </c>
      <c r="U1548" s="17" t="b">
        <v>0</v>
      </c>
      <c r="V1548" s="17" t="b">
        <v>0</v>
      </c>
      <c r="W1548" s="11"/>
      <c r="X1548" s="12"/>
      <c r="Y1548" s="12"/>
      <c r="Z1548" s="13"/>
    </row>
    <row r="1549" spans="1:26" ht="19.95" customHeight="1" x14ac:dyDescent="0.3">
      <c r="A1549" s="6"/>
      <c r="B1549" s="7"/>
      <c r="C1549" s="8"/>
      <c r="D1549" s="8"/>
      <c r="E1549" s="8"/>
      <c r="F1549" s="9"/>
      <c r="G1549" s="9"/>
      <c r="H1549" s="9"/>
      <c r="I1549" s="9" t="s">
        <v>14</v>
      </c>
      <c r="J1549" s="10" t="s">
        <v>14</v>
      </c>
      <c r="K1549" s="15" t="e">
        <f>VLOOKUP(J1549,DADOS!$A$3:$B$101,2,FALSE)</f>
        <v>#N/A</v>
      </c>
      <c r="L1549" s="15"/>
      <c r="M1549" s="18" t="b">
        <v>0</v>
      </c>
      <c r="N1549" s="17" t="b">
        <v>0</v>
      </c>
      <c r="O1549" s="17" t="b">
        <v>0</v>
      </c>
      <c r="P1549" s="17" t="b">
        <v>0</v>
      </c>
      <c r="Q1549" s="17" t="b">
        <v>0</v>
      </c>
      <c r="R1549" s="17" t="b">
        <v>0</v>
      </c>
      <c r="S1549" s="17" t="b">
        <v>0</v>
      </c>
      <c r="T1549" s="17" t="b">
        <v>0</v>
      </c>
      <c r="U1549" s="17" t="b">
        <v>0</v>
      </c>
      <c r="V1549" s="17" t="b">
        <v>0</v>
      </c>
      <c r="W1549" s="11"/>
      <c r="X1549" s="12"/>
      <c r="Y1549" s="12"/>
      <c r="Z1549" s="13"/>
    </row>
    <row r="1550" spans="1:26" ht="19.95" customHeight="1" x14ac:dyDescent="0.3">
      <c r="A1550" s="6"/>
      <c r="B1550" s="7"/>
      <c r="C1550" s="8"/>
      <c r="D1550" s="8"/>
      <c r="E1550" s="8"/>
      <c r="F1550" s="9"/>
      <c r="G1550" s="9"/>
      <c r="H1550" s="9"/>
      <c r="I1550" s="9" t="s">
        <v>14</v>
      </c>
      <c r="J1550" s="10" t="s">
        <v>14</v>
      </c>
      <c r="K1550" s="15" t="e">
        <f>VLOOKUP(J1550,DADOS!$A$3:$B$101,2,FALSE)</f>
        <v>#N/A</v>
      </c>
      <c r="L1550" s="15"/>
      <c r="M1550" s="18" t="b">
        <v>0</v>
      </c>
      <c r="N1550" s="17" t="b">
        <v>0</v>
      </c>
      <c r="O1550" s="17" t="b">
        <v>0</v>
      </c>
      <c r="P1550" s="17" t="b">
        <v>0</v>
      </c>
      <c r="Q1550" s="17" t="b">
        <v>0</v>
      </c>
      <c r="R1550" s="17" t="b">
        <v>0</v>
      </c>
      <c r="S1550" s="17" t="b">
        <v>0</v>
      </c>
      <c r="T1550" s="17" t="b">
        <v>0</v>
      </c>
      <c r="U1550" s="17" t="b">
        <v>0</v>
      </c>
      <c r="V1550" s="17" t="b">
        <v>0</v>
      </c>
      <c r="W1550" s="11"/>
      <c r="X1550" s="12"/>
      <c r="Y1550" s="12"/>
      <c r="Z1550" s="13"/>
    </row>
    <row r="1551" spans="1:26" ht="19.95" customHeight="1" x14ac:dyDescent="0.3">
      <c r="A1551" s="6"/>
      <c r="B1551" s="7"/>
      <c r="C1551" s="8"/>
      <c r="D1551" s="8"/>
      <c r="E1551" s="8"/>
      <c r="F1551" s="9"/>
      <c r="G1551" s="9"/>
      <c r="H1551" s="9"/>
      <c r="I1551" s="9" t="s">
        <v>14</v>
      </c>
      <c r="J1551" s="10" t="s">
        <v>14</v>
      </c>
      <c r="K1551" s="15" t="e">
        <f>VLOOKUP(J1551,DADOS!$A$3:$B$101,2,FALSE)</f>
        <v>#N/A</v>
      </c>
      <c r="L1551" s="15"/>
      <c r="M1551" s="18" t="b">
        <v>0</v>
      </c>
      <c r="N1551" s="17" t="b">
        <v>0</v>
      </c>
      <c r="O1551" s="17" t="b">
        <v>0</v>
      </c>
      <c r="P1551" s="17" t="b">
        <v>0</v>
      </c>
      <c r="Q1551" s="17" t="b">
        <v>0</v>
      </c>
      <c r="R1551" s="17" t="b">
        <v>0</v>
      </c>
      <c r="S1551" s="17" t="b">
        <v>0</v>
      </c>
      <c r="T1551" s="17" t="b">
        <v>0</v>
      </c>
      <c r="U1551" s="17" t="b">
        <v>0</v>
      </c>
      <c r="V1551" s="17" t="b">
        <v>0</v>
      </c>
      <c r="W1551" s="11"/>
      <c r="X1551" s="12"/>
      <c r="Y1551" s="12"/>
      <c r="Z1551" s="13"/>
    </row>
    <row r="1552" spans="1:26" ht="19.95" customHeight="1" x14ac:dyDescent="0.3">
      <c r="A1552" s="6"/>
      <c r="B1552" s="7"/>
      <c r="C1552" s="8"/>
      <c r="D1552" s="8"/>
      <c r="E1552" s="8"/>
      <c r="F1552" s="9"/>
      <c r="G1552" s="9"/>
      <c r="H1552" s="9"/>
      <c r="I1552" s="9" t="s">
        <v>14</v>
      </c>
      <c r="J1552" s="10" t="s">
        <v>14</v>
      </c>
      <c r="K1552" s="15" t="e">
        <f>VLOOKUP(J1552,DADOS!$A$3:$B$101,2,FALSE)</f>
        <v>#N/A</v>
      </c>
      <c r="L1552" s="15"/>
      <c r="M1552" s="18" t="b">
        <v>0</v>
      </c>
      <c r="N1552" s="17" t="b">
        <v>0</v>
      </c>
      <c r="O1552" s="17" t="b">
        <v>0</v>
      </c>
      <c r="P1552" s="17" t="b">
        <v>0</v>
      </c>
      <c r="Q1552" s="17" t="b">
        <v>0</v>
      </c>
      <c r="R1552" s="17" t="b">
        <v>0</v>
      </c>
      <c r="S1552" s="17" t="b">
        <v>0</v>
      </c>
      <c r="T1552" s="17" t="b">
        <v>0</v>
      </c>
      <c r="U1552" s="17" t="b">
        <v>0</v>
      </c>
      <c r="V1552" s="17" t="b">
        <v>0</v>
      </c>
      <c r="W1552" s="11"/>
      <c r="X1552" s="12"/>
      <c r="Y1552" s="12"/>
      <c r="Z1552" s="13"/>
    </row>
    <row r="1553" spans="1:26" ht="19.95" customHeight="1" x14ac:dyDescent="0.3">
      <c r="A1553" s="6"/>
      <c r="B1553" s="7"/>
      <c r="C1553" s="8"/>
      <c r="D1553" s="8"/>
      <c r="E1553" s="8"/>
      <c r="F1553" s="9"/>
      <c r="G1553" s="9"/>
      <c r="H1553" s="9"/>
      <c r="I1553" s="9" t="s">
        <v>14</v>
      </c>
      <c r="J1553" s="10" t="s">
        <v>14</v>
      </c>
      <c r="K1553" s="15" t="e">
        <f>VLOOKUP(J1553,DADOS!$A$3:$B$101,2,FALSE)</f>
        <v>#N/A</v>
      </c>
      <c r="L1553" s="15"/>
      <c r="M1553" s="18" t="b">
        <v>0</v>
      </c>
      <c r="N1553" s="17" t="b">
        <v>0</v>
      </c>
      <c r="O1553" s="17" t="b">
        <v>0</v>
      </c>
      <c r="P1553" s="17" t="b">
        <v>0</v>
      </c>
      <c r="Q1553" s="17" t="b">
        <v>0</v>
      </c>
      <c r="R1553" s="17" t="b">
        <v>0</v>
      </c>
      <c r="S1553" s="17" t="b">
        <v>0</v>
      </c>
      <c r="T1553" s="17" t="b">
        <v>0</v>
      </c>
      <c r="U1553" s="17" t="b">
        <v>0</v>
      </c>
      <c r="V1553" s="17" t="b">
        <v>0</v>
      </c>
      <c r="W1553" s="11"/>
      <c r="X1553" s="12"/>
      <c r="Y1553" s="12"/>
      <c r="Z1553" s="13"/>
    </row>
    <row r="1554" spans="1:26" ht="19.95" customHeight="1" x14ac:dyDescent="0.3">
      <c r="A1554" s="6"/>
      <c r="B1554" s="7"/>
      <c r="C1554" s="8"/>
      <c r="D1554" s="8"/>
      <c r="E1554" s="8"/>
      <c r="F1554" s="9"/>
      <c r="G1554" s="9"/>
      <c r="H1554" s="9"/>
      <c r="I1554" s="9" t="s">
        <v>14</v>
      </c>
      <c r="J1554" s="10" t="s">
        <v>14</v>
      </c>
      <c r="K1554" s="15" t="e">
        <f>VLOOKUP(J1554,DADOS!$A$3:$B$101,2,FALSE)</f>
        <v>#N/A</v>
      </c>
      <c r="L1554" s="15"/>
      <c r="M1554" s="18" t="b">
        <v>0</v>
      </c>
      <c r="N1554" s="17" t="b">
        <v>0</v>
      </c>
      <c r="O1554" s="17" t="b">
        <v>0</v>
      </c>
      <c r="P1554" s="17" t="b">
        <v>0</v>
      </c>
      <c r="Q1554" s="17" t="b">
        <v>0</v>
      </c>
      <c r="R1554" s="17" t="b">
        <v>0</v>
      </c>
      <c r="S1554" s="17" t="b">
        <v>0</v>
      </c>
      <c r="T1554" s="17" t="b">
        <v>0</v>
      </c>
      <c r="U1554" s="17" t="b">
        <v>0</v>
      </c>
      <c r="V1554" s="17" t="b">
        <v>0</v>
      </c>
      <c r="W1554" s="11"/>
      <c r="X1554" s="12"/>
      <c r="Y1554" s="12"/>
      <c r="Z1554" s="13"/>
    </row>
    <row r="1555" spans="1:26" ht="19.95" customHeight="1" x14ac:dyDescent="0.3">
      <c r="A1555" s="6"/>
      <c r="B1555" s="7"/>
      <c r="C1555" s="8"/>
      <c r="D1555" s="8"/>
      <c r="E1555" s="8"/>
      <c r="F1555" s="9"/>
      <c r="G1555" s="9"/>
      <c r="H1555" s="9"/>
      <c r="I1555" s="9" t="s">
        <v>14</v>
      </c>
      <c r="J1555" s="10" t="s">
        <v>14</v>
      </c>
      <c r="K1555" s="15" t="e">
        <f>VLOOKUP(J1555,DADOS!$A$3:$B$101,2,FALSE)</f>
        <v>#N/A</v>
      </c>
      <c r="L1555" s="15"/>
      <c r="M1555" s="18" t="b">
        <v>0</v>
      </c>
      <c r="N1555" s="17" t="b">
        <v>0</v>
      </c>
      <c r="O1555" s="17" t="b">
        <v>0</v>
      </c>
      <c r="P1555" s="17" t="b">
        <v>0</v>
      </c>
      <c r="Q1555" s="17" t="b">
        <v>0</v>
      </c>
      <c r="R1555" s="17" t="b">
        <v>0</v>
      </c>
      <c r="S1555" s="17" t="b">
        <v>0</v>
      </c>
      <c r="T1555" s="17" t="b">
        <v>0</v>
      </c>
      <c r="U1555" s="17" t="b">
        <v>0</v>
      </c>
      <c r="V1555" s="17" t="b">
        <v>0</v>
      </c>
      <c r="W1555" s="11"/>
      <c r="X1555" s="12"/>
      <c r="Y1555" s="12"/>
      <c r="Z1555" s="13"/>
    </row>
    <row r="1556" spans="1:26" ht="19.95" customHeight="1" x14ac:dyDescent="0.3">
      <c r="A1556" s="6"/>
      <c r="B1556" s="7"/>
      <c r="C1556" s="8"/>
      <c r="D1556" s="8"/>
      <c r="E1556" s="8"/>
      <c r="F1556" s="9"/>
      <c r="G1556" s="9"/>
      <c r="H1556" s="9"/>
      <c r="I1556" s="9" t="s">
        <v>14</v>
      </c>
      <c r="J1556" s="10" t="s">
        <v>14</v>
      </c>
      <c r="K1556" s="15" t="e">
        <f>VLOOKUP(J1556,DADOS!$A$3:$B$101,2,FALSE)</f>
        <v>#N/A</v>
      </c>
      <c r="L1556" s="15"/>
      <c r="M1556" s="18" t="b">
        <v>0</v>
      </c>
      <c r="N1556" s="17" t="b">
        <v>0</v>
      </c>
      <c r="O1556" s="17" t="b">
        <v>0</v>
      </c>
      <c r="P1556" s="17" t="b">
        <v>0</v>
      </c>
      <c r="Q1556" s="17" t="b">
        <v>0</v>
      </c>
      <c r="R1556" s="17" t="b">
        <v>0</v>
      </c>
      <c r="S1556" s="17" t="b">
        <v>0</v>
      </c>
      <c r="T1556" s="17" t="b">
        <v>0</v>
      </c>
      <c r="U1556" s="17" t="b">
        <v>0</v>
      </c>
      <c r="V1556" s="17" t="b">
        <v>0</v>
      </c>
      <c r="W1556" s="11"/>
      <c r="X1556" s="12"/>
      <c r="Y1556" s="12"/>
      <c r="Z1556" s="13"/>
    </row>
    <row r="1557" spans="1:26" ht="19.95" customHeight="1" x14ac:dyDescent="0.3">
      <c r="A1557" s="6"/>
      <c r="B1557" s="7"/>
      <c r="C1557" s="8"/>
      <c r="D1557" s="8"/>
      <c r="E1557" s="8"/>
      <c r="F1557" s="9"/>
      <c r="G1557" s="9"/>
      <c r="H1557" s="9"/>
      <c r="I1557" s="9" t="s">
        <v>14</v>
      </c>
      <c r="J1557" s="10" t="s">
        <v>14</v>
      </c>
      <c r="K1557" s="15" t="e">
        <f>VLOOKUP(J1557,DADOS!$A$3:$B$101,2,FALSE)</f>
        <v>#N/A</v>
      </c>
      <c r="L1557" s="15"/>
      <c r="M1557" s="18" t="b">
        <v>0</v>
      </c>
      <c r="N1557" s="17" t="b">
        <v>0</v>
      </c>
      <c r="O1557" s="17" t="b">
        <v>0</v>
      </c>
      <c r="P1557" s="17" t="b">
        <v>0</v>
      </c>
      <c r="Q1557" s="17" t="b">
        <v>0</v>
      </c>
      <c r="R1557" s="17" t="b">
        <v>0</v>
      </c>
      <c r="S1557" s="17" t="b">
        <v>0</v>
      </c>
      <c r="T1557" s="17" t="b">
        <v>0</v>
      </c>
      <c r="U1557" s="17" t="b">
        <v>0</v>
      </c>
      <c r="V1557" s="17" t="b">
        <v>0</v>
      </c>
      <c r="W1557" s="11"/>
      <c r="X1557" s="12"/>
      <c r="Y1557" s="12"/>
      <c r="Z1557" s="13"/>
    </row>
    <row r="1558" spans="1:26" ht="19.95" customHeight="1" x14ac:dyDescent="0.3">
      <c r="A1558" s="6"/>
      <c r="B1558" s="7"/>
      <c r="C1558" s="8"/>
      <c r="D1558" s="8"/>
      <c r="E1558" s="8"/>
      <c r="F1558" s="9"/>
      <c r="G1558" s="9"/>
      <c r="H1558" s="9"/>
      <c r="I1558" s="9" t="s">
        <v>14</v>
      </c>
      <c r="J1558" s="10" t="s">
        <v>14</v>
      </c>
      <c r="K1558" s="15" t="e">
        <f>VLOOKUP(J1558,DADOS!$A$3:$B$101,2,FALSE)</f>
        <v>#N/A</v>
      </c>
      <c r="L1558" s="15"/>
      <c r="M1558" s="18" t="b">
        <v>0</v>
      </c>
      <c r="N1558" s="17" t="b">
        <v>0</v>
      </c>
      <c r="O1558" s="17" t="b">
        <v>0</v>
      </c>
      <c r="P1558" s="17" t="b">
        <v>0</v>
      </c>
      <c r="Q1558" s="17" t="b">
        <v>0</v>
      </c>
      <c r="R1558" s="17" t="b">
        <v>0</v>
      </c>
      <c r="S1558" s="17" t="b">
        <v>0</v>
      </c>
      <c r="T1558" s="17" t="b">
        <v>0</v>
      </c>
      <c r="U1558" s="17" t="b">
        <v>0</v>
      </c>
      <c r="V1558" s="17" t="b">
        <v>0</v>
      </c>
      <c r="W1558" s="11"/>
      <c r="X1558" s="12"/>
      <c r="Y1558" s="12"/>
      <c r="Z1558" s="13"/>
    </row>
    <row r="1559" spans="1:26" ht="19.95" customHeight="1" x14ac:dyDescent="0.3">
      <c r="A1559" s="6"/>
      <c r="B1559" s="7"/>
      <c r="C1559" s="8"/>
      <c r="D1559" s="8"/>
      <c r="E1559" s="8"/>
      <c r="F1559" s="9"/>
      <c r="G1559" s="9"/>
      <c r="H1559" s="9"/>
      <c r="I1559" s="9" t="s">
        <v>14</v>
      </c>
      <c r="J1559" s="10" t="s">
        <v>14</v>
      </c>
      <c r="K1559" s="15" t="e">
        <f>VLOOKUP(J1559,DADOS!$A$3:$B$101,2,FALSE)</f>
        <v>#N/A</v>
      </c>
      <c r="L1559" s="15"/>
      <c r="M1559" s="18" t="b">
        <v>0</v>
      </c>
      <c r="N1559" s="17" t="b">
        <v>0</v>
      </c>
      <c r="O1559" s="17" t="b">
        <v>0</v>
      </c>
      <c r="P1559" s="17" t="b">
        <v>0</v>
      </c>
      <c r="Q1559" s="17" t="b">
        <v>0</v>
      </c>
      <c r="R1559" s="17" t="b">
        <v>0</v>
      </c>
      <c r="S1559" s="17" t="b">
        <v>0</v>
      </c>
      <c r="T1559" s="17" t="b">
        <v>0</v>
      </c>
      <c r="U1559" s="17" t="b">
        <v>0</v>
      </c>
      <c r="V1559" s="17" t="b">
        <v>0</v>
      </c>
      <c r="W1559" s="11"/>
      <c r="X1559" s="12"/>
      <c r="Y1559" s="12"/>
      <c r="Z1559" s="13"/>
    </row>
    <row r="1560" spans="1:26" ht="19.95" customHeight="1" x14ac:dyDescent="0.3">
      <c r="A1560" s="6"/>
      <c r="B1560" s="7"/>
      <c r="C1560" s="8"/>
      <c r="D1560" s="8"/>
      <c r="E1560" s="8"/>
      <c r="F1560" s="9"/>
      <c r="G1560" s="9"/>
      <c r="H1560" s="9"/>
      <c r="I1560" s="9" t="s">
        <v>14</v>
      </c>
      <c r="J1560" s="10" t="s">
        <v>14</v>
      </c>
      <c r="K1560" s="15" t="e">
        <f>VLOOKUP(J1560,DADOS!$A$3:$B$101,2,FALSE)</f>
        <v>#N/A</v>
      </c>
      <c r="L1560" s="15"/>
      <c r="M1560" s="18" t="b">
        <v>0</v>
      </c>
      <c r="N1560" s="17" t="b">
        <v>0</v>
      </c>
      <c r="O1560" s="17" t="b">
        <v>0</v>
      </c>
      <c r="P1560" s="17" t="b">
        <v>0</v>
      </c>
      <c r="Q1560" s="17" t="b">
        <v>0</v>
      </c>
      <c r="R1560" s="17" t="b">
        <v>0</v>
      </c>
      <c r="S1560" s="17" t="b">
        <v>0</v>
      </c>
      <c r="T1560" s="17" t="b">
        <v>0</v>
      </c>
      <c r="U1560" s="17" t="b">
        <v>0</v>
      </c>
      <c r="V1560" s="17" t="b">
        <v>0</v>
      </c>
      <c r="W1560" s="11"/>
      <c r="X1560" s="12"/>
      <c r="Y1560" s="12"/>
      <c r="Z1560" s="13"/>
    </row>
    <row r="1561" spans="1:26" ht="19.95" customHeight="1" x14ac:dyDescent="0.3">
      <c r="A1561" s="6"/>
      <c r="B1561" s="7"/>
      <c r="C1561" s="8"/>
      <c r="D1561" s="8"/>
      <c r="E1561" s="8"/>
      <c r="F1561" s="9"/>
      <c r="G1561" s="9"/>
      <c r="H1561" s="9"/>
      <c r="I1561" s="9" t="s">
        <v>14</v>
      </c>
      <c r="J1561" s="10" t="s">
        <v>14</v>
      </c>
      <c r="K1561" s="15" t="e">
        <f>VLOOKUP(J1561,DADOS!$A$3:$B$101,2,FALSE)</f>
        <v>#N/A</v>
      </c>
      <c r="L1561" s="15"/>
      <c r="M1561" s="18" t="b">
        <v>0</v>
      </c>
      <c r="N1561" s="17" t="b">
        <v>0</v>
      </c>
      <c r="O1561" s="17" t="b">
        <v>0</v>
      </c>
      <c r="P1561" s="17" t="b">
        <v>0</v>
      </c>
      <c r="Q1561" s="17" t="b">
        <v>0</v>
      </c>
      <c r="R1561" s="17" t="b">
        <v>0</v>
      </c>
      <c r="S1561" s="17" t="b">
        <v>0</v>
      </c>
      <c r="T1561" s="17" t="b">
        <v>0</v>
      </c>
      <c r="U1561" s="17" t="b">
        <v>0</v>
      </c>
      <c r="V1561" s="17" t="b">
        <v>0</v>
      </c>
      <c r="W1561" s="11"/>
      <c r="X1561" s="12"/>
      <c r="Y1561" s="12"/>
      <c r="Z1561" s="13"/>
    </row>
    <row r="1562" spans="1:26" ht="19.95" customHeight="1" x14ac:dyDescent="0.3">
      <c r="A1562" s="6"/>
      <c r="B1562" s="7"/>
      <c r="C1562" s="8"/>
      <c r="D1562" s="8"/>
      <c r="E1562" s="8"/>
      <c r="F1562" s="9"/>
      <c r="G1562" s="9"/>
      <c r="H1562" s="9"/>
      <c r="I1562" s="9" t="s">
        <v>14</v>
      </c>
      <c r="J1562" s="10" t="s">
        <v>14</v>
      </c>
      <c r="K1562" s="15" t="e">
        <f>VLOOKUP(J1562,DADOS!$A$3:$B$101,2,FALSE)</f>
        <v>#N/A</v>
      </c>
      <c r="L1562" s="15"/>
      <c r="M1562" s="18" t="b">
        <v>0</v>
      </c>
      <c r="N1562" s="17" t="b">
        <v>0</v>
      </c>
      <c r="O1562" s="17" t="b">
        <v>0</v>
      </c>
      <c r="P1562" s="17" t="b">
        <v>0</v>
      </c>
      <c r="Q1562" s="17" t="b">
        <v>0</v>
      </c>
      <c r="R1562" s="17" t="b">
        <v>0</v>
      </c>
      <c r="S1562" s="17" t="b">
        <v>0</v>
      </c>
      <c r="T1562" s="17" t="b">
        <v>0</v>
      </c>
      <c r="U1562" s="17" t="b">
        <v>0</v>
      </c>
      <c r="V1562" s="17" t="b">
        <v>0</v>
      </c>
      <c r="W1562" s="11"/>
      <c r="X1562" s="12"/>
      <c r="Y1562" s="12"/>
      <c r="Z1562" s="13"/>
    </row>
    <row r="1563" spans="1:26" ht="19.95" customHeight="1" x14ac:dyDescent="0.3">
      <c r="A1563" s="6"/>
      <c r="B1563" s="7"/>
      <c r="C1563" s="8"/>
      <c r="D1563" s="8"/>
      <c r="E1563" s="8"/>
      <c r="F1563" s="9"/>
      <c r="G1563" s="9"/>
      <c r="H1563" s="9"/>
      <c r="I1563" s="9" t="s">
        <v>14</v>
      </c>
      <c r="J1563" s="10" t="s">
        <v>14</v>
      </c>
      <c r="K1563" s="15" t="e">
        <f>VLOOKUP(J1563,DADOS!$A$3:$B$101,2,FALSE)</f>
        <v>#N/A</v>
      </c>
      <c r="L1563" s="15"/>
      <c r="M1563" s="18" t="b">
        <v>0</v>
      </c>
      <c r="N1563" s="17" t="b">
        <v>0</v>
      </c>
      <c r="O1563" s="17" t="b">
        <v>0</v>
      </c>
      <c r="P1563" s="17" t="b">
        <v>0</v>
      </c>
      <c r="Q1563" s="17" t="b">
        <v>0</v>
      </c>
      <c r="R1563" s="17" t="b">
        <v>0</v>
      </c>
      <c r="S1563" s="17" t="b">
        <v>0</v>
      </c>
      <c r="T1563" s="17" t="b">
        <v>0</v>
      </c>
      <c r="U1563" s="17" t="b">
        <v>0</v>
      </c>
      <c r="V1563" s="17" t="b">
        <v>0</v>
      </c>
      <c r="W1563" s="11"/>
      <c r="X1563" s="12"/>
      <c r="Y1563" s="12"/>
      <c r="Z1563" s="13"/>
    </row>
    <row r="1564" spans="1:26" ht="19.95" customHeight="1" x14ac:dyDescent="0.3">
      <c r="A1564" s="6"/>
      <c r="B1564" s="7"/>
      <c r="C1564" s="8"/>
      <c r="D1564" s="8"/>
      <c r="E1564" s="8"/>
      <c r="F1564" s="9"/>
      <c r="G1564" s="9"/>
      <c r="H1564" s="9"/>
      <c r="I1564" s="9" t="s">
        <v>14</v>
      </c>
      <c r="J1564" s="10" t="s">
        <v>14</v>
      </c>
      <c r="K1564" s="15" t="e">
        <f>VLOOKUP(J1564,DADOS!$A$3:$B$101,2,FALSE)</f>
        <v>#N/A</v>
      </c>
      <c r="L1564" s="15"/>
      <c r="M1564" s="18" t="b">
        <v>0</v>
      </c>
      <c r="N1564" s="17" t="b">
        <v>0</v>
      </c>
      <c r="O1564" s="17" t="b">
        <v>0</v>
      </c>
      <c r="P1564" s="17" t="b">
        <v>0</v>
      </c>
      <c r="Q1564" s="17" t="b">
        <v>0</v>
      </c>
      <c r="R1564" s="17" t="b">
        <v>0</v>
      </c>
      <c r="S1564" s="17" t="b">
        <v>0</v>
      </c>
      <c r="T1564" s="17" t="b">
        <v>0</v>
      </c>
      <c r="U1564" s="17" t="b">
        <v>0</v>
      </c>
      <c r="V1564" s="17" t="b">
        <v>0</v>
      </c>
      <c r="W1564" s="11"/>
      <c r="X1564" s="12"/>
      <c r="Y1564" s="12"/>
      <c r="Z1564" s="13"/>
    </row>
    <row r="1565" spans="1:26" ht="19.95" customHeight="1" x14ac:dyDescent="0.3">
      <c r="A1565" s="6"/>
      <c r="B1565" s="7"/>
      <c r="C1565" s="8"/>
      <c r="D1565" s="8"/>
      <c r="E1565" s="8"/>
      <c r="F1565" s="9"/>
      <c r="G1565" s="9"/>
      <c r="H1565" s="9"/>
      <c r="I1565" s="9" t="s">
        <v>14</v>
      </c>
      <c r="J1565" s="10" t="s">
        <v>14</v>
      </c>
      <c r="K1565" s="15" t="e">
        <f>VLOOKUP(J1565,DADOS!$A$3:$B$101,2,FALSE)</f>
        <v>#N/A</v>
      </c>
      <c r="L1565" s="15"/>
      <c r="M1565" s="18" t="b">
        <v>0</v>
      </c>
      <c r="N1565" s="17" t="b">
        <v>0</v>
      </c>
      <c r="O1565" s="17" t="b">
        <v>0</v>
      </c>
      <c r="P1565" s="17" t="b">
        <v>0</v>
      </c>
      <c r="Q1565" s="17" t="b">
        <v>0</v>
      </c>
      <c r="R1565" s="17" t="b">
        <v>0</v>
      </c>
      <c r="S1565" s="17" t="b">
        <v>0</v>
      </c>
      <c r="T1565" s="17" t="b">
        <v>0</v>
      </c>
      <c r="U1565" s="17" t="b">
        <v>0</v>
      </c>
      <c r="V1565" s="17" t="b">
        <v>0</v>
      </c>
      <c r="W1565" s="11"/>
      <c r="X1565" s="12"/>
      <c r="Y1565" s="12"/>
      <c r="Z1565" s="13"/>
    </row>
    <row r="1566" spans="1:26" ht="19.95" customHeight="1" x14ac:dyDescent="0.3">
      <c r="A1566" s="6"/>
      <c r="B1566" s="7"/>
      <c r="C1566" s="8"/>
      <c r="D1566" s="8"/>
      <c r="E1566" s="8"/>
      <c r="F1566" s="9"/>
      <c r="G1566" s="9"/>
      <c r="H1566" s="9"/>
      <c r="I1566" s="9" t="s">
        <v>14</v>
      </c>
      <c r="J1566" s="10" t="s">
        <v>14</v>
      </c>
      <c r="K1566" s="15" t="e">
        <f>VLOOKUP(J1566,DADOS!$A$3:$B$101,2,FALSE)</f>
        <v>#N/A</v>
      </c>
      <c r="L1566" s="15"/>
      <c r="M1566" s="18" t="b">
        <v>0</v>
      </c>
      <c r="N1566" s="17" t="b">
        <v>0</v>
      </c>
      <c r="O1566" s="17" t="b">
        <v>0</v>
      </c>
      <c r="P1566" s="17" t="b">
        <v>0</v>
      </c>
      <c r="Q1566" s="17" t="b">
        <v>0</v>
      </c>
      <c r="R1566" s="17" t="b">
        <v>0</v>
      </c>
      <c r="S1566" s="17" t="b">
        <v>0</v>
      </c>
      <c r="T1566" s="17" t="b">
        <v>0</v>
      </c>
      <c r="U1566" s="17" t="b">
        <v>0</v>
      </c>
      <c r="V1566" s="17" t="b">
        <v>0</v>
      </c>
      <c r="W1566" s="11"/>
      <c r="X1566" s="12"/>
      <c r="Y1566" s="12"/>
      <c r="Z1566" s="13"/>
    </row>
    <row r="1567" spans="1:26" ht="19.95" customHeight="1" x14ac:dyDescent="0.3">
      <c r="A1567" s="6"/>
      <c r="B1567" s="7"/>
      <c r="C1567" s="8"/>
      <c r="D1567" s="8"/>
      <c r="E1567" s="8"/>
      <c r="F1567" s="9"/>
      <c r="G1567" s="9"/>
      <c r="H1567" s="9"/>
      <c r="I1567" s="9" t="s">
        <v>14</v>
      </c>
      <c r="J1567" s="10" t="s">
        <v>14</v>
      </c>
      <c r="K1567" s="15" t="e">
        <f>VLOOKUP(J1567,DADOS!$A$3:$B$101,2,FALSE)</f>
        <v>#N/A</v>
      </c>
      <c r="L1567" s="15"/>
      <c r="M1567" s="18" t="b">
        <v>0</v>
      </c>
      <c r="N1567" s="17" t="b">
        <v>0</v>
      </c>
      <c r="O1567" s="17" t="b">
        <v>0</v>
      </c>
      <c r="P1567" s="17" t="b">
        <v>0</v>
      </c>
      <c r="Q1567" s="17" t="b">
        <v>0</v>
      </c>
      <c r="R1567" s="17" t="b">
        <v>0</v>
      </c>
      <c r="S1567" s="17" t="b">
        <v>0</v>
      </c>
      <c r="T1567" s="17" t="b">
        <v>0</v>
      </c>
      <c r="U1567" s="17" t="b">
        <v>0</v>
      </c>
      <c r="V1567" s="17" t="b">
        <v>0</v>
      </c>
      <c r="W1567" s="11"/>
      <c r="X1567" s="12"/>
      <c r="Y1567" s="12"/>
      <c r="Z1567" s="13"/>
    </row>
    <row r="1568" spans="1:26" ht="19.95" customHeight="1" x14ac:dyDescent="0.3">
      <c r="A1568" s="6"/>
      <c r="B1568" s="7"/>
      <c r="C1568" s="8"/>
      <c r="D1568" s="8"/>
      <c r="E1568" s="8"/>
      <c r="F1568" s="9"/>
      <c r="G1568" s="9"/>
      <c r="H1568" s="9"/>
      <c r="I1568" s="9" t="s">
        <v>14</v>
      </c>
      <c r="J1568" s="10" t="s">
        <v>14</v>
      </c>
      <c r="K1568" s="15" t="e">
        <f>VLOOKUP(J1568,DADOS!$A$3:$B$101,2,FALSE)</f>
        <v>#N/A</v>
      </c>
      <c r="L1568" s="15"/>
      <c r="M1568" s="18" t="b">
        <v>0</v>
      </c>
      <c r="N1568" s="17" t="b">
        <v>0</v>
      </c>
      <c r="O1568" s="17" t="b">
        <v>0</v>
      </c>
      <c r="P1568" s="17" t="b">
        <v>0</v>
      </c>
      <c r="Q1568" s="17" t="b">
        <v>0</v>
      </c>
      <c r="R1568" s="17" t="b">
        <v>0</v>
      </c>
      <c r="S1568" s="17" t="b">
        <v>0</v>
      </c>
      <c r="T1568" s="17" t="b">
        <v>0</v>
      </c>
      <c r="U1568" s="17" t="b">
        <v>0</v>
      </c>
      <c r="V1568" s="17" t="b">
        <v>0</v>
      </c>
      <c r="W1568" s="11"/>
      <c r="X1568" s="12"/>
      <c r="Y1568" s="12"/>
      <c r="Z1568" s="13"/>
    </row>
    <row r="1569" spans="1:26" ht="19.95" customHeight="1" x14ac:dyDescent="0.3">
      <c r="A1569" s="6"/>
      <c r="B1569" s="7"/>
      <c r="C1569" s="8"/>
      <c r="D1569" s="8"/>
      <c r="E1569" s="8"/>
      <c r="F1569" s="9"/>
      <c r="G1569" s="9"/>
      <c r="H1569" s="9"/>
      <c r="I1569" s="9" t="s">
        <v>14</v>
      </c>
      <c r="J1569" s="10" t="s">
        <v>14</v>
      </c>
      <c r="K1569" s="15" t="e">
        <f>VLOOKUP(J1569,DADOS!$A$3:$B$101,2,FALSE)</f>
        <v>#N/A</v>
      </c>
      <c r="L1569" s="15"/>
      <c r="M1569" s="18" t="b">
        <v>0</v>
      </c>
      <c r="N1569" s="17" t="b">
        <v>0</v>
      </c>
      <c r="O1569" s="17" t="b">
        <v>0</v>
      </c>
      <c r="P1569" s="17" t="b">
        <v>0</v>
      </c>
      <c r="Q1569" s="17" t="b">
        <v>0</v>
      </c>
      <c r="R1569" s="17" t="b">
        <v>0</v>
      </c>
      <c r="S1569" s="17" t="b">
        <v>0</v>
      </c>
      <c r="T1569" s="17" t="b">
        <v>0</v>
      </c>
      <c r="U1569" s="17" t="b">
        <v>0</v>
      </c>
      <c r="V1569" s="17" t="b">
        <v>0</v>
      </c>
      <c r="W1569" s="11"/>
      <c r="X1569" s="12"/>
      <c r="Y1569" s="12"/>
      <c r="Z1569" s="13"/>
    </row>
    <row r="1570" spans="1:26" ht="19.95" customHeight="1" x14ac:dyDescent="0.3">
      <c r="A1570" s="6"/>
      <c r="B1570" s="7"/>
      <c r="C1570" s="8"/>
      <c r="D1570" s="8"/>
      <c r="E1570" s="8"/>
      <c r="F1570" s="9"/>
      <c r="G1570" s="9"/>
      <c r="H1570" s="9"/>
      <c r="I1570" s="9" t="s">
        <v>14</v>
      </c>
      <c r="J1570" s="10" t="s">
        <v>14</v>
      </c>
      <c r="K1570" s="15" t="e">
        <f>VLOOKUP(J1570,DADOS!$A$3:$B$101,2,FALSE)</f>
        <v>#N/A</v>
      </c>
      <c r="L1570" s="15"/>
      <c r="M1570" s="18" t="b">
        <v>0</v>
      </c>
      <c r="N1570" s="17" t="b">
        <v>0</v>
      </c>
      <c r="O1570" s="17" t="b">
        <v>0</v>
      </c>
      <c r="P1570" s="17" t="b">
        <v>0</v>
      </c>
      <c r="Q1570" s="17" t="b">
        <v>0</v>
      </c>
      <c r="R1570" s="17" t="b">
        <v>0</v>
      </c>
      <c r="S1570" s="17" t="b">
        <v>0</v>
      </c>
      <c r="T1570" s="17" t="b">
        <v>0</v>
      </c>
      <c r="U1570" s="17" t="b">
        <v>0</v>
      </c>
      <c r="V1570" s="17" t="b">
        <v>0</v>
      </c>
      <c r="W1570" s="11"/>
      <c r="X1570" s="12"/>
      <c r="Y1570" s="12"/>
      <c r="Z1570" s="13"/>
    </row>
    <row r="1571" spans="1:26" ht="19.95" customHeight="1" x14ac:dyDescent="0.3">
      <c r="A1571" s="6"/>
      <c r="B1571" s="7"/>
      <c r="C1571" s="8"/>
      <c r="D1571" s="8"/>
      <c r="E1571" s="8"/>
      <c r="F1571" s="9"/>
      <c r="G1571" s="9"/>
      <c r="H1571" s="9"/>
      <c r="I1571" s="9" t="s">
        <v>14</v>
      </c>
      <c r="J1571" s="10" t="s">
        <v>14</v>
      </c>
      <c r="K1571" s="15" t="e">
        <f>VLOOKUP(J1571,DADOS!$A$3:$B$101,2,FALSE)</f>
        <v>#N/A</v>
      </c>
      <c r="L1571" s="15"/>
      <c r="M1571" s="18" t="b">
        <v>0</v>
      </c>
      <c r="N1571" s="17" t="b">
        <v>0</v>
      </c>
      <c r="O1571" s="17" t="b">
        <v>0</v>
      </c>
      <c r="P1571" s="17" t="b">
        <v>0</v>
      </c>
      <c r="Q1571" s="17" t="b">
        <v>0</v>
      </c>
      <c r="R1571" s="17" t="b">
        <v>0</v>
      </c>
      <c r="S1571" s="17" t="b">
        <v>0</v>
      </c>
      <c r="T1571" s="17" t="b">
        <v>0</v>
      </c>
      <c r="U1571" s="17" t="b">
        <v>0</v>
      </c>
      <c r="V1571" s="17" t="b">
        <v>0</v>
      </c>
      <c r="W1571" s="11"/>
      <c r="X1571" s="12"/>
      <c r="Y1571" s="12"/>
      <c r="Z1571" s="13"/>
    </row>
    <row r="1572" spans="1:26" ht="19.95" customHeight="1" x14ac:dyDescent="0.3">
      <c r="A1572" s="6"/>
      <c r="B1572" s="7"/>
      <c r="C1572" s="8"/>
      <c r="D1572" s="8"/>
      <c r="E1572" s="8"/>
      <c r="F1572" s="9"/>
      <c r="G1572" s="9"/>
      <c r="H1572" s="9"/>
      <c r="I1572" s="9" t="s">
        <v>14</v>
      </c>
      <c r="J1572" s="10" t="s">
        <v>14</v>
      </c>
      <c r="K1572" s="15" t="e">
        <f>VLOOKUP(J1572,DADOS!$A$3:$B$101,2,FALSE)</f>
        <v>#N/A</v>
      </c>
      <c r="L1572" s="15"/>
      <c r="M1572" s="18" t="b">
        <v>0</v>
      </c>
      <c r="N1572" s="17" t="b">
        <v>0</v>
      </c>
      <c r="O1572" s="17" t="b">
        <v>0</v>
      </c>
      <c r="P1572" s="17" t="b">
        <v>0</v>
      </c>
      <c r="Q1572" s="17" t="b">
        <v>0</v>
      </c>
      <c r="R1572" s="17" t="b">
        <v>0</v>
      </c>
      <c r="S1572" s="17" t="b">
        <v>0</v>
      </c>
      <c r="T1572" s="17" t="b">
        <v>0</v>
      </c>
      <c r="U1572" s="17" t="b">
        <v>0</v>
      </c>
      <c r="V1572" s="17" t="b">
        <v>0</v>
      </c>
      <c r="W1572" s="11"/>
      <c r="X1572" s="12"/>
      <c r="Y1572" s="12"/>
      <c r="Z1572" s="13"/>
    </row>
    <row r="1573" spans="1:26" ht="19.95" customHeight="1" x14ac:dyDescent="0.3">
      <c r="A1573" s="6"/>
      <c r="B1573" s="7"/>
      <c r="C1573" s="8"/>
      <c r="D1573" s="8"/>
      <c r="E1573" s="8"/>
      <c r="F1573" s="9"/>
      <c r="G1573" s="9"/>
      <c r="H1573" s="9"/>
      <c r="I1573" s="9" t="s">
        <v>14</v>
      </c>
      <c r="J1573" s="10" t="s">
        <v>14</v>
      </c>
      <c r="K1573" s="15" t="e">
        <f>VLOOKUP(J1573,DADOS!$A$3:$B$101,2,FALSE)</f>
        <v>#N/A</v>
      </c>
      <c r="L1573" s="15"/>
      <c r="M1573" s="18" t="b">
        <v>0</v>
      </c>
      <c r="N1573" s="17" t="b">
        <v>0</v>
      </c>
      <c r="O1573" s="17" t="b">
        <v>0</v>
      </c>
      <c r="P1573" s="17" t="b">
        <v>0</v>
      </c>
      <c r="Q1573" s="17" t="b">
        <v>0</v>
      </c>
      <c r="R1573" s="17" t="b">
        <v>0</v>
      </c>
      <c r="S1573" s="17" t="b">
        <v>0</v>
      </c>
      <c r="T1573" s="17" t="b">
        <v>0</v>
      </c>
      <c r="U1573" s="17" t="b">
        <v>0</v>
      </c>
      <c r="V1573" s="17" t="b">
        <v>0</v>
      </c>
      <c r="W1573" s="11"/>
      <c r="X1573" s="12"/>
      <c r="Y1573" s="12"/>
      <c r="Z1573" s="13"/>
    </row>
    <row r="1574" spans="1:26" ht="19.95" customHeight="1" x14ac:dyDescent="0.3">
      <c r="A1574" s="6"/>
      <c r="B1574" s="7"/>
      <c r="C1574" s="8"/>
      <c r="D1574" s="8"/>
      <c r="E1574" s="8"/>
      <c r="F1574" s="9"/>
      <c r="G1574" s="9"/>
      <c r="H1574" s="9"/>
      <c r="I1574" s="9" t="s">
        <v>14</v>
      </c>
      <c r="J1574" s="10" t="s">
        <v>14</v>
      </c>
      <c r="K1574" s="15" t="e">
        <f>VLOOKUP(J1574,DADOS!$A$3:$B$101,2,FALSE)</f>
        <v>#N/A</v>
      </c>
      <c r="L1574" s="15"/>
      <c r="M1574" s="18" t="b">
        <v>0</v>
      </c>
      <c r="N1574" s="17" t="b">
        <v>0</v>
      </c>
      <c r="O1574" s="17" t="b">
        <v>0</v>
      </c>
      <c r="P1574" s="17" t="b">
        <v>0</v>
      </c>
      <c r="Q1574" s="17" t="b">
        <v>0</v>
      </c>
      <c r="R1574" s="17" t="b">
        <v>0</v>
      </c>
      <c r="S1574" s="17" t="b">
        <v>0</v>
      </c>
      <c r="T1574" s="17" t="b">
        <v>0</v>
      </c>
      <c r="U1574" s="17" t="b">
        <v>0</v>
      </c>
      <c r="V1574" s="17" t="b">
        <v>0</v>
      </c>
      <c r="W1574" s="11"/>
      <c r="X1574" s="12"/>
      <c r="Y1574" s="12"/>
      <c r="Z1574" s="13"/>
    </row>
    <row r="1575" spans="1:26" ht="19.95" customHeight="1" x14ac:dyDescent="0.3">
      <c r="A1575" s="6"/>
      <c r="B1575" s="7"/>
      <c r="C1575" s="8"/>
      <c r="D1575" s="8"/>
      <c r="E1575" s="8"/>
      <c r="F1575" s="9"/>
      <c r="G1575" s="9"/>
      <c r="H1575" s="9"/>
      <c r="I1575" s="9" t="s">
        <v>14</v>
      </c>
      <c r="J1575" s="10" t="s">
        <v>14</v>
      </c>
      <c r="K1575" s="15" t="e">
        <f>VLOOKUP(J1575,DADOS!$A$3:$B$101,2,FALSE)</f>
        <v>#N/A</v>
      </c>
      <c r="L1575" s="15"/>
      <c r="M1575" s="18" t="b">
        <v>0</v>
      </c>
      <c r="N1575" s="17" t="b">
        <v>0</v>
      </c>
      <c r="O1575" s="17" t="b">
        <v>0</v>
      </c>
      <c r="P1575" s="17" t="b">
        <v>0</v>
      </c>
      <c r="Q1575" s="17" t="b">
        <v>0</v>
      </c>
      <c r="R1575" s="17" t="b">
        <v>0</v>
      </c>
      <c r="S1575" s="17" t="b">
        <v>0</v>
      </c>
      <c r="T1575" s="17" t="b">
        <v>0</v>
      </c>
      <c r="U1575" s="17" t="b">
        <v>0</v>
      </c>
      <c r="V1575" s="17" t="b">
        <v>0</v>
      </c>
      <c r="W1575" s="11"/>
      <c r="X1575" s="12"/>
      <c r="Y1575" s="12"/>
      <c r="Z1575" s="13"/>
    </row>
    <row r="1576" spans="1:26" ht="19.95" customHeight="1" x14ac:dyDescent="0.3">
      <c r="A1576" s="6"/>
      <c r="B1576" s="7"/>
      <c r="C1576" s="8"/>
      <c r="D1576" s="8"/>
      <c r="E1576" s="8"/>
      <c r="F1576" s="9"/>
      <c r="G1576" s="9"/>
      <c r="H1576" s="9"/>
      <c r="I1576" s="9" t="s">
        <v>14</v>
      </c>
      <c r="J1576" s="10" t="s">
        <v>14</v>
      </c>
      <c r="K1576" s="15" t="e">
        <f>VLOOKUP(J1576,DADOS!$A$3:$B$101,2,FALSE)</f>
        <v>#N/A</v>
      </c>
      <c r="L1576" s="15"/>
      <c r="M1576" s="18" t="b">
        <v>0</v>
      </c>
      <c r="N1576" s="17" t="b">
        <v>0</v>
      </c>
      <c r="O1576" s="17" t="b">
        <v>0</v>
      </c>
      <c r="P1576" s="17" t="b">
        <v>0</v>
      </c>
      <c r="Q1576" s="17" t="b">
        <v>0</v>
      </c>
      <c r="R1576" s="17" t="b">
        <v>0</v>
      </c>
      <c r="S1576" s="17" t="b">
        <v>0</v>
      </c>
      <c r="T1576" s="17" t="b">
        <v>0</v>
      </c>
      <c r="U1576" s="17" t="b">
        <v>0</v>
      </c>
      <c r="V1576" s="17" t="b">
        <v>0</v>
      </c>
      <c r="W1576" s="11"/>
      <c r="X1576" s="12"/>
      <c r="Y1576" s="12"/>
      <c r="Z1576" s="13"/>
    </row>
    <row r="1577" spans="1:26" ht="19.95" customHeight="1" x14ac:dyDescent="0.3">
      <c r="A1577" s="6"/>
      <c r="B1577" s="7"/>
      <c r="C1577" s="8"/>
      <c r="D1577" s="8"/>
      <c r="E1577" s="8"/>
      <c r="F1577" s="9"/>
      <c r="G1577" s="9"/>
      <c r="H1577" s="9"/>
      <c r="I1577" s="9" t="s">
        <v>14</v>
      </c>
      <c r="J1577" s="10" t="s">
        <v>14</v>
      </c>
      <c r="K1577" s="15" t="e">
        <f>VLOOKUP(J1577,DADOS!$A$3:$B$101,2,FALSE)</f>
        <v>#N/A</v>
      </c>
      <c r="L1577" s="15"/>
      <c r="M1577" s="18" t="b">
        <v>0</v>
      </c>
      <c r="N1577" s="17" t="b">
        <v>0</v>
      </c>
      <c r="O1577" s="17" t="b">
        <v>0</v>
      </c>
      <c r="P1577" s="17" t="b">
        <v>0</v>
      </c>
      <c r="Q1577" s="17" t="b">
        <v>0</v>
      </c>
      <c r="R1577" s="17" t="b">
        <v>0</v>
      </c>
      <c r="S1577" s="17" t="b">
        <v>0</v>
      </c>
      <c r="T1577" s="17" t="b">
        <v>0</v>
      </c>
      <c r="U1577" s="17" t="b">
        <v>0</v>
      </c>
      <c r="V1577" s="17" t="b">
        <v>0</v>
      </c>
      <c r="W1577" s="11"/>
      <c r="X1577" s="12"/>
      <c r="Y1577" s="12"/>
      <c r="Z1577" s="13"/>
    </row>
    <row r="1578" spans="1:26" ht="19.95" customHeight="1" x14ac:dyDescent="0.3">
      <c r="A1578" s="6"/>
      <c r="B1578" s="7"/>
      <c r="C1578" s="8"/>
      <c r="D1578" s="8"/>
      <c r="E1578" s="8"/>
      <c r="F1578" s="9"/>
      <c r="G1578" s="9"/>
      <c r="H1578" s="9"/>
      <c r="I1578" s="9" t="s">
        <v>14</v>
      </c>
      <c r="J1578" s="10" t="s">
        <v>14</v>
      </c>
      <c r="K1578" s="15" t="e">
        <f>VLOOKUP(J1578,DADOS!$A$3:$B$101,2,FALSE)</f>
        <v>#N/A</v>
      </c>
      <c r="L1578" s="15"/>
      <c r="M1578" s="18" t="b">
        <v>0</v>
      </c>
      <c r="N1578" s="17" t="b">
        <v>0</v>
      </c>
      <c r="O1578" s="17" t="b">
        <v>0</v>
      </c>
      <c r="P1578" s="17" t="b">
        <v>0</v>
      </c>
      <c r="Q1578" s="17" t="b">
        <v>0</v>
      </c>
      <c r="R1578" s="17" t="b">
        <v>0</v>
      </c>
      <c r="S1578" s="17" t="b">
        <v>0</v>
      </c>
      <c r="T1578" s="17" t="b">
        <v>0</v>
      </c>
      <c r="U1578" s="17" t="b">
        <v>0</v>
      </c>
      <c r="V1578" s="17" t="b">
        <v>0</v>
      </c>
      <c r="W1578" s="11"/>
      <c r="X1578" s="12"/>
      <c r="Y1578" s="12"/>
      <c r="Z1578" s="13"/>
    </row>
    <row r="1579" spans="1:26" ht="19.95" customHeight="1" x14ac:dyDescent="0.3">
      <c r="A1579" s="6"/>
      <c r="B1579" s="7"/>
      <c r="C1579" s="8"/>
      <c r="D1579" s="8"/>
      <c r="E1579" s="8"/>
      <c r="F1579" s="9"/>
      <c r="G1579" s="9"/>
      <c r="H1579" s="9"/>
      <c r="I1579" s="9" t="s">
        <v>14</v>
      </c>
      <c r="J1579" s="10" t="s">
        <v>14</v>
      </c>
      <c r="K1579" s="15" t="e">
        <f>VLOOKUP(J1579,DADOS!$A$3:$B$101,2,FALSE)</f>
        <v>#N/A</v>
      </c>
      <c r="L1579" s="15"/>
      <c r="M1579" s="18" t="b">
        <v>0</v>
      </c>
      <c r="N1579" s="17" t="b">
        <v>0</v>
      </c>
      <c r="O1579" s="17" t="b">
        <v>0</v>
      </c>
      <c r="P1579" s="17" t="b">
        <v>0</v>
      </c>
      <c r="Q1579" s="17" t="b">
        <v>0</v>
      </c>
      <c r="R1579" s="17" t="b">
        <v>0</v>
      </c>
      <c r="S1579" s="17" t="b">
        <v>0</v>
      </c>
      <c r="T1579" s="17" t="b">
        <v>0</v>
      </c>
      <c r="U1579" s="17" t="b">
        <v>0</v>
      </c>
      <c r="V1579" s="17" t="b">
        <v>0</v>
      </c>
      <c r="W1579" s="11"/>
      <c r="X1579" s="12"/>
      <c r="Y1579" s="12"/>
      <c r="Z1579" s="13"/>
    </row>
    <row r="1580" spans="1:26" ht="19.95" customHeight="1" x14ac:dyDescent="0.3">
      <c r="A1580" s="6"/>
      <c r="B1580" s="7"/>
      <c r="C1580" s="8"/>
      <c r="D1580" s="8"/>
      <c r="E1580" s="8"/>
      <c r="F1580" s="9"/>
      <c r="G1580" s="9"/>
      <c r="H1580" s="9"/>
      <c r="I1580" s="9" t="s">
        <v>14</v>
      </c>
      <c r="J1580" s="10" t="s">
        <v>14</v>
      </c>
      <c r="K1580" s="15" t="e">
        <f>VLOOKUP(J1580,DADOS!$A$3:$B$101,2,FALSE)</f>
        <v>#N/A</v>
      </c>
      <c r="L1580" s="15"/>
      <c r="M1580" s="18" t="b">
        <v>0</v>
      </c>
      <c r="N1580" s="17" t="b">
        <v>0</v>
      </c>
      <c r="O1580" s="17" t="b">
        <v>0</v>
      </c>
      <c r="P1580" s="17" t="b">
        <v>0</v>
      </c>
      <c r="Q1580" s="17" t="b">
        <v>0</v>
      </c>
      <c r="R1580" s="17" t="b">
        <v>0</v>
      </c>
      <c r="S1580" s="17" t="b">
        <v>0</v>
      </c>
      <c r="T1580" s="17" t="b">
        <v>0</v>
      </c>
      <c r="U1580" s="17" t="b">
        <v>0</v>
      </c>
      <c r="V1580" s="17" t="b">
        <v>0</v>
      </c>
      <c r="W1580" s="11"/>
      <c r="X1580" s="12"/>
      <c r="Y1580" s="12"/>
      <c r="Z1580" s="13"/>
    </row>
    <row r="1581" spans="1:26" ht="19.95" customHeight="1" x14ac:dyDescent="0.3">
      <c r="A1581" s="6"/>
      <c r="B1581" s="7"/>
      <c r="C1581" s="8"/>
      <c r="D1581" s="8"/>
      <c r="E1581" s="8"/>
      <c r="F1581" s="9"/>
      <c r="G1581" s="9"/>
      <c r="H1581" s="9"/>
      <c r="I1581" s="9" t="s">
        <v>14</v>
      </c>
      <c r="J1581" s="10" t="s">
        <v>14</v>
      </c>
      <c r="K1581" s="15" t="e">
        <f>VLOOKUP(J1581,DADOS!$A$3:$B$101,2,FALSE)</f>
        <v>#N/A</v>
      </c>
      <c r="L1581" s="15"/>
      <c r="M1581" s="18" t="b">
        <v>0</v>
      </c>
      <c r="N1581" s="17" t="b">
        <v>0</v>
      </c>
      <c r="O1581" s="17" t="b">
        <v>0</v>
      </c>
      <c r="P1581" s="17" t="b">
        <v>0</v>
      </c>
      <c r="Q1581" s="17" t="b">
        <v>0</v>
      </c>
      <c r="R1581" s="17" t="b">
        <v>0</v>
      </c>
      <c r="S1581" s="17" t="b">
        <v>0</v>
      </c>
      <c r="T1581" s="17" t="b">
        <v>0</v>
      </c>
      <c r="U1581" s="17" t="b">
        <v>0</v>
      </c>
      <c r="V1581" s="17" t="b">
        <v>0</v>
      </c>
      <c r="W1581" s="11"/>
      <c r="X1581" s="12"/>
      <c r="Y1581" s="12"/>
      <c r="Z1581" s="13"/>
    </row>
    <row r="1582" spans="1:26" ht="19.95" customHeight="1" x14ac:dyDescent="0.3">
      <c r="A1582" s="6"/>
      <c r="B1582" s="7"/>
      <c r="C1582" s="8"/>
      <c r="D1582" s="8"/>
      <c r="E1582" s="8"/>
      <c r="F1582" s="9"/>
      <c r="G1582" s="9"/>
      <c r="H1582" s="9"/>
      <c r="I1582" s="9" t="s">
        <v>14</v>
      </c>
      <c r="J1582" s="10" t="s">
        <v>14</v>
      </c>
      <c r="K1582" s="15" t="e">
        <f>VLOOKUP(J1582,DADOS!$A$3:$B$101,2,FALSE)</f>
        <v>#N/A</v>
      </c>
      <c r="L1582" s="15"/>
      <c r="M1582" s="18" t="b">
        <v>0</v>
      </c>
      <c r="N1582" s="17" t="b">
        <v>0</v>
      </c>
      <c r="O1582" s="17" t="b">
        <v>0</v>
      </c>
      <c r="P1582" s="17" t="b">
        <v>0</v>
      </c>
      <c r="Q1582" s="17" t="b">
        <v>0</v>
      </c>
      <c r="R1582" s="17" t="b">
        <v>0</v>
      </c>
      <c r="S1582" s="17" t="b">
        <v>0</v>
      </c>
      <c r="T1582" s="17" t="b">
        <v>0</v>
      </c>
      <c r="U1582" s="17" t="b">
        <v>0</v>
      </c>
      <c r="V1582" s="17" t="b">
        <v>0</v>
      </c>
      <c r="W1582" s="11"/>
      <c r="X1582" s="12"/>
      <c r="Y1582" s="12"/>
      <c r="Z1582" s="13"/>
    </row>
    <row r="1583" spans="1:26" ht="19.95" customHeight="1" x14ac:dyDescent="0.3">
      <c r="A1583" s="6"/>
      <c r="B1583" s="7"/>
      <c r="C1583" s="8"/>
      <c r="D1583" s="8"/>
      <c r="E1583" s="8"/>
      <c r="F1583" s="9"/>
      <c r="G1583" s="9"/>
      <c r="H1583" s="9"/>
      <c r="I1583" s="9" t="s">
        <v>14</v>
      </c>
      <c r="J1583" s="10" t="s">
        <v>14</v>
      </c>
      <c r="K1583" s="15" t="e">
        <f>VLOOKUP(J1583,DADOS!$A$3:$B$101,2,FALSE)</f>
        <v>#N/A</v>
      </c>
      <c r="L1583" s="15"/>
      <c r="M1583" s="18" t="b">
        <v>0</v>
      </c>
      <c r="N1583" s="17" t="b">
        <v>0</v>
      </c>
      <c r="O1583" s="17" t="b">
        <v>0</v>
      </c>
      <c r="P1583" s="17" t="b">
        <v>0</v>
      </c>
      <c r="Q1583" s="17" t="b">
        <v>0</v>
      </c>
      <c r="R1583" s="17" t="b">
        <v>0</v>
      </c>
      <c r="S1583" s="17" t="b">
        <v>0</v>
      </c>
      <c r="T1583" s="17" t="b">
        <v>0</v>
      </c>
      <c r="U1583" s="17" t="b">
        <v>0</v>
      </c>
      <c r="V1583" s="17" t="b">
        <v>0</v>
      </c>
      <c r="W1583" s="11"/>
      <c r="X1583" s="12"/>
      <c r="Y1583" s="12"/>
      <c r="Z1583" s="13"/>
    </row>
    <row r="1584" spans="1:26" ht="19.95" customHeight="1" x14ac:dyDescent="0.3">
      <c r="A1584" s="6"/>
      <c r="B1584" s="7"/>
      <c r="C1584" s="8"/>
      <c r="D1584" s="8"/>
      <c r="E1584" s="8"/>
      <c r="F1584" s="9"/>
      <c r="G1584" s="9"/>
      <c r="H1584" s="9"/>
      <c r="I1584" s="9" t="s">
        <v>14</v>
      </c>
      <c r="J1584" s="10" t="s">
        <v>14</v>
      </c>
      <c r="K1584" s="15" t="e">
        <f>VLOOKUP(J1584,DADOS!$A$3:$B$101,2,FALSE)</f>
        <v>#N/A</v>
      </c>
      <c r="L1584" s="15"/>
      <c r="M1584" s="18" t="b">
        <v>0</v>
      </c>
      <c r="N1584" s="17" t="b">
        <v>0</v>
      </c>
      <c r="O1584" s="17" t="b">
        <v>0</v>
      </c>
      <c r="P1584" s="17" t="b">
        <v>0</v>
      </c>
      <c r="Q1584" s="17" t="b">
        <v>0</v>
      </c>
      <c r="R1584" s="17" t="b">
        <v>0</v>
      </c>
      <c r="S1584" s="17" t="b">
        <v>0</v>
      </c>
      <c r="T1584" s="17" t="b">
        <v>0</v>
      </c>
      <c r="U1584" s="17" t="b">
        <v>0</v>
      </c>
      <c r="V1584" s="17" t="b">
        <v>0</v>
      </c>
      <c r="W1584" s="11"/>
      <c r="X1584" s="12"/>
      <c r="Y1584" s="12"/>
      <c r="Z1584" s="13"/>
    </row>
    <row r="1585" spans="1:26" ht="19.95" customHeight="1" x14ac:dyDescent="0.3">
      <c r="A1585" s="6"/>
      <c r="B1585" s="7"/>
      <c r="C1585" s="8"/>
      <c r="D1585" s="8"/>
      <c r="E1585" s="8"/>
      <c r="F1585" s="9"/>
      <c r="G1585" s="9"/>
      <c r="H1585" s="9"/>
      <c r="I1585" s="9" t="s">
        <v>14</v>
      </c>
      <c r="J1585" s="10" t="s">
        <v>14</v>
      </c>
      <c r="K1585" s="15" t="e">
        <f>VLOOKUP(J1585,DADOS!$A$3:$B$101,2,FALSE)</f>
        <v>#N/A</v>
      </c>
      <c r="L1585" s="15"/>
      <c r="M1585" s="18" t="b">
        <v>0</v>
      </c>
      <c r="N1585" s="17" t="b">
        <v>0</v>
      </c>
      <c r="O1585" s="17" t="b">
        <v>0</v>
      </c>
      <c r="P1585" s="17" t="b">
        <v>0</v>
      </c>
      <c r="Q1585" s="17" t="b">
        <v>0</v>
      </c>
      <c r="R1585" s="17" t="b">
        <v>0</v>
      </c>
      <c r="S1585" s="17" t="b">
        <v>0</v>
      </c>
      <c r="T1585" s="17" t="b">
        <v>0</v>
      </c>
      <c r="U1585" s="17" t="b">
        <v>0</v>
      </c>
      <c r="V1585" s="17" t="b">
        <v>0</v>
      </c>
      <c r="W1585" s="11"/>
      <c r="X1585" s="12"/>
      <c r="Y1585" s="12"/>
      <c r="Z1585" s="13"/>
    </row>
    <row r="1586" spans="1:26" ht="19.95" customHeight="1" x14ac:dyDescent="0.3">
      <c r="A1586" s="6"/>
      <c r="B1586" s="7"/>
      <c r="C1586" s="8"/>
      <c r="D1586" s="8"/>
      <c r="E1586" s="8"/>
      <c r="F1586" s="9"/>
      <c r="G1586" s="9"/>
      <c r="H1586" s="9"/>
      <c r="I1586" s="9" t="s">
        <v>14</v>
      </c>
      <c r="J1586" s="10" t="s">
        <v>14</v>
      </c>
      <c r="K1586" s="15" t="e">
        <f>VLOOKUP(J1586,DADOS!$A$3:$B$101,2,FALSE)</f>
        <v>#N/A</v>
      </c>
      <c r="L1586" s="15"/>
      <c r="M1586" s="18" t="b">
        <v>0</v>
      </c>
      <c r="N1586" s="17" t="b">
        <v>0</v>
      </c>
      <c r="O1586" s="17" t="b">
        <v>0</v>
      </c>
      <c r="P1586" s="17" t="b">
        <v>0</v>
      </c>
      <c r="Q1586" s="17" t="b">
        <v>0</v>
      </c>
      <c r="R1586" s="17" t="b">
        <v>0</v>
      </c>
      <c r="S1586" s="17" t="b">
        <v>0</v>
      </c>
      <c r="T1586" s="17" t="b">
        <v>0</v>
      </c>
      <c r="U1586" s="17" t="b">
        <v>0</v>
      </c>
      <c r="V1586" s="17" t="b">
        <v>0</v>
      </c>
      <c r="W1586" s="11"/>
      <c r="X1586" s="12"/>
      <c r="Y1586" s="12"/>
      <c r="Z1586" s="13"/>
    </row>
    <row r="1587" spans="1:26" ht="19.95" customHeight="1" x14ac:dyDescent="0.3">
      <c r="A1587" s="6"/>
      <c r="B1587" s="7"/>
      <c r="C1587" s="8"/>
      <c r="D1587" s="8"/>
      <c r="E1587" s="8"/>
      <c r="F1587" s="9"/>
      <c r="G1587" s="9"/>
      <c r="H1587" s="9"/>
      <c r="I1587" s="9" t="s">
        <v>14</v>
      </c>
      <c r="J1587" s="10" t="s">
        <v>14</v>
      </c>
      <c r="K1587" s="15" t="e">
        <f>VLOOKUP(J1587,DADOS!$A$3:$B$101,2,FALSE)</f>
        <v>#N/A</v>
      </c>
      <c r="L1587" s="15"/>
      <c r="M1587" s="18" t="b">
        <v>0</v>
      </c>
      <c r="N1587" s="17" t="b">
        <v>0</v>
      </c>
      <c r="O1587" s="17" t="b">
        <v>0</v>
      </c>
      <c r="P1587" s="17" t="b">
        <v>0</v>
      </c>
      <c r="Q1587" s="17" t="b">
        <v>0</v>
      </c>
      <c r="R1587" s="17" t="b">
        <v>0</v>
      </c>
      <c r="S1587" s="17" t="b">
        <v>0</v>
      </c>
      <c r="T1587" s="17" t="b">
        <v>0</v>
      </c>
      <c r="U1587" s="17" t="b">
        <v>0</v>
      </c>
      <c r="V1587" s="17" t="b">
        <v>0</v>
      </c>
      <c r="W1587" s="11"/>
      <c r="X1587" s="12"/>
      <c r="Y1587" s="12"/>
      <c r="Z1587" s="13"/>
    </row>
    <row r="1588" spans="1:26" ht="19.95" customHeight="1" x14ac:dyDescent="0.3">
      <c r="A1588" s="6"/>
      <c r="B1588" s="7"/>
      <c r="C1588" s="8"/>
      <c r="D1588" s="8"/>
      <c r="E1588" s="8"/>
      <c r="F1588" s="9"/>
      <c r="G1588" s="9"/>
      <c r="H1588" s="9"/>
      <c r="I1588" s="9" t="s">
        <v>14</v>
      </c>
      <c r="J1588" s="10" t="s">
        <v>14</v>
      </c>
      <c r="K1588" s="15" t="e">
        <f>VLOOKUP(J1588,DADOS!$A$3:$B$101,2,FALSE)</f>
        <v>#N/A</v>
      </c>
      <c r="L1588" s="15"/>
      <c r="M1588" s="18" t="b">
        <v>0</v>
      </c>
      <c r="N1588" s="17" t="b">
        <v>0</v>
      </c>
      <c r="O1588" s="17" t="b">
        <v>0</v>
      </c>
      <c r="P1588" s="17" t="b">
        <v>0</v>
      </c>
      <c r="Q1588" s="17" t="b">
        <v>0</v>
      </c>
      <c r="R1588" s="17" t="b">
        <v>0</v>
      </c>
      <c r="S1588" s="17" t="b">
        <v>0</v>
      </c>
      <c r="T1588" s="17" t="b">
        <v>0</v>
      </c>
      <c r="U1588" s="17" t="b">
        <v>0</v>
      </c>
      <c r="V1588" s="17" t="b">
        <v>0</v>
      </c>
      <c r="W1588" s="11"/>
      <c r="X1588" s="12"/>
      <c r="Y1588" s="12"/>
      <c r="Z1588" s="13"/>
    </row>
    <row r="1589" spans="1:26" ht="19.95" customHeight="1" x14ac:dyDescent="0.3">
      <c r="A1589" s="6"/>
      <c r="B1589" s="7"/>
      <c r="C1589" s="8"/>
      <c r="D1589" s="8"/>
      <c r="E1589" s="8"/>
      <c r="F1589" s="9"/>
      <c r="G1589" s="9"/>
      <c r="H1589" s="9"/>
      <c r="I1589" s="9" t="s">
        <v>14</v>
      </c>
      <c r="J1589" s="10" t="s">
        <v>14</v>
      </c>
      <c r="K1589" s="15" t="e">
        <f>VLOOKUP(J1589,DADOS!$A$3:$B$101,2,FALSE)</f>
        <v>#N/A</v>
      </c>
      <c r="L1589" s="15"/>
      <c r="M1589" s="18" t="b">
        <v>0</v>
      </c>
      <c r="N1589" s="17" t="b">
        <v>0</v>
      </c>
      <c r="O1589" s="17" t="b">
        <v>0</v>
      </c>
      <c r="P1589" s="17" t="b">
        <v>0</v>
      </c>
      <c r="Q1589" s="17" t="b">
        <v>0</v>
      </c>
      <c r="R1589" s="17" t="b">
        <v>0</v>
      </c>
      <c r="S1589" s="17" t="b">
        <v>0</v>
      </c>
      <c r="T1589" s="17" t="b">
        <v>0</v>
      </c>
      <c r="U1589" s="17" t="b">
        <v>0</v>
      </c>
      <c r="V1589" s="17" t="b">
        <v>0</v>
      </c>
      <c r="W1589" s="11"/>
      <c r="X1589" s="12"/>
      <c r="Y1589" s="12"/>
      <c r="Z1589" s="13"/>
    </row>
    <row r="1590" spans="1:26" ht="19.95" customHeight="1" x14ac:dyDescent="0.3">
      <c r="A1590" s="6"/>
      <c r="B1590" s="7"/>
      <c r="C1590" s="8"/>
      <c r="D1590" s="8"/>
      <c r="E1590" s="8"/>
      <c r="F1590" s="9"/>
      <c r="G1590" s="9"/>
      <c r="H1590" s="9"/>
      <c r="I1590" s="9" t="s">
        <v>14</v>
      </c>
      <c r="J1590" s="10" t="s">
        <v>14</v>
      </c>
      <c r="K1590" s="15" t="e">
        <f>VLOOKUP(J1590,DADOS!$A$3:$B$101,2,FALSE)</f>
        <v>#N/A</v>
      </c>
      <c r="L1590" s="15"/>
      <c r="M1590" s="18" t="b">
        <v>0</v>
      </c>
      <c r="N1590" s="17" t="b">
        <v>0</v>
      </c>
      <c r="O1590" s="17" t="b">
        <v>0</v>
      </c>
      <c r="P1590" s="17" t="b">
        <v>0</v>
      </c>
      <c r="Q1590" s="17" t="b">
        <v>0</v>
      </c>
      <c r="R1590" s="17" t="b">
        <v>0</v>
      </c>
      <c r="S1590" s="17" t="b">
        <v>0</v>
      </c>
      <c r="T1590" s="17" t="b">
        <v>0</v>
      </c>
      <c r="U1590" s="17" t="b">
        <v>0</v>
      </c>
      <c r="V1590" s="17" t="b">
        <v>0</v>
      </c>
      <c r="W1590" s="11"/>
      <c r="X1590" s="12"/>
      <c r="Y1590" s="12"/>
      <c r="Z1590" s="13"/>
    </row>
    <row r="1591" spans="1:26" ht="19.95" customHeight="1" x14ac:dyDescent="0.3">
      <c r="A1591" s="6"/>
      <c r="B1591" s="7"/>
      <c r="C1591" s="8"/>
      <c r="D1591" s="8"/>
      <c r="E1591" s="8"/>
      <c r="F1591" s="9"/>
      <c r="G1591" s="9"/>
      <c r="H1591" s="9"/>
      <c r="I1591" s="9" t="s">
        <v>14</v>
      </c>
      <c r="J1591" s="10" t="s">
        <v>14</v>
      </c>
      <c r="K1591" s="15" t="e">
        <f>VLOOKUP(J1591,DADOS!$A$3:$B$101,2,FALSE)</f>
        <v>#N/A</v>
      </c>
      <c r="L1591" s="15"/>
      <c r="M1591" s="18" t="b">
        <v>0</v>
      </c>
      <c r="N1591" s="17" t="b">
        <v>0</v>
      </c>
      <c r="O1591" s="17" t="b">
        <v>0</v>
      </c>
      <c r="P1591" s="17" t="b">
        <v>0</v>
      </c>
      <c r="Q1591" s="17" t="b">
        <v>0</v>
      </c>
      <c r="R1591" s="17" t="b">
        <v>0</v>
      </c>
      <c r="S1591" s="17" t="b">
        <v>0</v>
      </c>
      <c r="T1591" s="17" t="b">
        <v>0</v>
      </c>
      <c r="U1591" s="17" t="b">
        <v>0</v>
      </c>
      <c r="V1591" s="17" t="b">
        <v>0</v>
      </c>
      <c r="W1591" s="11"/>
      <c r="X1591" s="12"/>
      <c r="Y1591" s="12"/>
      <c r="Z1591" s="13"/>
    </row>
    <row r="1592" spans="1:26" ht="19.95" customHeight="1" x14ac:dyDescent="0.3">
      <c r="A1592" s="6"/>
      <c r="B1592" s="7"/>
      <c r="C1592" s="8"/>
      <c r="D1592" s="8"/>
      <c r="E1592" s="8"/>
      <c r="F1592" s="9"/>
      <c r="G1592" s="9"/>
      <c r="H1592" s="9"/>
      <c r="I1592" s="9" t="s">
        <v>14</v>
      </c>
      <c r="J1592" s="10" t="s">
        <v>14</v>
      </c>
      <c r="K1592" s="15" t="e">
        <f>VLOOKUP(J1592,DADOS!$A$3:$B$101,2,FALSE)</f>
        <v>#N/A</v>
      </c>
      <c r="L1592" s="15"/>
      <c r="M1592" s="18" t="b">
        <v>0</v>
      </c>
      <c r="N1592" s="17" t="b">
        <v>0</v>
      </c>
      <c r="O1592" s="17" t="b">
        <v>0</v>
      </c>
      <c r="P1592" s="17" t="b">
        <v>0</v>
      </c>
      <c r="Q1592" s="17" t="b">
        <v>0</v>
      </c>
      <c r="R1592" s="17" t="b">
        <v>0</v>
      </c>
      <c r="S1592" s="17" t="b">
        <v>0</v>
      </c>
      <c r="T1592" s="17" t="b">
        <v>0</v>
      </c>
      <c r="U1592" s="17" t="b">
        <v>0</v>
      </c>
      <c r="V1592" s="17" t="b">
        <v>0</v>
      </c>
      <c r="W1592" s="11"/>
      <c r="X1592" s="12"/>
      <c r="Y1592" s="12"/>
      <c r="Z1592" s="13"/>
    </row>
    <row r="1593" spans="1:26" ht="19.95" customHeight="1" x14ac:dyDescent="0.3">
      <c r="A1593" s="6"/>
      <c r="B1593" s="7"/>
      <c r="C1593" s="8"/>
      <c r="D1593" s="8"/>
      <c r="E1593" s="8"/>
      <c r="F1593" s="9"/>
      <c r="G1593" s="9"/>
      <c r="H1593" s="9"/>
      <c r="I1593" s="9" t="s">
        <v>14</v>
      </c>
      <c r="J1593" s="10" t="s">
        <v>14</v>
      </c>
      <c r="K1593" s="15" t="e">
        <f>VLOOKUP(J1593,DADOS!$A$3:$B$101,2,FALSE)</f>
        <v>#N/A</v>
      </c>
      <c r="L1593" s="15"/>
      <c r="M1593" s="18" t="b">
        <v>0</v>
      </c>
      <c r="N1593" s="17" t="b">
        <v>0</v>
      </c>
      <c r="O1593" s="17" t="b">
        <v>0</v>
      </c>
      <c r="P1593" s="17" t="b">
        <v>0</v>
      </c>
      <c r="Q1593" s="17" t="b">
        <v>0</v>
      </c>
      <c r="R1593" s="17" t="b">
        <v>0</v>
      </c>
      <c r="S1593" s="17" t="b">
        <v>0</v>
      </c>
      <c r="T1593" s="17" t="b">
        <v>0</v>
      </c>
      <c r="U1593" s="17" t="b">
        <v>0</v>
      </c>
      <c r="V1593" s="17" t="b">
        <v>0</v>
      </c>
      <c r="W1593" s="11"/>
      <c r="X1593" s="12"/>
      <c r="Y1593" s="12"/>
      <c r="Z1593" s="13"/>
    </row>
    <row r="1594" spans="1:26" ht="19.95" customHeight="1" x14ac:dyDescent="0.3">
      <c r="A1594" s="6"/>
      <c r="B1594" s="7"/>
      <c r="C1594" s="8"/>
      <c r="D1594" s="8"/>
      <c r="E1594" s="8"/>
      <c r="F1594" s="9"/>
      <c r="G1594" s="9"/>
      <c r="H1594" s="9"/>
      <c r="I1594" s="9" t="s">
        <v>14</v>
      </c>
      <c r="J1594" s="10" t="s">
        <v>14</v>
      </c>
      <c r="K1594" s="15" t="e">
        <f>VLOOKUP(J1594,DADOS!$A$3:$B$101,2,FALSE)</f>
        <v>#N/A</v>
      </c>
      <c r="L1594" s="15"/>
      <c r="M1594" s="18" t="b">
        <v>0</v>
      </c>
      <c r="N1594" s="17" t="b">
        <v>0</v>
      </c>
      <c r="O1594" s="17" t="b">
        <v>0</v>
      </c>
      <c r="P1594" s="17" t="b">
        <v>0</v>
      </c>
      <c r="Q1594" s="17" t="b">
        <v>0</v>
      </c>
      <c r="R1594" s="17" t="b">
        <v>0</v>
      </c>
      <c r="S1594" s="17" t="b">
        <v>0</v>
      </c>
      <c r="T1594" s="17" t="b">
        <v>0</v>
      </c>
      <c r="U1594" s="17" t="b">
        <v>0</v>
      </c>
      <c r="V1594" s="17" t="b">
        <v>0</v>
      </c>
      <c r="W1594" s="11"/>
      <c r="X1594" s="12"/>
      <c r="Y1594" s="12"/>
      <c r="Z1594" s="13"/>
    </row>
    <row r="1595" spans="1:26" ht="19.95" customHeight="1" x14ac:dyDescent="0.3">
      <c r="A1595" s="6"/>
      <c r="B1595" s="7"/>
      <c r="C1595" s="8"/>
      <c r="D1595" s="8"/>
      <c r="E1595" s="8"/>
      <c r="F1595" s="9"/>
      <c r="G1595" s="9"/>
      <c r="H1595" s="9"/>
      <c r="I1595" s="9" t="s">
        <v>14</v>
      </c>
      <c r="J1595" s="10" t="s">
        <v>14</v>
      </c>
      <c r="K1595" s="15" t="e">
        <f>VLOOKUP(J1595,DADOS!$A$3:$B$101,2,FALSE)</f>
        <v>#N/A</v>
      </c>
      <c r="L1595" s="15"/>
      <c r="M1595" s="18" t="b">
        <v>0</v>
      </c>
      <c r="N1595" s="17" t="b">
        <v>0</v>
      </c>
      <c r="O1595" s="17" t="b">
        <v>0</v>
      </c>
      <c r="P1595" s="17" t="b">
        <v>0</v>
      </c>
      <c r="Q1595" s="17" t="b">
        <v>0</v>
      </c>
      <c r="R1595" s="17" t="b">
        <v>0</v>
      </c>
      <c r="S1595" s="17" t="b">
        <v>0</v>
      </c>
      <c r="T1595" s="17" t="b">
        <v>0</v>
      </c>
      <c r="U1595" s="17" t="b">
        <v>0</v>
      </c>
      <c r="V1595" s="17" t="b">
        <v>0</v>
      </c>
      <c r="W1595" s="11"/>
      <c r="X1595" s="12"/>
      <c r="Y1595" s="12"/>
      <c r="Z1595" s="13"/>
    </row>
    <row r="1596" spans="1:26" ht="19.95" customHeight="1" x14ac:dyDescent="0.3">
      <c r="A1596" s="6"/>
      <c r="B1596" s="7"/>
      <c r="C1596" s="8"/>
      <c r="D1596" s="8"/>
      <c r="E1596" s="8"/>
      <c r="F1596" s="9"/>
      <c r="G1596" s="9"/>
      <c r="H1596" s="9"/>
      <c r="I1596" s="9" t="s">
        <v>14</v>
      </c>
      <c r="J1596" s="10" t="s">
        <v>14</v>
      </c>
      <c r="K1596" s="15" t="e">
        <f>VLOOKUP(J1596,DADOS!$A$3:$B$101,2,FALSE)</f>
        <v>#N/A</v>
      </c>
      <c r="L1596" s="15"/>
      <c r="M1596" s="18" t="b">
        <v>0</v>
      </c>
      <c r="N1596" s="17" t="b">
        <v>0</v>
      </c>
      <c r="O1596" s="17" t="b">
        <v>0</v>
      </c>
      <c r="P1596" s="17" t="b">
        <v>0</v>
      </c>
      <c r="Q1596" s="17" t="b">
        <v>0</v>
      </c>
      <c r="R1596" s="17" t="b">
        <v>0</v>
      </c>
      <c r="S1596" s="17" t="b">
        <v>0</v>
      </c>
      <c r="T1596" s="17" t="b">
        <v>0</v>
      </c>
      <c r="U1596" s="17" t="b">
        <v>0</v>
      </c>
      <c r="V1596" s="17" t="b">
        <v>0</v>
      </c>
      <c r="W1596" s="11"/>
      <c r="X1596" s="12"/>
      <c r="Y1596" s="12"/>
      <c r="Z1596" s="13"/>
    </row>
    <row r="1597" spans="1:26" ht="19.95" customHeight="1" x14ac:dyDescent="0.3">
      <c r="A1597" s="6"/>
      <c r="B1597" s="7"/>
      <c r="C1597" s="8"/>
      <c r="D1597" s="8"/>
      <c r="E1597" s="8"/>
      <c r="F1597" s="9"/>
      <c r="G1597" s="9"/>
      <c r="H1597" s="9"/>
      <c r="I1597" s="9" t="s">
        <v>14</v>
      </c>
      <c r="J1597" s="10" t="s">
        <v>14</v>
      </c>
      <c r="K1597" s="15" t="e">
        <f>VLOOKUP(J1597,DADOS!$A$3:$B$101,2,FALSE)</f>
        <v>#N/A</v>
      </c>
      <c r="L1597" s="15"/>
      <c r="M1597" s="18" t="b">
        <v>0</v>
      </c>
      <c r="N1597" s="17" t="b">
        <v>0</v>
      </c>
      <c r="O1597" s="17" t="b">
        <v>0</v>
      </c>
      <c r="P1597" s="17" t="b">
        <v>0</v>
      </c>
      <c r="Q1597" s="17" t="b">
        <v>0</v>
      </c>
      <c r="R1597" s="17" t="b">
        <v>0</v>
      </c>
      <c r="S1597" s="17" t="b">
        <v>0</v>
      </c>
      <c r="T1597" s="17" t="b">
        <v>0</v>
      </c>
      <c r="U1597" s="17" t="b">
        <v>0</v>
      </c>
      <c r="V1597" s="17" t="b">
        <v>0</v>
      </c>
      <c r="W1597" s="11"/>
      <c r="X1597" s="12"/>
      <c r="Y1597" s="12"/>
      <c r="Z1597" s="13"/>
    </row>
    <row r="1598" spans="1:26" ht="19.95" customHeight="1" x14ac:dyDescent="0.3">
      <c r="A1598" s="6"/>
      <c r="B1598" s="7"/>
      <c r="C1598" s="8"/>
      <c r="D1598" s="8"/>
      <c r="E1598" s="8"/>
      <c r="F1598" s="9"/>
      <c r="G1598" s="9"/>
      <c r="H1598" s="9"/>
      <c r="I1598" s="9" t="s">
        <v>14</v>
      </c>
      <c r="J1598" s="10" t="s">
        <v>14</v>
      </c>
      <c r="K1598" s="15" t="e">
        <f>VLOOKUP(J1598,DADOS!$A$3:$B$101,2,FALSE)</f>
        <v>#N/A</v>
      </c>
      <c r="L1598" s="15"/>
      <c r="M1598" s="18" t="b">
        <v>0</v>
      </c>
      <c r="N1598" s="17" t="b">
        <v>0</v>
      </c>
      <c r="O1598" s="17" t="b">
        <v>0</v>
      </c>
      <c r="P1598" s="17" t="b">
        <v>0</v>
      </c>
      <c r="Q1598" s="17" t="b">
        <v>0</v>
      </c>
      <c r="R1598" s="17" t="b">
        <v>0</v>
      </c>
      <c r="S1598" s="17" t="b">
        <v>0</v>
      </c>
      <c r="T1598" s="17" t="b">
        <v>0</v>
      </c>
      <c r="U1598" s="17" t="b">
        <v>0</v>
      </c>
      <c r="V1598" s="17" t="b">
        <v>0</v>
      </c>
      <c r="W1598" s="11"/>
      <c r="X1598" s="12"/>
      <c r="Y1598" s="12"/>
      <c r="Z1598" s="13"/>
    </row>
    <row r="1599" spans="1:26" ht="19.95" customHeight="1" x14ac:dyDescent="0.3">
      <c r="A1599" s="6"/>
      <c r="B1599" s="7"/>
      <c r="C1599" s="8"/>
      <c r="D1599" s="8"/>
      <c r="E1599" s="8"/>
      <c r="F1599" s="9"/>
      <c r="G1599" s="9"/>
      <c r="H1599" s="9"/>
      <c r="I1599" s="9" t="s">
        <v>14</v>
      </c>
      <c r="J1599" s="10" t="s">
        <v>14</v>
      </c>
      <c r="K1599" s="15" t="e">
        <f>VLOOKUP(J1599,DADOS!$A$3:$B$101,2,FALSE)</f>
        <v>#N/A</v>
      </c>
      <c r="L1599" s="15"/>
      <c r="M1599" s="18" t="b">
        <v>0</v>
      </c>
      <c r="N1599" s="17" t="b">
        <v>0</v>
      </c>
      <c r="O1599" s="17" t="b">
        <v>0</v>
      </c>
      <c r="P1599" s="17" t="b">
        <v>0</v>
      </c>
      <c r="Q1599" s="17" t="b">
        <v>0</v>
      </c>
      <c r="R1599" s="17" t="b">
        <v>0</v>
      </c>
      <c r="S1599" s="17" t="b">
        <v>0</v>
      </c>
      <c r="T1599" s="17" t="b">
        <v>0</v>
      </c>
      <c r="U1599" s="17" t="b">
        <v>0</v>
      </c>
      <c r="V1599" s="17" t="b">
        <v>0</v>
      </c>
      <c r="W1599" s="11"/>
      <c r="X1599" s="12"/>
      <c r="Y1599" s="12"/>
      <c r="Z1599" s="13"/>
    </row>
    <row r="1600" spans="1:26" ht="19.95" customHeight="1" x14ac:dyDescent="0.3">
      <c r="A1600" s="6"/>
      <c r="B1600" s="7"/>
      <c r="C1600" s="8"/>
      <c r="D1600" s="8"/>
      <c r="E1600" s="8"/>
      <c r="F1600" s="9"/>
      <c r="G1600" s="9"/>
      <c r="H1600" s="9"/>
      <c r="I1600" s="9" t="s">
        <v>14</v>
      </c>
      <c r="J1600" s="10" t="s">
        <v>14</v>
      </c>
      <c r="K1600" s="15" t="e">
        <f>VLOOKUP(J1600,DADOS!$A$3:$B$101,2,FALSE)</f>
        <v>#N/A</v>
      </c>
      <c r="L1600" s="15"/>
      <c r="M1600" s="18" t="b">
        <v>0</v>
      </c>
      <c r="N1600" s="17" t="b">
        <v>0</v>
      </c>
      <c r="O1600" s="17" t="b">
        <v>0</v>
      </c>
      <c r="P1600" s="17" t="b">
        <v>0</v>
      </c>
      <c r="Q1600" s="17" t="b">
        <v>0</v>
      </c>
      <c r="R1600" s="17" t="b">
        <v>0</v>
      </c>
      <c r="S1600" s="17" t="b">
        <v>0</v>
      </c>
      <c r="T1600" s="17" t="b">
        <v>0</v>
      </c>
      <c r="U1600" s="17" t="b">
        <v>0</v>
      </c>
      <c r="V1600" s="17" t="b">
        <v>0</v>
      </c>
      <c r="W1600" s="11"/>
      <c r="X1600" s="12"/>
      <c r="Y1600" s="12"/>
      <c r="Z1600" s="13"/>
    </row>
    <row r="1601" spans="1:26" ht="19.95" customHeight="1" x14ac:dyDescent="0.3">
      <c r="A1601" s="6"/>
      <c r="B1601" s="7"/>
      <c r="C1601" s="8"/>
      <c r="D1601" s="8"/>
      <c r="E1601" s="8"/>
      <c r="F1601" s="9"/>
      <c r="G1601" s="9"/>
      <c r="H1601" s="9"/>
      <c r="I1601" s="9" t="s">
        <v>14</v>
      </c>
      <c r="J1601" s="10" t="s">
        <v>14</v>
      </c>
      <c r="K1601" s="15" t="e">
        <f>VLOOKUP(J1601,DADOS!$A$3:$B$101,2,FALSE)</f>
        <v>#N/A</v>
      </c>
      <c r="L1601" s="15"/>
      <c r="M1601" s="18" t="b">
        <v>0</v>
      </c>
      <c r="N1601" s="17" t="b">
        <v>0</v>
      </c>
      <c r="O1601" s="17" t="b">
        <v>0</v>
      </c>
      <c r="P1601" s="17" t="b">
        <v>0</v>
      </c>
      <c r="Q1601" s="17" t="b">
        <v>0</v>
      </c>
      <c r="R1601" s="17" t="b">
        <v>0</v>
      </c>
      <c r="S1601" s="17" t="b">
        <v>0</v>
      </c>
      <c r="T1601" s="17" t="b">
        <v>0</v>
      </c>
      <c r="U1601" s="17" t="b">
        <v>0</v>
      </c>
      <c r="V1601" s="17" t="b">
        <v>0</v>
      </c>
      <c r="W1601" s="11"/>
      <c r="X1601" s="12"/>
      <c r="Y1601" s="12"/>
      <c r="Z1601" s="13"/>
    </row>
    <row r="1602" spans="1:26" ht="19.95" customHeight="1" x14ac:dyDescent="0.3">
      <c r="A1602" s="6"/>
      <c r="B1602" s="7"/>
      <c r="C1602" s="8"/>
      <c r="D1602" s="8"/>
      <c r="E1602" s="8"/>
      <c r="F1602" s="9"/>
      <c r="G1602" s="9"/>
      <c r="H1602" s="9"/>
      <c r="I1602" s="9" t="s">
        <v>14</v>
      </c>
      <c r="J1602" s="10" t="s">
        <v>14</v>
      </c>
      <c r="K1602" s="15" t="e">
        <f>VLOOKUP(J1602,DADOS!$A$3:$B$101,2,FALSE)</f>
        <v>#N/A</v>
      </c>
      <c r="L1602" s="15"/>
      <c r="M1602" s="18" t="b">
        <v>0</v>
      </c>
      <c r="N1602" s="17" t="b">
        <v>0</v>
      </c>
      <c r="O1602" s="17" t="b">
        <v>0</v>
      </c>
      <c r="P1602" s="17" t="b">
        <v>0</v>
      </c>
      <c r="Q1602" s="17" t="b">
        <v>0</v>
      </c>
      <c r="R1602" s="17" t="b">
        <v>0</v>
      </c>
      <c r="S1602" s="17" t="b">
        <v>0</v>
      </c>
      <c r="T1602" s="17" t="b">
        <v>0</v>
      </c>
      <c r="U1602" s="17" t="b">
        <v>0</v>
      </c>
      <c r="V1602" s="17" t="b">
        <v>0</v>
      </c>
      <c r="W1602" s="11"/>
      <c r="X1602" s="12"/>
      <c r="Y1602" s="12"/>
      <c r="Z1602" s="13"/>
    </row>
    <row r="1603" spans="1:26" ht="19.95" customHeight="1" x14ac:dyDescent="0.3">
      <c r="A1603" s="6"/>
      <c r="B1603" s="7"/>
      <c r="C1603" s="8"/>
      <c r="D1603" s="8"/>
      <c r="E1603" s="8"/>
      <c r="F1603" s="9"/>
      <c r="G1603" s="9"/>
      <c r="H1603" s="9"/>
      <c r="I1603" s="9" t="s">
        <v>14</v>
      </c>
      <c r="J1603" s="10" t="s">
        <v>14</v>
      </c>
      <c r="K1603" s="15" t="e">
        <f>VLOOKUP(J1603,DADOS!$A$3:$B$101,2,FALSE)</f>
        <v>#N/A</v>
      </c>
      <c r="L1603" s="15"/>
      <c r="M1603" s="18" t="b">
        <v>0</v>
      </c>
      <c r="N1603" s="17" t="b">
        <v>0</v>
      </c>
      <c r="O1603" s="17" t="b">
        <v>0</v>
      </c>
      <c r="P1603" s="17" t="b">
        <v>0</v>
      </c>
      <c r="Q1603" s="17" t="b">
        <v>0</v>
      </c>
      <c r="R1603" s="17" t="b">
        <v>0</v>
      </c>
      <c r="S1603" s="17" t="b">
        <v>0</v>
      </c>
      <c r="T1603" s="17" t="b">
        <v>0</v>
      </c>
      <c r="U1603" s="17" t="b">
        <v>0</v>
      </c>
      <c r="V1603" s="17" t="b">
        <v>0</v>
      </c>
      <c r="W1603" s="11"/>
      <c r="X1603" s="12"/>
      <c r="Y1603" s="12"/>
      <c r="Z1603" s="13"/>
    </row>
    <row r="1604" spans="1:26" ht="19.95" customHeight="1" x14ac:dyDescent="0.3">
      <c r="A1604" s="6"/>
      <c r="B1604" s="7"/>
      <c r="C1604" s="8"/>
      <c r="D1604" s="8"/>
      <c r="E1604" s="8"/>
      <c r="F1604" s="9"/>
      <c r="G1604" s="9"/>
      <c r="H1604" s="9"/>
      <c r="I1604" s="9" t="s">
        <v>14</v>
      </c>
      <c r="J1604" s="10" t="s">
        <v>14</v>
      </c>
      <c r="K1604" s="15" t="e">
        <f>VLOOKUP(J1604,DADOS!$A$3:$B$101,2,FALSE)</f>
        <v>#N/A</v>
      </c>
      <c r="L1604" s="15"/>
      <c r="M1604" s="18" t="b">
        <v>0</v>
      </c>
      <c r="N1604" s="17" t="b">
        <v>0</v>
      </c>
      <c r="O1604" s="17" t="b">
        <v>0</v>
      </c>
      <c r="P1604" s="17" t="b">
        <v>0</v>
      </c>
      <c r="Q1604" s="17" t="b">
        <v>0</v>
      </c>
      <c r="R1604" s="17" t="b">
        <v>0</v>
      </c>
      <c r="S1604" s="17" t="b">
        <v>0</v>
      </c>
      <c r="T1604" s="17" t="b">
        <v>0</v>
      </c>
      <c r="U1604" s="17" t="b">
        <v>0</v>
      </c>
      <c r="V1604" s="17" t="b">
        <v>0</v>
      </c>
      <c r="W1604" s="11"/>
      <c r="X1604" s="12"/>
      <c r="Y1604" s="12"/>
      <c r="Z1604" s="13"/>
    </row>
    <row r="1605" spans="1:26" ht="19.95" customHeight="1" x14ac:dyDescent="0.3">
      <c r="A1605" s="6"/>
      <c r="B1605" s="7"/>
      <c r="C1605" s="8"/>
      <c r="D1605" s="8"/>
      <c r="E1605" s="8"/>
      <c r="F1605" s="9"/>
      <c r="G1605" s="9"/>
      <c r="H1605" s="9"/>
      <c r="I1605" s="9" t="s">
        <v>14</v>
      </c>
      <c r="J1605" s="10" t="s">
        <v>14</v>
      </c>
      <c r="K1605" s="15" t="e">
        <f>VLOOKUP(J1605,DADOS!$A$3:$B$101,2,FALSE)</f>
        <v>#N/A</v>
      </c>
      <c r="L1605" s="15"/>
      <c r="M1605" s="18" t="b">
        <v>0</v>
      </c>
      <c r="N1605" s="17" t="b">
        <v>0</v>
      </c>
      <c r="O1605" s="17" t="b">
        <v>0</v>
      </c>
      <c r="P1605" s="17" t="b">
        <v>0</v>
      </c>
      <c r="Q1605" s="17" t="b">
        <v>0</v>
      </c>
      <c r="R1605" s="17" t="b">
        <v>0</v>
      </c>
      <c r="S1605" s="17" t="b">
        <v>0</v>
      </c>
      <c r="T1605" s="17" t="b">
        <v>0</v>
      </c>
      <c r="U1605" s="17" t="b">
        <v>0</v>
      </c>
      <c r="V1605" s="17" t="b">
        <v>0</v>
      </c>
      <c r="W1605" s="11"/>
      <c r="X1605" s="12"/>
      <c r="Y1605" s="12"/>
      <c r="Z1605" s="13"/>
    </row>
    <row r="1606" spans="1:26" ht="19.95" customHeight="1" x14ac:dyDescent="0.3">
      <c r="A1606" s="6"/>
      <c r="B1606" s="7"/>
      <c r="C1606" s="8"/>
      <c r="D1606" s="8"/>
      <c r="E1606" s="8"/>
      <c r="F1606" s="9"/>
      <c r="G1606" s="9"/>
      <c r="H1606" s="9"/>
      <c r="I1606" s="9" t="s">
        <v>14</v>
      </c>
      <c r="J1606" s="10" t="s">
        <v>14</v>
      </c>
      <c r="K1606" s="15" t="e">
        <f>VLOOKUP(J1606,DADOS!$A$3:$B$101,2,FALSE)</f>
        <v>#N/A</v>
      </c>
      <c r="L1606" s="15"/>
      <c r="M1606" s="18" t="b">
        <v>0</v>
      </c>
      <c r="N1606" s="17" t="b">
        <v>0</v>
      </c>
      <c r="O1606" s="17" t="b">
        <v>0</v>
      </c>
      <c r="P1606" s="17" t="b">
        <v>0</v>
      </c>
      <c r="Q1606" s="17" t="b">
        <v>0</v>
      </c>
      <c r="R1606" s="17" t="b">
        <v>0</v>
      </c>
      <c r="S1606" s="17" t="b">
        <v>0</v>
      </c>
      <c r="T1606" s="17" t="b">
        <v>0</v>
      </c>
      <c r="U1606" s="17" t="b">
        <v>0</v>
      </c>
      <c r="V1606" s="17" t="b">
        <v>0</v>
      </c>
      <c r="W1606" s="11"/>
      <c r="X1606" s="12"/>
      <c r="Y1606" s="12"/>
      <c r="Z1606" s="13"/>
    </row>
    <row r="1607" spans="1:26" ht="19.95" customHeight="1" x14ac:dyDescent="0.3">
      <c r="A1607" s="6"/>
      <c r="B1607" s="7"/>
      <c r="C1607" s="8"/>
      <c r="D1607" s="8"/>
      <c r="E1607" s="8"/>
      <c r="F1607" s="9"/>
      <c r="G1607" s="9"/>
      <c r="H1607" s="9"/>
      <c r="I1607" s="9" t="s">
        <v>14</v>
      </c>
      <c r="J1607" s="10" t="s">
        <v>14</v>
      </c>
      <c r="K1607" s="15" t="e">
        <f>VLOOKUP(J1607,DADOS!$A$3:$B$101,2,FALSE)</f>
        <v>#N/A</v>
      </c>
      <c r="L1607" s="15"/>
      <c r="M1607" s="18" t="b">
        <v>0</v>
      </c>
      <c r="N1607" s="17" t="b">
        <v>0</v>
      </c>
      <c r="O1607" s="17" t="b">
        <v>0</v>
      </c>
      <c r="P1607" s="17" t="b">
        <v>0</v>
      </c>
      <c r="Q1607" s="17" t="b">
        <v>0</v>
      </c>
      <c r="R1607" s="17" t="b">
        <v>0</v>
      </c>
      <c r="S1607" s="17" t="b">
        <v>0</v>
      </c>
      <c r="T1607" s="17" t="b">
        <v>0</v>
      </c>
      <c r="U1607" s="17" t="b">
        <v>0</v>
      </c>
      <c r="V1607" s="17" t="b">
        <v>0</v>
      </c>
      <c r="W1607" s="11"/>
      <c r="X1607" s="12"/>
      <c r="Y1607" s="12"/>
      <c r="Z1607" s="13"/>
    </row>
    <row r="1608" spans="1:26" ht="19.95" customHeight="1" x14ac:dyDescent="0.3">
      <c r="A1608" s="6"/>
      <c r="B1608" s="7"/>
      <c r="C1608" s="8"/>
      <c r="D1608" s="8"/>
      <c r="E1608" s="8"/>
      <c r="F1608" s="9"/>
      <c r="G1608" s="9"/>
      <c r="H1608" s="9"/>
      <c r="I1608" s="9" t="s">
        <v>14</v>
      </c>
      <c r="J1608" s="10" t="s">
        <v>14</v>
      </c>
      <c r="K1608" s="15" t="e">
        <f>VLOOKUP(J1608,DADOS!$A$3:$B$101,2,FALSE)</f>
        <v>#N/A</v>
      </c>
      <c r="L1608" s="15"/>
      <c r="M1608" s="18" t="b">
        <v>0</v>
      </c>
      <c r="N1608" s="17" t="b">
        <v>0</v>
      </c>
      <c r="O1608" s="17" t="b">
        <v>0</v>
      </c>
      <c r="P1608" s="17" t="b">
        <v>0</v>
      </c>
      <c r="Q1608" s="17" t="b">
        <v>0</v>
      </c>
      <c r="R1608" s="17" t="b">
        <v>0</v>
      </c>
      <c r="S1608" s="17" t="b">
        <v>0</v>
      </c>
      <c r="T1608" s="17" t="b">
        <v>0</v>
      </c>
      <c r="U1608" s="17" t="b">
        <v>0</v>
      </c>
      <c r="V1608" s="17" t="b">
        <v>0</v>
      </c>
      <c r="W1608" s="11"/>
      <c r="X1608" s="12"/>
      <c r="Y1608" s="12"/>
      <c r="Z1608" s="13"/>
    </row>
    <row r="1609" spans="1:26" ht="19.95" customHeight="1" x14ac:dyDescent="0.3">
      <c r="A1609" s="6"/>
      <c r="B1609" s="7"/>
      <c r="C1609" s="8"/>
      <c r="D1609" s="8"/>
      <c r="E1609" s="8"/>
      <c r="F1609" s="9"/>
      <c r="G1609" s="9"/>
      <c r="H1609" s="9"/>
      <c r="I1609" s="9" t="s">
        <v>14</v>
      </c>
      <c r="J1609" s="10" t="s">
        <v>14</v>
      </c>
      <c r="K1609" s="15" t="e">
        <f>VLOOKUP(J1609,DADOS!$A$3:$B$101,2,FALSE)</f>
        <v>#N/A</v>
      </c>
      <c r="L1609" s="15"/>
      <c r="M1609" s="18" t="b">
        <v>0</v>
      </c>
      <c r="N1609" s="17" t="b">
        <v>0</v>
      </c>
      <c r="O1609" s="17" t="b">
        <v>0</v>
      </c>
      <c r="P1609" s="17" t="b">
        <v>0</v>
      </c>
      <c r="Q1609" s="17" t="b">
        <v>0</v>
      </c>
      <c r="R1609" s="17" t="b">
        <v>0</v>
      </c>
      <c r="S1609" s="17" t="b">
        <v>0</v>
      </c>
      <c r="T1609" s="17" t="b">
        <v>0</v>
      </c>
      <c r="U1609" s="17" t="b">
        <v>0</v>
      </c>
      <c r="V1609" s="17" t="b">
        <v>0</v>
      </c>
      <c r="W1609" s="11"/>
      <c r="X1609" s="12"/>
      <c r="Y1609" s="12"/>
      <c r="Z1609" s="13"/>
    </row>
    <row r="1610" spans="1:26" ht="19.95" customHeight="1" x14ac:dyDescent="0.3">
      <c r="A1610" s="6"/>
      <c r="B1610" s="7"/>
      <c r="C1610" s="8"/>
      <c r="D1610" s="8"/>
      <c r="E1610" s="8"/>
      <c r="F1610" s="9"/>
      <c r="G1610" s="9"/>
      <c r="H1610" s="9"/>
      <c r="I1610" s="9" t="s">
        <v>14</v>
      </c>
      <c r="J1610" s="10" t="s">
        <v>14</v>
      </c>
      <c r="K1610" s="15" t="e">
        <f>VLOOKUP(J1610,DADOS!$A$3:$B$101,2,FALSE)</f>
        <v>#N/A</v>
      </c>
      <c r="L1610" s="15"/>
      <c r="M1610" s="18" t="b">
        <v>0</v>
      </c>
      <c r="N1610" s="17" t="b">
        <v>0</v>
      </c>
      <c r="O1610" s="17" t="b">
        <v>0</v>
      </c>
      <c r="P1610" s="17" t="b">
        <v>0</v>
      </c>
      <c r="Q1610" s="17" t="b">
        <v>0</v>
      </c>
      <c r="R1610" s="17" t="b">
        <v>0</v>
      </c>
      <c r="S1610" s="17" t="b">
        <v>0</v>
      </c>
      <c r="T1610" s="17" t="b">
        <v>0</v>
      </c>
      <c r="U1610" s="17" t="b">
        <v>0</v>
      </c>
      <c r="V1610" s="17" t="b">
        <v>0</v>
      </c>
      <c r="W1610" s="11"/>
      <c r="X1610" s="12"/>
      <c r="Y1610" s="12"/>
      <c r="Z1610" s="13"/>
    </row>
    <row r="1611" spans="1:26" ht="19.95" customHeight="1" x14ac:dyDescent="0.3">
      <c r="A1611" s="6"/>
      <c r="B1611" s="7"/>
      <c r="C1611" s="8"/>
      <c r="D1611" s="8"/>
      <c r="E1611" s="8"/>
      <c r="F1611" s="9"/>
      <c r="G1611" s="9"/>
      <c r="H1611" s="9"/>
      <c r="I1611" s="9" t="s">
        <v>14</v>
      </c>
      <c r="J1611" s="10" t="s">
        <v>14</v>
      </c>
      <c r="K1611" s="15" t="e">
        <f>VLOOKUP(J1611,DADOS!$A$3:$B$101,2,FALSE)</f>
        <v>#N/A</v>
      </c>
      <c r="L1611" s="15"/>
      <c r="M1611" s="18" t="b">
        <v>0</v>
      </c>
      <c r="N1611" s="17" t="b">
        <v>0</v>
      </c>
      <c r="O1611" s="17" t="b">
        <v>0</v>
      </c>
      <c r="P1611" s="17" t="b">
        <v>0</v>
      </c>
      <c r="Q1611" s="17" t="b">
        <v>0</v>
      </c>
      <c r="R1611" s="17" t="b">
        <v>0</v>
      </c>
      <c r="S1611" s="17" t="b">
        <v>0</v>
      </c>
      <c r="T1611" s="17" t="b">
        <v>0</v>
      </c>
      <c r="U1611" s="17" t="b">
        <v>0</v>
      </c>
      <c r="V1611" s="17" t="b">
        <v>0</v>
      </c>
      <c r="W1611" s="11"/>
      <c r="X1611" s="12"/>
      <c r="Y1611" s="12"/>
      <c r="Z1611" s="13"/>
    </row>
    <row r="1612" spans="1:26" ht="19.95" customHeight="1" x14ac:dyDescent="0.3">
      <c r="A1612" s="6"/>
      <c r="B1612" s="7"/>
      <c r="C1612" s="8"/>
      <c r="D1612" s="8"/>
      <c r="E1612" s="8"/>
      <c r="F1612" s="9"/>
      <c r="G1612" s="9"/>
      <c r="H1612" s="9"/>
      <c r="I1612" s="9" t="s">
        <v>14</v>
      </c>
      <c r="J1612" s="10" t="s">
        <v>14</v>
      </c>
      <c r="K1612" s="15" t="e">
        <f>VLOOKUP(J1612,DADOS!$A$3:$B$101,2,FALSE)</f>
        <v>#N/A</v>
      </c>
      <c r="L1612" s="15"/>
      <c r="M1612" s="18" t="b">
        <v>0</v>
      </c>
      <c r="N1612" s="17" t="b">
        <v>0</v>
      </c>
      <c r="O1612" s="17" t="b">
        <v>0</v>
      </c>
      <c r="P1612" s="17" t="b">
        <v>0</v>
      </c>
      <c r="Q1612" s="17" t="b">
        <v>0</v>
      </c>
      <c r="R1612" s="17" t="b">
        <v>0</v>
      </c>
      <c r="S1612" s="17" t="b">
        <v>0</v>
      </c>
      <c r="T1612" s="17" t="b">
        <v>0</v>
      </c>
      <c r="U1612" s="17" t="b">
        <v>0</v>
      </c>
      <c r="V1612" s="17" t="b">
        <v>0</v>
      </c>
      <c r="W1612" s="11"/>
      <c r="X1612" s="12"/>
      <c r="Y1612" s="12"/>
      <c r="Z1612" s="13"/>
    </row>
    <row r="1613" spans="1:26" ht="19.95" customHeight="1" x14ac:dyDescent="0.3">
      <c r="A1613" s="6"/>
      <c r="B1613" s="7"/>
      <c r="C1613" s="8"/>
      <c r="D1613" s="8"/>
      <c r="E1613" s="8"/>
      <c r="F1613" s="9"/>
      <c r="G1613" s="9"/>
      <c r="H1613" s="9"/>
      <c r="I1613" s="9" t="s">
        <v>14</v>
      </c>
      <c r="J1613" s="10" t="s">
        <v>14</v>
      </c>
      <c r="K1613" s="15" t="e">
        <f>VLOOKUP(J1613,DADOS!$A$3:$B$101,2,FALSE)</f>
        <v>#N/A</v>
      </c>
      <c r="L1613" s="15"/>
      <c r="M1613" s="18" t="b">
        <v>0</v>
      </c>
      <c r="N1613" s="17" t="b">
        <v>0</v>
      </c>
      <c r="O1613" s="17" t="b">
        <v>0</v>
      </c>
      <c r="P1613" s="17" t="b">
        <v>0</v>
      </c>
      <c r="Q1613" s="17" t="b">
        <v>0</v>
      </c>
      <c r="R1613" s="17" t="b">
        <v>0</v>
      </c>
      <c r="S1613" s="17" t="b">
        <v>0</v>
      </c>
      <c r="T1613" s="17" t="b">
        <v>0</v>
      </c>
      <c r="U1613" s="17" t="b">
        <v>0</v>
      </c>
      <c r="V1613" s="17" t="b">
        <v>0</v>
      </c>
      <c r="W1613" s="11"/>
      <c r="X1613" s="12"/>
      <c r="Y1613" s="12"/>
      <c r="Z1613" s="13"/>
    </row>
    <row r="1614" spans="1:26" ht="19.95" customHeight="1" x14ac:dyDescent="0.3">
      <c r="A1614" s="6"/>
      <c r="B1614" s="7"/>
      <c r="C1614" s="8"/>
      <c r="D1614" s="8"/>
      <c r="E1614" s="8"/>
      <c r="F1614" s="9"/>
      <c r="G1614" s="9"/>
      <c r="H1614" s="9"/>
      <c r="I1614" s="9" t="s">
        <v>14</v>
      </c>
      <c r="J1614" s="10" t="s">
        <v>14</v>
      </c>
      <c r="K1614" s="15" t="e">
        <f>VLOOKUP(J1614,DADOS!$A$3:$B$101,2,FALSE)</f>
        <v>#N/A</v>
      </c>
      <c r="L1614" s="15"/>
      <c r="M1614" s="18" t="b">
        <v>0</v>
      </c>
      <c r="N1614" s="17" t="b">
        <v>0</v>
      </c>
      <c r="O1614" s="17" t="b">
        <v>0</v>
      </c>
      <c r="P1614" s="17" t="b">
        <v>0</v>
      </c>
      <c r="Q1614" s="17" t="b">
        <v>0</v>
      </c>
      <c r="R1614" s="17" t="b">
        <v>0</v>
      </c>
      <c r="S1614" s="17" t="b">
        <v>0</v>
      </c>
      <c r="T1614" s="17" t="b">
        <v>0</v>
      </c>
      <c r="U1614" s="17" t="b">
        <v>0</v>
      </c>
      <c r="V1614" s="17" t="b">
        <v>0</v>
      </c>
      <c r="W1614" s="11"/>
      <c r="X1614" s="12"/>
      <c r="Y1614" s="12"/>
      <c r="Z1614" s="13"/>
    </row>
    <row r="1615" spans="1:26" ht="19.95" customHeight="1" x14ac:dyDescent="0.3">
      <c r="A1615" s="6"/>
      <c r="B1615" s="7"/>
      <c r="C1615" s="8"/>
      <c r="D1615" s="8"/>
      <c r="E1615" s="8"/>
      <c r="F1615" s="9"/>
      <c r="G1615" s="9"/>
      <c r="H1615" s="9"/>
      <c r="I1615" s="9" t="s">
        <v>14</v>
      </c>
      <c r="J1615" s="10" t="s">
        <v>14</v>
      </c>
      <c r="K1615" s="15" t="e">
        <f>VLOOKUP(J1615,DADOS!$A$3:$B$101,2,FALSE)</f>
        <v>#N/A</v>
      </c>
      <c r="L1615" s="15"/>
      <c r="M1615" s="18" t="b">
        <v>0</v>
      </c>
      <c r="N1615" s="17" t="b">
        <v>0</v>
      </c>
      <c r="O1615" s="17" t="b">
        <v>0</v>
      </c>
      <c r="P1615" s="17" t="b">
        <v>0</v>
      </c>
      <c r="Q1615" s="17" t="b">
        <v>0</v>
      </c>
      <c r="R1615" s="17" t="b">
        <v>0</v>
      </c>
      <c r="S1615" s="17" t="b">
        <v>0</v>
      </c>
      <c r="T1615" s="17" t="b">
        <v>0</v>
      </c>
      <c r="U1615" s="17" t="b">
        <v>0</v>
      </c>
      <c r="V1615" s="17" t="b">
        <v>0</v>
      </c>
      <c r="W1615" s="11"/>
      <c r="X1615" s="12"/>
      <c r="Y1615" s="12"/>
      <c r="Z1615" s="13"/>
    </row>
    <row r="1616" spans="1:26" ht="19.95" customHeight="1" x14ac:dyDescent="0.3">
      <c r="A1616" s="6"/>
      <c r="B1616" s="7"/>
      <c r="C1616" s="8"/>
      <c r="D1616" s="8"/>
      <c r="E1616" s="8"/>
      <c r="F1616" s="9"/>
      <c r="G1616" s="9"/>
      <c r="H1616" s="9"/>
      <c r="I1616" s="9" t="s">
        <v>14</v>
      </c>
      <c r="J1616" s="10" t="s">
        <v>14</v>
      </c>
      <c r="K1616" s="15" t="e">
        <f>VLOOKUP(J1616,DADOS!$A$3:$B$101,2,FALSE)</f>
        <v>#N/A</v>
      </c>
      <c r="L1616" s="15"/>
      <c r="M1616" s="18" t="b">
        <v>0</v>
      </c>
      <c r="N1616" s="17" t="b">
        <v>0</v>
      </c>
      <c r="O1616" s="17" t="b">
        <v>0</v>
      </c>
      <c r="P1616" s="17" t="b">
        <v>0</v>
      </c>
      <c r="Q1616" s="17" t="b">
        <v>0</v>
      </c>
      <c r="R1616" s="17" t="b">
        <v>0</v>
      </c>
      <c r="S1616" s="17" t="b">
        <v>0</v>
      </c>
      <c r="T1616" s="17" t="b">
        <v>0</v>
      </c>
      <c r="U1616" s="17" t="b">
        <v>0</v>
      </c>
      <c r="V1616" s="17" t="b">
        <v>0</v>
      </c>
      <c r="W1616" s="11"/>
      <c r="X1616" s="12"/>
      <c r="Y1616" s="12"/>
      <c r="Z1616" s="13"/>
    </row>
    <row r="1617" spans="1:26" ht="19.95" customHeight="1" x14ac:dyDescent="0.3">
      <c r="A1617" s="6"/>
      <c r="B1617" s="7"/>
      <c r="C1617" s="8"/>
      <c r="D1617" s="8"/>
      <c r="E1617" s="8"/>
      <c r="F1617" s="9"/>
      <c r="G1617" s="9"/>
      <c r="H1617" s="9"/>
      <c r="I1617" s="9" t="s">
        <v>14</v>
      </c>
      <c r="J1617" s="10" t="s">
        <v>14</v>
      </c>
      <c r="K1617" s="15" t="e">
        <f>VLOOKUP(J1617,DADOS!$A$3:$B$101,2,FALSE)</f>
        <v>#N/A</v>
      </c>
      <c r="L1617" s="15"/>
      <c r="M1617" s="18" t="b">
        <v>0</v>
      </c>
      <c r="N1617" s="17" t="b">
        <v>0</v>
      </c>
      <c r="O1617" s="17" t="b">
        <v>0</v>
      </c>
      <c r="P1617" s="17" t="b">
        <v>0</v>
      </c>
      <c r="Q1617" s="17" t="b">
        <v>0</v>
      </c>
      <c r="R1617" s="17" t="b">
        <v>0</v>
      </c>
      <c r="S1617" s="17" t="b">
        <v>0</v>
      </c>
      <c r="T1617" s="17" t="b">
        <v>0</v>
      </c>
      <c r="U1617" s="17" t="b">
        <v>0</v>
      </c>
      <c r="V1617" s="17" t="b">
        <v>0</v>
      </c>
      <c r="W1617" s="11"/>
      <c r="X1617" s="12"/>
      <c r="Y1617" s="12"/>
      <c r="Z1617" s="13"/>
    </row>
    <row r="1618" spans="1:26" ht="19.95" customHeight="1" x14ac:dyDescent="0.3">
      <c r="A1618" s="6"/>
      <c r="B1618" s="7"/>
      <c r="C1618" s="8"/>
      <c r="D1618" s="8"/>
      <c r="E1618" s="8"/>
      <c r="F1618" s="9"/>
      <c r="G1618" s="9"/>
      <c r="H1618" s="9"/>
      <c r="I1618" s="9" t="s">
        <v>14</v>
      </c>
      <c r="J1618" s="10" t="s">
        <v>14</v>
      </c>
      <c r="K1618" s="15" t="e">
        <f>VLOOKUP(J1618,DADOS!$A$3:$B$101,2,FALSE)</f>
        <v>#N/A</v>
      </c>
      <c r="L1618" s="15"/>
      <c r="M1618" s="18" t="b">
        <v>0</v>
      </c>
      <c r="N1618" s="17" t="b">
        <v>0</v>
      </c>
      <c r="O1618" s="17" t="b">
        <v>0</v>
      </c>
      <c r="P1618" s="17" t="b">
        <v>0</v>
      </c>
      <c r="Q1618" s="17" t="b">
        <v>0</v>
      </c>
      <c r="R1618" s="17" t="b">
        <v>0</v>
      </c>
      <c r="S1618" s="17" t="b">
        <v>0</v>
      </c>
      <c r="T1618" s="17" t="b">
        <v>0</v>
      </c>
      <c r="U1618" s="17" t="b">
        <v>0</v>
      </c>
      <c r="V1618" s="17" t="b">
        <v>0</v>
      </c>
      <c r="W1618" s="11"/>
      <c r="X1618" s="12"/>
      <c r="Y1618" s="12"/>
      <c r="Z1618" s="13"/>
    </row>
    <row r="1619" spans="1:26" ht="19.95" customHeight="1" x14ac:dyDescent="0.3">
      <c r="A1619" s="6"/>
      <c r="B1619" s="7"/>
      <c r="C1619" s="8"/>
      <c r="D1619" s="8"/>
      <c r="E1619" s="8"/>
      <c r="F1619" s="9"/>
      <c r="G1619" s="9"/>
      <c r="H1619" s="9"/>
      <c r="I1619" s="9" t="s">
        <v>14</v>
      </c>
      <c r="J1619" s="10" t="s">
        <v>14</v>
      </c>
      <c r="K1619" s="15" t="e">
        <f>VLOOKUP(J1619,DADOS!$A$3:$B$101,2,FALSE)</f>
        <v>#N/A</v>
      </c>
      <c r="L1619" s="15"/>
      <c r="M1619" s="18" t="b">
        <v>0</v>
      </c>
      <c r="N1619" s="17" t="b">
        <v>0</v>
      </c>
      <c r="O1619" s="17" t="b">
        <v>0</v>
      </c>
      <c r="P1619" s="17" t="b">
        <v>0</v>
      </c>
      <c r="Q1619" s="17" t="b">
        <v>0</v>
      </c>
      <c r="R1619" s="17" t="b">
        <v>0</v>
      </c>
      <c r="S1619" s="17" t="b">
        <v>0</v>
      </c>
      <c r="T1619" s="17" t="b">
        <v>0</v>
      </c>
      <c r="U1619" s="17" t="b">
        <v>0</v>
      </c>
      <c r="V1619" s="17" t="b">
        <v>0</v>
      </c>
      <c r="W1619" s="11"/>
      <c r="X1619" s="12"/>
      <c r="Y1619" s="12"/>
      <c r="Z1619" s="13"/>
    </row>
    <row r="1620" spans="1:26" ht="19.95" customHeight="1" x14ac:dyDescent="0.3">
      <c r="A1620" s="6"/>
      <c r="B1620" s="7"/>
      <c r="C1620" s="8"/>
      <c r="D1620" s="8"/>
      <c r="E1620" s="8"/>
      <c r="F1620" s="9"/>
      <c r="G1620" s="9"/>
      <c r="H1620" s="9"/>
      <c r="I1620" s="9" t="s">
        <v>14</v>
      </c>
      <c r="J1620" s="10" t="s">
        <v>14</v>
      </c>
      <c r="K1620" s="15" t="e">
        <f>VLOOKUP(J1620,DADOS!$A$3:$B$101,2,FALSE)</f>
        <v>#N/A</v>
      </c>
      <c r="L1620" s="15"/>
      <c r="M1620" s="18" t="b">
        <v>0</v>
      </c>
      <c r="N1620" s="17" t="b">
        <v>0</v>
      </c>
      <c r="O1620" s="17" t="b">
        <v>0</v>
      </c>
      <c r="P1620" s="17" t="b">
        <v>0</v>
      </c>
      <c r="Q1620" s="17" t="b">
        <v>0</v>
      </c>
      <c r="R1620" s="17" t="b">
        <v>0</v>
      </c>
      <c r="S1620" s="17" t="b">
        <v>0</v>
      </c>
      <c r="T1620" s="17" t="b">
        <v>0</v>
      </c>
      <c r="U1620" s="17" t="b">
        <v>0</v>
      </c>
      <c r="V1620" s="17" t="b">
        <v>0</v>
      </c>
      <c r="W1620" s="11"/>
      <c r="X1620" s="12"/>
      <c r="Y1620" s="12"/>
      <c r="Z1620" s="13"/>
    </row>
    <row r="1621" spans="1:26" ht="19.95" customHeight="1" x14ac:dyDescent="0.3">
      <c r="A1621" s="6"/>
      <c r="B1621" s="7"/>
      <c r="C1621" s="8"/>
      <c r="D1621" s="8"/>
      <c r="E1621" s="8"/>
      <c r="F1621" s="9"/>
      <c r="G1621" s="9"/>
      <c r="H1621" s="9"/>
      <c r="I1621" s="9" t="s">
        <v>14</v>
      </c>
      <c r="J1621" s="10" t="s">
        <v>14</v>
      </c>
      <c r="K1621" s="15" t="e">
        <f>VLOOKUP(J1621,DADOS!$A$3:$B$101,2,FALSE)</f>
        <v>#N/A</v>
      </c>
      <c r="L1621" s="15"/>
      <c r="M1621" s="18" t="b">
        <v>0</v>
      </c>
      <c r="N1621" s="17" t="b">
        <v>0</v>
      </c>
      <c r="O1621" s="17" t="b">
        <v>0</v>
      </c>
      <c r="P1621" s="17" t="b">
        <v>0</v>
      </c>
      <c r="Q1621" s="17" t="b">
        <v>0</v>
      </c>
      <c r="R1621" s="17" t="b">
        <v>0</v>
      </c>
      <c r="S1621" s="17" t="b">
        <v>0</v>
      </c>
      <c r="T1621" s="17" t="b">
        <v>0</v>
      </c>
      <c r="U1621" s="17" t="b">
        <v>0</v>
      </c>
      <c r="V1621" s="17" t="b">
        <v>0</v>
      </c>
      <c r="W1621" s="11"/>
      <c r="X1621" s="12"/>
      <c r="Y1621" s="12"/>
      <c r="Z1621" s="13"/>
    </row>
    <row r="1622" spans="1:26" ht="19.95" customHeight="1" x14ac:dyDescent="0.3">
      <c r="A1622" s="6"/>
      <c r="B1622" s="7"/>
      <c r="C1622" s="8"/>
      <c r="D1622" s="8"/>
      <c r="E1622" s="8"/>
      <c r="F1622" s="9"/>
      <c r="G1622" s="9"/>
      <c r="H1622" s="9"/>
      <c r="I1622" s="9" t="s">
        <v>14</v>
      </c>
      <c r="J1622" s="10" t="s">
        <v>14</v>
      </c>
      <c r="K1622" s="15" t="e">
        <f>VLOOKUP(J1622,DADOS!$A$3:$B$101,2,FALSE)</f>
        <v>#N/A</v>
      </c>
      <c r="L1622" s="15"/>
      <c r="M1622" s="18" t="b">
        <v>0</v>
      </c>
      <c r="N1622" s="17" t="b">
        <v>0</v>
      </c>
      <c r="O1622" s="17" t="b">
        <v>0</v>
      </c>
      <c r="P1622" s="17" t="b">
        <v>0</v>
      </c>
      <c r="Q1622" s="17" t="b">
        <v>0</v>
      </c>
      <c r="R1622" s="17" t="b">
        <v>0</v>
      </c>
      <c r="S1622" s="17" t="b">
        <v>0</v>
      </c>
      <c r="T1622" s="17" t="b">
        <v>0</v>
      </c>
      <c r="U1622" s="17" t="b">
        <v>0</v>
      </c>
      <c r="V1622" s="17" t="b">
        <v>0</v>
      </c>
      <c r="W1622" s="11"/>
      <c r="X1622" s="12"/>
      <c r="Y1622" s="12"/>
      <c r="Z1622" s="13"/>
    </row>
    <row r="1623" spans="1:26" ht="19.95" customHeight="1" x14ac:dyDescent="0.3">
      <c r="A1623" s="6"/>
      <c r="B1623" s="7"/>
      <c r="C1623" s="8"/>
      <c r="D1623" s="8"/>
      <c r="E1623" s="8"/>
      <c r="F1623" s="9"/>
      <c r="G1623" s="9"/>
      <c r="H1623" s="9"/>
      <c r="I1623" s="9" t="s">
        <v>14</v>
      </c>
      <c r="J1623" s="10" t="s">
        <v>14</v>
      </c>
      <c r="K1623" s="15" t="e">
        <f>VLOOKUP(J1623,DADOS!$A$3:$B$101,2,FALSE)</f>
        <v>#N/A</v>
      </c>
      <c r="L1623" s="15"/>
      <c r="M1623" s="18" t="b">
        <v>0</v>
      </c>
      <c r="N1623" s="17" t="b">
        <v>0</v>
      </c>
      <c r="O1623" s="17" t="b">
        <v>0</v>
      </c>
      <c r="P1623" s="17" t="b">
        <v>0</v>
      </c>
      <c r="Q1623" s="17" t="b">
        <v>0</v>
      </c>
      <c r="R1623" s="17" t="b">
        <v>0</v>
      </c>
      <c r="S1623" s="17" t="b">
        <v>0</v>
      </c>
      <c r="T1623" s="17" t="b">
        <v>0</v>
      </c>
      <c r="U1623" s="17" t="b">
        <v>0</v>
      </c>
      <c r="V1623" s="17" t="b">
        <v>0</v>
      </c>
      <c r="W1623" s="11"/>
      <c r="X1623" s="12"/>
      <c r="Y1623" s="12"/>
      <c r="Z1623" s="13"/>
    </row>
    <row r="1624" spans="1:26" ht="19.95" customHeight="1" x14ac:dyDescent="0.3">
      <c r="A1624" s="6"/>
      <c r="B1624" s="7"/>
      <c r="C1624" s="8"/>
      <c r="D1624" s="8"/>
      <c r="E1624" s="8"/>
      <c r="F1624" s="9"/>
      <c r="G1624" s="9"/>
      <c r="H1624" s="9"/>
      <c r="I1624" s="9" t="s">
        <v>14</v>
      </c>
      <c r="J1624" s="10" t="s">
        <v>14</v>
      </c>
      <c r="K1624" s="15" t="e">
        <f>VLOOKUP(J1624,DADOS!$A$3:$B$101,2,FALSE)</f>
        <v>#N/A</v>
      </c>
      <c r="L1624" s="15"/>
      <c r="M1624" s="18" t="b">
        <v>0</v>
      </c>
      <c r="N1624" s="17" t="b">
        <v>0</v>
      </c>
      <c r="O1624" s="17" t="b">
        <v>0</v>
      </c>
      <c r="P1624" s="17" t="b">
        <v>0</v>
      </c>
      <c r="Q1624" s="17" t="b">
        <v>0</v>
      </c>
      <c r="R1624" s="17" t="b">
        <v>0</v>
      </c>
      <c r="S1624" s="17" t="b">
        <v>0</v>
      </c>
      <c r="T1624" s="17" t="b">
        <v>0</v>
      </c>
      <c r="U1624" s="17" t="b">
        <v>0</v>
      </c>
      <c r="V1624" s="17" t="b">
        <v>0</v>
      </c>
      <c r="W1624" s="11"/>
      <c r="X1624" s="12"/>
      <c r="Y1624" s="12"/>
      <c r="Z1624" s="13"/>
    </row>
    <row r="1625" spans="1:26" ht="19.95" customHeight="1" x14ac:dyDescent="0.3">
      <c r="A1625" s="6"/>
      <c r="B1625" s="7"/>
      <c r="C1625" s="8"/>
      <c r="D1625" s="8"/>
      <c r="E1625" s="8"/>
      <c r="F1625" s="9"/>
      <c r="G1625" s="9"/>
      <c r="H1625" s="9"/>
      <c r="I1625" s="9" t="s">
        <v>14</v>
      </c>
      <c r="J1625" s="10" t="s">
        <v>14</v>
      </c>
      <c r="K1625" s="15" t="e">
        <f>VLOOKUP(J1625,DADOS!$A$3:$B$101,2,FALSE)</f>
        <v>#N/A</v>
      </c>
      <c r="L1625" s="15"/>
      <c r="M1625" s="18" t="b">
        <v>0</v>
      </c>
      <c r="N1625" s="17" t="b">
        <v>0</v>
      </c>
      <c r="O1625" s="17" t="b">
        <v>0</v>
      </c>
      <c r="P1625" s="17" t="b">
        <v>0</v>
      </c>
      <c r="Q1625" s="17" t="b">
        <v>0</v>
      </c>
      <c r="R1625" s="17" t="b">
        <v>0</v>
      </c>
      <c r="S1625" s="17" t="b">
        <v>0</v>
      </c>
      <c r="T1625" s="17" t="b">
        <v>0</v>
      </c>
      <c r="U1625" s="17" t="b">
        <v>0</v>
      </c>
      <c r="V1625" s="17" t="b">
        <v>0</v>
      </c>
      <c r="W1625" s="11"/>
      <c r="X1625" s="12"/>
      <c r="Y1625" s="12"/>
      <c r="Z1625" s="13"/>
    </row>
    <row r="1626" spans="1:26" ht="19.95" customHeight="1" x14ac:dyDescent="0.3">
      <c r="A1626" s="6"/>
      <c r="B1626" s="7"/>
      <c r="C1626" s="8"/>
      <c r="D1626" s="8"/>
      <c r="E1626" s="8"/>
      <c r="F1626" s="9"/>
      <c r="G1626" s="9"/>
      <c r="H1626" s="9"/>
      <c r="I1626" s="9" t="s">
        <v>14</v>
      </c>
      <c r="J1626" s="10" t="s">
        <v>14</v>
      </c>
      <c r="K1626" s="15" t="e">
        <f>VLOOKUP(J1626,DADOS!$A$3:$B$101,2,FALSE)</f>
        <v>#N/A</v>
      </c>
      <c r="L1626" s="15"/>
      <c r="M1626" s="18" t="b">
        <v>0</v>
      </c>
      <c r="N1626" s="17" t="b">
        <v>0</v>
      </c>
      <c r="O1626" s="17" t="b">
        <v>0</v>
      </c>
      <c r="P1626" s="17" t="b">
        <v>0</v>
      </c>
      <c r="Q1626" s="17" t="b">
        <v>0</v>
      </c>
      <c r="R1626" s="17" t="b">
        <v>0</v>
      </c>
      <c r="S1626" s="17" t="b">
        <v>0</v>
      </c>
      <c r="T1626" s="17" t="b">
        <v>0</v>
      </c>
      <c r="U1626" s="17" t="b">
        <v>0</v>
      </c>
      <c r="V1626" s="17" t="b">
        <v>0</v>
      </c>
      <c r="W1626" s="11"/>
      <c r="X1626" s="12"/>
      <c r="Y1626" s="12"/>
      <c r="Z1626" s="13"/>
    </row>
    <row r="1627" spans="1:26" ht="19.95" customHeight="1" x14ac:dyDescent="0.3">
      <c r="A1627" s="6"/>
      <c r="B1627" s="7"/>
      <c r="C1627" s="8"/>
      <c r="D1627" s="8"/>
      <c r="E1627" s="8"/>
      <c r="F1627" s="9"/>
      <c r="G1627" s="9"/>
      <c r="H1627" s="9"/>
      <c r="I1627" s="9" t="s">
        <v>14</v>
      </c>
      <c r="J1627" s="10" t="s">
        <v>14</v>
      </c>
      <c r="K1627" s="15" t="e">
        <f>VLOOKUP(J1627,DADOS!$A$3:$B$101,2,FALSE)</f>
        <v>#N/A</v>
      </c>
      <c r="L1627" s="15"/>
      <c r="M1627" s="18" t="b">
        <v>0</v>
      </c>
      <c r="N1627" s="17" t="b">
        <v>0</v>
      </c>
      <c r="O1627" s="17" t="b">
        <v>0</v>
      </c>
      <c r="P1627" s="17" t="b">
        <v>0</v>
      </c>
      <c r="Q1627" s="17" t="b">
        <v>0</v>
      </c>
      <c r="R1627" s="17" t="b">
        <v>0</v>
      </c>
      <c r="S1627" s="17" t="b">
        <v>0</v>
      </c>
      <c r="T1627" s="17" t="b">
        <v>0</v>
      </c>
      <c r="U1627" s="17" t="b">
        <v>0</v>
      </c>
      <c r="V1627" s="17" t="b">
        <v>0</v>
      </c>
      <c r="W1627" s="11"/>
      <c r="X1627" s="12"/>
      <c r="Y1627" s="12"/>
      <c r="Z1627" s="13"/>
    </row>
    <row r="1628" spans="1:26" ht="19.95" customHeight="1" x14ac:dyDescent="0.3">
      <c r="A1628" s="6"/>
      <c r="B1628" s="7"/>
      <c r="C1628" s="8"/>
      <c r="D1628" s="8"/>
      <c r="E1628" s="8"/>
      <c r="F1628" s="9"/>
      <c r="G1628" s="9"/>
      <c r="H1628" s="9"/>
      <c r="I1628" s="9" t="s">
        <v>14</v>
      </c>
      <c r="J1628" s="10" t="s">
        <v>14</v>
      </c>
      <c r="K1628" s="15" t="e">
        <f>VLOOKUP(J1628,DADOS!$A$3:$B$101,2,FALSE)</f>
        <v>#N/A</v>
      </c>
      <c r="L1628" s="15"/>
      <c r="M1628" s="18" t="b">
        <v>0</v>
      </c>
      <c r="N1628" s="17" t="b">
        <v>0</v>
      </c>
      <c r="O1628" s="17" t="b">
        <v>0</v>
      </c>
      <c r="P1628" s="17" t="b">
        <v>0</v>
      </c>
      <c r="Q1628" s="17" t="b">
        <v>0</v>
      </c>
      <c r="R1628" s="17" t="b">
        <v>0</v>
      </c>
      <c r="S1628" s="17" t="b">
        <v>0</v>
      </c>
      <c r="T1628" s="17" t="b">
        <v>0</v>
      </c>
      <c r="U1628" s="17" t="b">
        <v>0</v>
      </c>
      <c r="V1628" s="17" t="b">
        <v>0</v>
      </c>
      <c r="W1628" s="11"/>
      <c r="X1628" s="12"/>
      <c r="Y1628" s="12"/>
      <c r="Z1628" s="13"/>
    </row>
    <row r="1629" spans="1:26" ht="19.95" customHeight="1" x14ac:dyDescent="0.3">
      <c r="A1629" s="6"/>
      <c r="B1629" s="7"/>
      <c r="C1629" s="8"/>
      <c r="D1629" s="8"/>
      <c r="E1629" s="8"/>
      <c r="F1629" s="9"/>
      <c r="G1629" s="9"/>
      <c r="H1629" s="9"/>
      <c r="I1629" s="9" t="s">
        <v>14</v>
      </c>
      <c r="J1629" s="10" t="s">
        <v>14</v>
      </c>
      <c r="K1629" s="15" t="e">
        <f>VLOOKUP(J1629,DADOS!$A$3:$B$101,2,FALSE)</f>
        <v>#N/A</v>
      </c>
      <c r="L1629" s="15"/>
      <c r="M1629" s="18" t="b">
        <v>0</v>
      </c>
      <c r="N1629" s="17" t="b">
        <v>0</v>
      </c>
      <c r="O1629" s="17" t="b">
        <v>0</v>
      </c>
      <c r="P1629" s="17" t="b">
        <v>0</v>
      </c>
      <c r="Q1629" s="17" t="b">
        <v>0</v>
      </c>
      <c r="R1629" s="17" t="b">
        <v>0</v>
      </c>
      <c r="S1629" s="17" t="b">
        <v>0</v>
      </c>
      <c r="T1629" s="17" t="b">
        <v>0</v>
      </c>
      <c r="U1629" s="17" t="b">
        <v>0</v>
      </c>
      <c r="V1629" s="17" t="b">
        <v>0</v>
      </c>
      <c r="W1629" s="11"/>
      <c r="X1629" s="12"/>
      <c r="Y1629" s="12"/>
      <c r="Z1629" s="13"/>
    </row>
    <row r="1630" spans="1:26" ht="19.95" customHeight="1" x14ac:dyDescent="0.3">
      <c r="A1630" s="6"/>
      <c r="B1630" s="7"/>
      <c r="C1630" s="8"/>
      <c r="D1630" s="8"/>
      <c r="E1630" s="8"/>
      <c r="F1630" s="9"/>
      <c r="G1630" s="9"/>
      <c r="H1630" s="9"/>
      <c r="I1630" s="9" t="s">
        <v>14</v>
      </c>
      <c r="J1630" s="10" t="s">
        <v>14</v>
      </c>
      <c r="K1630" s="15" t="e">
        <f>VLOOKUP(J1630,DADOS!$A$3:$B$101,2,FALSE)</f>
        <v>#N/A</v>
      </c>
      <c r="L1630" s="15"/>
      <c r="M1630" s="18" t="b">
        <v>0</v>
      </c>
      <c r="N1630" s="17" t="b">
        <v>0</v>
      </c>
      <c r="O1630" s="17" t="b">
        <v>0</v>
      </c>
      <c r="P1630" s="17" t="b">
        <v>0</v>
      </c>
      <c r="Q1630" s="17" t="b">
        <v>0</v>
      </c>
      <c r="R1630" s="17" t="b">
        <v>0</v>
      </c>
      <c r="S1630" s="17" t="b">
        <v>0</v>
      </c>
      <c r="T1630" s="17" t="b">
        <v>0</v>
      </c>
      <c r="U1630" s="17" t="b">
        <v>0</v>
      </c>
      <c r="V1630" s="17" t="b">
        <v>0</v>
      </c>
      <c r="W1630" s="11"/>
      <c r="X1630" s="12"/>
      <c r="Y1630" s="12"/>
      <c r="Z1630" s="13"/>
    </row>
    <row r="1631" spans="1:26" ht="19.95" customHeight="1" x14ac:dyDescent="0.3">
      <c r="A1631" s="6"/>
      <c r="B1631" s="7"/>
      <c r="C1631" s="8"/>
      <c r="D1631" s="8"/>
      <c r="E1631" s="8"/>
      <c r="F1631" s="9"/>
      <c r="G1631" s="9"/>
      <c r="H1631" s="9"/>
      <c r="I1631" s="9" t="s">
        <v>14</v>
      </c>
      <c r="J1631" s="10" t="s">
        <v>14</v>
      </c>
      <c r="K1631" s="15" t="e">
        <f>VLOOKUP(J1631,DADOS!$A$3:$B$101,2,FALSE)</f>
        <v>#N/A</v>
      </c>
      <c r="L1631" s="15"/>
      <c r="M1631" s="18" t="b">
        <v>0</v>
      </c>
      <c r="N1631" s="17" t="b">
        <v>0</v>
      </c>
      <c r="O1631" s="17" t="b">
        <v>0</v>
      </c>
      <c r="P1631" s="17" t="b">
        <v>0</v>
      </c>
      <c r="Q1631" s="17" t="b">
        <v>0</v>
      </c>
      <c r="R1631" s="17" t="b">
        <v>0</v>
      </c>
      <c r="S1631" s="17" t="b">
        <v>0</v>
      </c>
      <c r="T1631" s="17" t="b">
        <v>0</v>
      </c>
      <c r="U1631" s="17" t="b">
        <v>0</v>
      </c>
      <c r="V1631" s="17" t="b">
        <v>0</v>
      </c>
      <c r="W1631" s="11"/>
      <c r="X1631" s="12"/>
      <c r="Y1631" s="12"/>
      <c r="Z1631" s="13"/>
    </row>
    <row r="1632" spans="1:26" ht="19.95" customHeight="1" x14ac:dyDescent="0.3">
      <c r="A1632" s="6"/>
      <c r="B1632" s="7"/>
      <c r="C1632" s="8"/>
      <c r="D1632" s="8"/>
      <c r="E1632" s="8"/>
      <c r="F1632" s="9"/>
      <c r="G1632" s="9"/>
      <c r="H1632" s="9"/>
      <c r="I1632" s="9" t="s">
        <v>14</v>
      </c>
      <c r="J1632" s="10" t="s">
        <v>14</v>
      </c>
      <c r="K1632" s="15" t="e">
        <f>VLOOKUP(J1632,DADOS!$A$3:$B$101,2,FALSE)</f>
        <v>#N/A</v>
      </c>
      <c r="L1632" s="15"/>
      <c r="M1632" s="18" t="b">
        <v>0</v>
      </c>
      <c r="N1632" s="17" t="b">
        <v>0</v>
      </c>
      <c r="O1632" s="17" t="b">
        <v>0</v>
      </c>
      <c r="P1632" s="17" t="b">
        <v>0</v>
      </c>
      <c r="Q1632" s="17" t="b">
        <v>0</v>
      </c>
      <c r="R1632" s="17" t="b">
        <v>0</v>
      </c>
      <c r="S1632" s="17" t="b">
        <v>0</v>
      </c>
      <c r="T1632" s="17" t="b">
        <v>0</v>
      </c>
      <c r="U1632" s="17" t="b">
        <v>0</v>
      </c>
      <c r="V1632" s="17" t="b">
        <v>0</v>
      </c>
      <c r="W1632" s="11"/>
      <c r="X1632" s="12"/>
      <c r="Y1632" s="12"/>
      <c r="Z1632" s="13"/>
    </row>
    <row r="1633" spans="1:26" ht="19.95" customHeight="1" x14ac:dyDescent="0.3">
      <c r="A1633" s="6"/>
      <c r="B1633" s="7"/>
      <c r="C1633" s="8"/>
      <c r="D1633" s="8"/>
      <c r="E1633" s="8"/>
      <c r="F1633" s="9"/>
      <c r="G1633" s="9"/>
      <c r="H1633" s="9"/>
      <c r="I1633" s="9" t="s">
        <v>14</v>
      </c>
      <c r="J1633" s="10" t="s">
        <v>14</v>
      </c>
      <c r="K1633" s="15" t="e">
        <f>VLOOKUP(J1633,DADOS!$A$3:$B$101,2,FALSE)</f>
        <v>#N/A</v>
      </c>
      <c r="L1633" s="15"/>
      <c r="M1633" s="18" t="b">
        <v>0</v>
      </c>
      <c r="N1633" s="17" t="b">
        <v>0</v>
      </c>
      <c r="O1633" s="17" t="b">
        <v>0</v>
      </c>
      <c r="P1633" s="17" t="b">
        <v>0</v>
      </c>
      <c r="Q1633" s="17" t="b">
        <v>0</v>
      </c>
      <c r="R1633" s="17" t="b">
        <v>0</v>
      </c>
      <c r="S1633" s="17" t="b">
        <v>0</v>
      </c>
      <c r="T1633" s="17" t="b">
        <v>0</v>
      </c>
      <c r="U1633" s="17" t="b">
        <v>0</v>
      </c>
      <c r="V1633" s="17" t="b">
        <v>0</v>
      </c>
      <c r="W1633" s="11"/>
      <c r="X1633" s="12"/>
      <c r="Y1633" s="12"/>
      <c r="Z1633" s="13"/>
    </row>
    <row r="1634" spans="1:26" ht="19.95" customHeight="1" x14ac:dyDescent="0.3">
      <c r="A1634" s="6"/>
      <c r="B1634" s="7"/>
      <c r="C1634" s="8"/>
      <c r="D1634" s="8"/>
      <c r="E1634" s="8"/>
      <c r="F1634" s="9"/>
      <c r="G1634" s="9"/>
      <c r="H1634" s="9"/>
      <c r="I1634" s="9" t="s">
        <v>14</v>
      </c>
      <c r="J1634" s="10" t="s">
        <v>14</v>
      </c>
      <c r="K1634" s="15" t="e">
        <f>VLOOKUP(J1634,DADOS!$A$3:$B$101,2,FALSE)</f>
        <v>#N/A</v>
      </c>
      <c r="L1634" s="15"/>
      <c r="M1634" s="18" t="b">
        <v>0</v>
      </c>
      <c r="N1634" s="17" t="b">
        <v>0</v>
      </c>
      <c r="O1634" s="17" t="b">
        <v>0</v>
      </c>
      <c r="P1634" s="17" t="b">
        <v>0</v>
      </c>
      <c r="Q1634" s="17" t="b">
        <v>0</v>
      </c>
      <c r="R1634" s="17" t="b">
        <v>0</v>
      </c>
      <c r="S1634" s="17" t="b">
        <v>0</v>
      </c>
      <c r="T1634" s="17" t="b">
        <v>0</v>
      </c>
      <c r="U1634" s="17" t="b">
        <v>0</v>
      </c>
      <c r="V1634" s="17" t="b">
        <v>0</v>
      </c>
      <c r="W1634" s="11"/>
      <c r="X1634" s="12"/>
      <c r="Y1634" s="12"/>
      <c r="Z1634" s="13"/>
    </row>
    <row r="1635" spans="1:26" ht="19.95" customHeight="1" x14ac:dyDescent="0.3">
      <c r="A1635" s="6"/>
      <c r="B1635" s="7"/>
      <c r="C1635" s="8"/>
      <c r="D1635" s="8"/>
      <c r="E1635" s="8"/>
      <c r="F1635" s="9"/>
      <c r="G1635" s="9"/>
      <c r="H1635" s="9"/>
      <c r="I1635" s="9" t="s">
        <v>14</v>
      </c>
      <c r="J1635" s="10" t="s">
        <v>14</v>
      </c>
      <c r="K1635" s="15" t="e">
        <f>VLOOKUP(J1635,DADOS!$A$3:$B$101,2,FALSE)</f>
        <v>#N/A</v>
      </c>
      <c r="L1635" s="15"/>
      <c r="M1635" s="18" t="b">
        <v>0</v>
      </c>
      <c r="N1635" s="17" t="b">
        <v>0</v>
      </c>
      <c r="O1635" s="17" t="b">
        <v>0</v>
      </c>
      <c r="P1635" s="17" t="b">
        <v>0</v>
      </c>
      <c r="Q1635" s="17" t="b">
        <v>0</v>
      </c>
      <c r="R1635" s="17" t="b">
        <v>0</v>
      </c>
      <c r="S1635" s="17" t="b">
        <v>0</v>
      </c>
      <c r="T1635" s="17" t="b">
        <v>0</v>
      </c>
      <c r="U1635" s="17" t="b">
        <v>0</v>
      </c>
      <c r="V1635" s="17" t="b">
        <v>0</v>
      </c>
      <c r="W1635" s="11"/>
      <c r="X1635" s="12"/>
      <c r="Y1635" s="12"/>
      <c r="Z1635" s="13"/>
    </row>
    <row r="1636" spans="1:26" ht="19.95" customHeight="1" x14ac:dyDescent="0.3">
      <c r="A1636" s="6"/>
      <c r="B1636" s="7"/>
      <c r="C1636" s="8"/>
      <c r="D1636" s="8"/>
      <c r="E1636" s="8"/>
      <c r="F1636" s="9"/>
      <c r="G1636" s="9"/>
      <c r="H1636" s="9"/>
      <c r="I1636" s="9" t="s">
        <v>14</v>
      </c>
      <c r="J1636" s="10" t="s">
        <v>14</v>
      </c>
      <c r="K1636" s="15" t="e">
        <f>VLOOKUP(J1636,DADOS!$A$3:$B$101,2,FALSE)</f>
        <v>#N/A</v>
      </c>
      <c r="L1636" s="15"/>
      <c r="M1636" s="18" t="b">
        <v>0</v>
      </c>
      <c r="N1636" s="17" t="b">
        <v>0</v>
      </c>
      <c r="O1636" s="17" t="b">
        <v>0</v>
      </c>
      <c r="P1636" s="17" t="b">
        <v>0</v>
      </c>
      <c r="Q1636" s="17" t="b">
        <v>0</v>
      </c>
      <c r="R1636" s="17" t="b">
        <v>0</v>
      </c>
      <c r="S1636" s="17" t="b">
        <v>0</v>
      </c>
      <c r="T1636" s="17" t="b">
        <v>0</v>
      </c>
      <c r="U1636" s="17" t="b">
        <v>0</v>
      </c>
      <c r="V1636" s="17" t="b">
        <v>0</v>
      </c>
      <c r="W1636" s="11"/>
      <c r="X1636" s="12"/>
      <c r="Y1636" s="12"/>
      <c r="Z1636" s="13"/>
    </row>
    <row r="1637" spans="1:26" ht="19.95" customHeight="1" x14ac:dyDescent="0.3">
      <c r="A1637" s="6"/>
      <c r="B1637" s="7"/>
      <c r="C1637" s="8"/>
      <c r="D1637" s="8"/>
      <c r="E1637" s="8"/>
      <c r="F1637" s="9"/>
      <c r="G1637" s="9"/>
      <c r="H1637" s="9"/>
      <c r="I1637" s="9" t="s">
        <v>14</v>
      </c>
      <c r="J1637" s="10" t="s">
        <v>14</v>
      </c>
      <c r="K1637" s="15" t="e">
        <f>VLOOKUP(J1637,DADOS!$A$3:$B$101,2,FALSE)</f>
        <v>#N/A</v>
      </c>
      <c r="L1637" s="15"/>
      <c r="M1637" s="18" t="b">
        <v>0</v>
      </c>
      <c r="N1637" s="17" t="b">
        <v>0</v>
      </c>
      <c r="O1637" s="17" t="b">
        <v>0</v>
      </c>
      <c r="P1637" s="17" t="b">
        <v>0</v>
      </c>
      <c r="Q1637" s="17" t="b">
        <v>0</v>
      </c>
      <c r="R1637" s="17" t="b">
        <v>0</v>
      </c>
      <c r="S1637" s="17" t="b">
        <v>0</v>
      </c>
      <c r="T1637" s="17" t="b">
        <v>0</v>
      </c>
      <c r="U1637" s="17" t="b">
        <v>0</v>
      </c>
      <c r="V1637" s="17" t="b">
        <v>0</v>
      </c>
      <c r="W1637" s="11"/>
      <c r="X1637" s="12"/>
      <c r="Y1637" s="12"/>
      <c r="Z1637" s="13"/>
    </row>
    <row r="1638" spans="1:26" ht="19.95" customHeight="1" x14ac:dyDescent="0.3">
      <c r="A1638" s="6"/>
      <c r="B1638" s="7"/>
      <c r="C1638" s="8"/>
      <c r="D1638" s="8"/>
      <c r="E1638" s="8"/>
      <c r="F1638" s="9"/>
      <c r="G1638" s="9"/>
      <c r="H1638" s="9"/>
      <c r="I1638" s="9" t="s">
        <v>14</v>
      </c>
      <c r="J1638" s="10" t="s">
        <v>14</v>
      </c>
      <c r="K1638" s="15" t="e">
        <f>VLOOKUP(J1638,DADOS!$A$3:$B$101,2,FALSE)</f>
        <v>#N/A</v>
      </c>
      <c r="L1638" s="15"/>
      <c r="M1638" s="18" t="b">
        <v>0</v>
      </c>
      <c r="N1638" s="17" t="b">
        <v>0</v>
      </c>
      <c r="O1638" s="17" t="b">
        <v>0</v>
      </c>
      <c r="P1638" s="17" t="b">
        <v>0</v>
      </c>
      <c r="Q1638" s="17" t="b">
        <v>0</v>
      </c>
      <c r="R1638" s="17" t="b">
        <v>0</v>
      </c>
      <c r="S1638" s="17" t="b">
        <v>0</v>
      </c>
      <c r="T1638" s="17" t="b">
        <v>0</v>
      </c>
      <c r="U1638" s="17" t="b">
        <v>0</v>
      </c>
      <c r="V1638" s="17" t="b">
        <v>0</v>
      </c>
      <c r="W1638" s="11"/>
      <c r="X1638" s="12"/>
      <c r="Y1638" s="12"/>
      <c r="Z1638" s="13"/>
    </row>
    <row r="1639" spans="1:26" ht="19.95" customHeight="1" x14ac:dyDescent="0.3">
      <c r="A1639" s="6"/>
      <c r="B1639" s="7"/>
      <c r="C1639" s="8"/>
      <c r="D1639" s="8"/>
      <c r="E1639" s="8"/>
      <c r="F1639" s="9"/>
      <c r="G1639" s="9"/>
      <c r="H1639" s="9"/>
      <c r="I1639" s="9" t="s">
        <v>14</v>
      </c>
      <c r="J1639" s="10" t="s">
        <v>14</v>
      </c>
      <c r="K1639" s="15" t="e">
        <f>VLOOKUP(J1639,DADOS!$A$3:$B$101,2,FALSE)</f>
        <v>#N/A</v>
      </c>
      <c r="L1639" s="15"/>
      <c r="M1639" s="18" t="b">
        <v>0</v>
      </c>
      <c r="N1639" s="17" t="b">
        <v>0</v>
      </c>
      <c r="O1639" s="17" t="b">
        <v>0</v>
      </c>
      <c r="P1639" s="17" t="b">
        <v>0</v>
      </c>
      <c r="Q1639" s="17" t="b">
        <v>0</v>
      </c>
      <c r="R1639" s="17" t="b">
        <v>0</v>
      </c>
      <c r="S1639" s="17" t="b">
        <v>0</v>
      </c>
      <c r="T1639" s="17" t="b">
        <v>0</v>
      </c>
      <c r="U1639" s="17" t="b">
        <v>0</v>
      </c>
      <c r="V1639" s="17" t="b">
        <v>0</v>
      </c>
      <c r="W1639" s="11"/>
      <c r="X1639" s="12"/>
      <c r="Y1639" s="12"/>
      <c r="Z1639" s="13"/>
    </row>
    <row r="1640" spans="1:26" ht="19.95" customHeight="1" x14ac:dyDescent="0.3">
      <c r="A1640" s="6"/>
      <c r="B1640" s="7"/>
      <c r="C1640" s="8"/>
      <c r="D1640" s="8"/>
      <c r="E1640" s="8"/>
      <c r="F1640" s="9"/>
      <c r="G1640" s="9"/>
      <c r="H1640" s="9"/>
      <c r="I1640" s="9" t="s">
        <v>14</v>
      </c>
      <c r="J1640" s="10" t="s">
        <v>14</v>
      </c>
      <c r="K1640" s="15" t="e">
        <f>VLOOKUP(J1640,DADOS!$A$3:$B$101,2,FALSE)</f>
        <v>#N/A</v>
      </c>
      <c r="L1640" s="15"/>
      <c r="M1640" s="18" t="b">
        <v>0</v>
      </c>
      <c r="N1640" s="17" t="b">
        <v>0</v>
      </c>
      <c r="O1640" s="17" t="b">
        <v>0</v>
      </c>
      <c r="P1640" s="17" t="b">
        <v>0</v>
      </c>
      <c r="Q1640" s="17" t="b">
        <v>0</v>
      </c>
      <c r="R1640" s="17" t="b">
        <v>0</v>
      </c>
      <c r="S1640" s="17" t="b">
        <v>0</v>
      </c>
      <c r="T1640" s="17" t="b">
        <v>0</v>
      </c>
      <c r="U1640" s="17" t="b">
        <v>0</v>
      </c>
      <c r="V1640" s="17" t="b">
        <v>0</v>
      </c>
      <c r="W1640" s="11"/>
      <c r="X1640" s="12"/>
      <c r="Y1640" s="12"/>
      <c r="Z1640" s="13"/>
    </row>
    <row r="1641" spans="1:26" ht="19.95" customHeight="1" x14ac:dyDescent="0.3">
      <c r="A1641" s="6"/>
      <c r="B1641" s="7"/>
      <c r="C1641" s="8"/>
      <c r="D1641" s="8"/>
      <c r="E1641" s="8"/>
      <c r="F1641" s="9"/>
      <c r="G1641" s="9"/>
      <c r="H1641" s="9"/>
      <c r="I1641" s="9" t="s">
        <v>14</v>
      </c>
      <c r="J1641" s="10" t="s">
        <v>14</v>
      </c>
      <c r="K1641" s="15" t="e">
        <f>VLOOKUP(J1641,DADOS!$A$3:$B$101,2,FALSE)</f>
        <v>#N/A</v>
      </c>
      <c r="L1641" s="15"/>
      <c r="M1641" s="18" t="b">
        <v>0</v>
      </c>
      <c r="N1641" s="17" t="b">
        <v>0</v>
      </c>
      <c r="O1641" s="17" t="b">
        <v>0</v>
      </c>
      <c r="P1641" s="17" t="b">
        <v>0</v>
      </c>
      <c r="Q1641" s="17" t="b">
        <v>0</v>
      </c>
      <c r="R1641" s="17" t="b">
        <v>0</v>
      </c>
      <c r="S1641" s="17" t="b">
        <v>0</v>
      </c>
      <c r="T1641" s="17" t="b">
        <v>0</v>
      </c>
      <c r="U1641" s="17" t="b">
        <v>0</v>
      </c>
      <c r="V1641" s="17" t="b">
        <v>0</v>
      </c>
      <c r="W1641" s="11"/>
      <c r="X1641" s="12"/>
      <c r="Y1641" s="12"/>
      <c r="Z1641" s="13"/>
    </row>
    <row r="1642" spans="1:26" ht="19.95" customHeight="1" x14ac:dyDescent="0.3">
      <c r="A1642" s="6"/>
      <c r="B1642" s="7"/>
      <c r="C1642" s="8"/>
      <c r="D1642" s="8"/>
      <c r="E1642" s="8"/>
      <c r="F1642" s="9"/>
      <c r="G1642" s="9"/>
      <c r="H1642" s="9"/>
      <c r="I1642" s="9" t="s">
        <v>14</v>
      </c>
      <c r="J1642" s="10" t="s">
        <v>14</v>
      </c>
      <c r="K1642" s="15" t="e">
        <f>VLOOKUP(J1642,DADOS!$A$3:$B$101,2,FALSE)</f>
        <v>#N/A</v>
      </c>
      <c r="L1642" s="15"/>
      <c r="M1642" s="18" t="b">
        <v>0</v>
      </c>
      <c r="N1642" s="17" t="b">
        <v>0</v>
      </c>
      <c r="O1642" s="17" t="b">
        <v>0</v>
      </c>
      <c r="P1642" s="17" t="b">
        <v>0</v>
      </c>
      <c r="Q1642" s="17" t="b">
        <v>0</v>
      </c>
      <c r="R1642" s="17" t="b">
        <v>0</v>
      </c>
      <c r="S1642" s="17" t="b">
        <v>0</v>
      </c>
      <c r="T1642" s="17" t="b">
        <v>0</v>
      </c>
      <c r="U1642" s="17" t="b">
        <v>0</v>
      </c>
      <c r="V1642" s="17" t="b">
        <v>0</v>
      </c>
      <c r="W1642" s="11"/>
      <c r="X1642" s="12"/>
      <c r="Y1642" s="12"/>
      <c r="Z1642" s="13"/>
    </row>
    <row r="1643" spans="1:26" ht="19.95" customHeight="1" x14ac:dyDescent="0.3">
      <c r="A1643" s="6"/>
      <c r="B1643" s="7"/>
      <c r="C1643" s="8"/>
      <c r="D1643" s="8"/>
      <c r="E1643" s="8"/>
      <c r="F1643" s="9"/>
      <c r="G1643" s="9"/>
      <c r="H1643" s="9"/>
      <c r="I1643" s="9" t="s">
        <v>14</v>
      </c>
      <c r="J1643" s="10" t="s">
        <v>14</v>
      </c>
      <c r="K1643" s="15" t="e">
        <f>VLOOKUP(J1643,DADOS!$A$3:$B$101,2,FALSE)</f>
        <v>#N/A</v>
      </c>
      <c r="L1643" s="15"/>
      <c r="M1643" s="18" t="b">
        <v>0</v>
      </c>
      <c r="N1643" s="17" t="b">
        <v>0</v>
      </c>
      <c r="O1643" s="17" t="b">
        <v>0</v>
      </c>
      <c r="P1643" s="17" t="b">
        <v>0</v>
      </c>
      <c r="Q1643" s="17" t="b">
        <v>0</v>
      </c>
      <c r="R1643" s="17" t="b">
        <v>0</v>
      </c>
      <c r="S1643" s="17" t="b">
        <v>0</v>
      </c>
      <c r="T1643" s="17" t="b">
        <v>0</v>
      </c>
      <c r="U1643" s="17" t="b">
        <v>0</v>
      </c>
      <c r="V1643" s="17" t="b">
        <v>0</v>
      </c>
      <c r="W1643" s="11"/>
      <c r="X1643" s="12"/>
      <c r="Y1643" s="12"/>
      <c r="Z1643" s="13"/>
    </row>
    <row r="1644" spans="1:26" ht="19.95" customHeight="1" x14ac:dyDescent="0.3">
      <c r="A1644" s="6"/>
      <c r="B1644" s="7"/>
      <c r="C1644" s="8"/>
      <c r="D1644" s="8"/>
      <c r="E1644" s="8"/>
      <c r="F1644" s="9"/>
      <c r="G1644" s="9"/>
      <c r="H1644" s="9"/>
      <c r="I1644" s="9" t="s">
        <v>14</v>
      </c>
      <c r="J1644" s="10" t="s">
        <v>14</v>
      </c>
      <c r="K1644" s="15" t="e">
        <f>VLOOKUP(J1644,DADOS!$A$3:$B$101,2,FALSE)</f>
        <v>#N/A</v>
      </c>
      <c r="L1644" s="15"/>
      <c r="M1644" s="18" t="b">
        <v>0</v>
      </c>
      <c r="N1644" s="17" t="b">
        <v>0</v>
      </c>
      <c r="O1644" s="17" t="b">
        <v>0</v>
      </c>
      <c r="P1644" s="17" t="b">
        <v>0</v>
      </c>
      <c r="Q1644" s="17" t="b">
        <v>0</v>
      </c>
      <c r="R1644" s="17" t="b">
        <v>0</v>
      </c>
      <c r="S1644" s="17" t="b">
        <v>0</v>
      </c>
      <c r="T1644" s="17" t="b">
        <v>0</v>
      </c>
      <c r="U1644" s="17" t="b">
        <v>0</v>
      </c>
      <c r="V1644" s="17" t="b">
        <v>0</v>
      </c>
      <c r="W1644" s="11"/>
      <c r="X1644" s="12"/>
      <c r="Y1644" s="12"/>
      <c r="Z1644" s="13"/>
    </row>
    <row r="1645" spans="1:26" ht="19.95" customHeight="1" x14ac:dyDescent="0.3">
      <c r="A1645" s="6"/>
      <c r="B1645" s="7"/>
      <c r="C1645" s="8"/>
      <c r="D1645" s="8"/>
      <c r="E1645" s="8"/>
      <c r="F1645" s="9"/>
      <c r="G1645" s="9"/>
      <c r="H1645" s="9"/>
      <c r="I1645" s="9" t="s">
        <v>14</v>
      </c>
      <c r="J1645" s="10" t="s">
        <v>14</v>
      </c>
      <c r="K1645" s="15" t="e">
        <f>VLOOKUP(J1645,DADOS!$A$3:$B$101,2,FALSE)</f>
        <v>#N/A</v>
      </c>
      <c r="L1645" s="15"/>
      <c r="M1645" s="18" t="b">
        <v>0</v>
      </c>
      <c r="N1645" s="17" t="b">
        <v>0</v>
      </c>
      <c r="O1645" s="17" t="b">
        <v>0</v>
      </c>
      <c r="P1645" s="17" t="b">
        <v>0</v>
      </c>
      <c r="Q1645" s="17" t="b">
        <v>0</v>
      </c>
      <c r="R1645" s="17" t="b">
        <v>0</v>
      </c>
      <c r="S1645" s="17" t="b">
        <v>0</v>
      </c>
      <c r="T1645" s="17" t="b">
        <v>0</v>
      </c>
      <c r="U1645" s="17" t="b">
        <v>0</v>
      </c>
      <c r="V1645" s="17" t="b">
        <v>0</v>
      </c>
      <c r="W1645" s="11"/>
      <c r="X1645" s="12"/>
      <c r="Y1645" s="12"/>
      <c r="Z1645" s="13"/>
    </row>
    <row r="1646" spans="1:26" ht="19.95" customHeight="1" x14ac:dyDescent="0.3">
      <c r="A1646" s="6"/>
      <c r="B1646" s="7"/>
      <c r="C1646" s="8"/>
      <c r="D1646" s="8"/>
      <c r="E1646" s="8"/>
      <c r="F1646" s="9"/>
      <c r="G1646" s="9"/>
      <c r="H1646" s="9"/>
      <c r="I1646" s="9" t="s">
        <v>14</v>
      </c>
      <c r="J1646" s="10" t="s">
        <v>14</v>
      </c>
      <c r="K1646" s="15" t="e">
        <f>VLOOKUP(J1646,DADOS!$A$3:$B$101,2,FALSE)</f>
        <v>#N/A</v>
      </c>
      <c r="L1646" s="15"/>
      <c r="M1646" s="18" t="b">
        <v>0</v>
      </c>
      <c r="N1646" s="17" t="b">
        <v>0</v>
      </c>
      <c r="O1646" s="17" t="b">
        <v>0</v>
      </c>
      <c r="P1646" s="17" t="b">
        <v>0</v>
      </c>
      <c r="Q1646" s="17" t="b">
        <v>0</v>
      </c>
      <c r="R1646" s="17" t="b">
        <v>0</v>
      </c>
      <c r="S1646" s="17" t="b">
        <v>0</v>
      </c>
      <c r="T1646" s="17" t="b">
        <v>0</v>
      </c>
      <c r="U1646" s="17" t="b">
        <v>0</v>
      </c>
      <c r="V1646" s="17" t="b">
        <v>0</v>
      </c>
      <c r="W1646" s="11"/>
      <c r="X1646" s="12"/>
      <c r="Y1646" s="12"/>
      <c r="Z1646" s="13"/>
    </row>
    <row r="1647" spans="1:26" ht="19.95" customHeight="1" x14ac:dyDescent="0.3">
      <c r="A1647" s="6"/>
      <c r="B1647" s="7"/>
      <c r="C1647" s="8"/>
      <c r="D1647" s="8"/>
      <c r="E1647" s="8"/>
      <c r="F1647" s="9"/>
      <c r="G1647" s="9"/>
      <c r="H1647" s="9"/>
      <c r="I1647" s="9" t="s">
        <v>14</v>
      </c>
      <c r="J1647" s="10" t="s">
        <v>14</v>
      </c>
      <c r="K1647" s="15" t="e">
        <f>VLOOKUP(J1647,DADOS!$A$3:$B$101,2,FALSE)</f>
        <v>#N/A</v>
      </c>
      <c r="L1647" s="15"/>
      <c r="M1647" s="18" t="b">
        <v>0</v>
      </c>
      <c r="N1647" s="17" t="b">
        <v>0</v>
      </c>
      <c r="O1647" s="17" t="b">
        <v>0</v>
      </c>
      <c r="P1647" s="17" t="b">
        <v>0</v>
      </c>
      <c r="Q1647" s="17" t="b">
        <v>0</v>
      </c>
      <c r="R1647" s="17" t="b">
        <v>0</v>
      </c>
      <c r="S1647" s="17" t="b">
        <v>0</v>
      </c>
      <c r="T1647" s="17" t="b">
        <v>0</v>
      </c>
      <c r="U1647" s="17" t="b">
        <v>0</v>
      </c>
      <c r="V1647" s="17" t="b">
        <v>0</v>
      </c>
      <c r="W1647" s="11"/>
      <c r="X1647" s="12"/>
      <c r="Y1647" s="12"/>
      <c r="Z1647" s="13"/>
    </row>
    <row r="1648" spans="1:26" ht="19.95" customHeight="1" x14ac:dyDescent="0.3">
      <c r="A1648" s="6"/>
      <c r="B1648" s="7"/>
      <c r="C1648" s="8"/>
      <c r="D1648" s="8"/>
      <c r="E1648" s="8"/>
      <c r="F1648" s="9"/>
      <c r="G1648" s="9"/>
      <c r="H1648" s="9"/>
      <c r="I1648" s="9" t="s">
        <v>14</v>
      </c>
      <c r="J1648" s="10" t="s">
        <v>14</v>
      </c>
      <c r="K1648" s="15" t="e">
        <f>VLOOKUP(J1648,DADOS!$A$3:$B$101,2,FALSE)</f>
        <v>#N/A</v>
      </c>
      <c r="L1648" s="15"/>
      <c r="M1648" s="18" t="b">
        <v>0</v>
      </c>
      <c r="N1648" s="17" t="b">
        <v>0</v>
      </c>
      <c r="O1648" s="17" t="b">
        <v>0</v>
      </c>
      <c r="P1648" s="17" t="b">
        <v>0</v>
      </c>
      <c r="Q1648" s="17" t="b">
        <v>0</v>
      </c>
      <c r="R1648" s="17" t="b">
        <v>0</v>
      </c>
      <c r="S1648" s="17" t="b">
        <v>0</v>
      </c>
      <c r="T1648" s="17" t="b">
        <v>0</v>
      </c>
      <c r="U1648" s="17" t="b">
        <v>0</v>
      </c>
      <c r="V1648" s="17" t="b">
        <v>0</v>
      </c>
      <c r="W1648" s="11"/>
      <c r="X1648" s="12"/>
      <c r="Y1648" s="12"/>
      <c r="Z1648" s="13"/>
    </row>
    <row r="1649" spans="1:26" ht="19.95" customHeight="1" x14ac:dyDescent="0.3">
      <c r="A1649" s="6"/>
      <c r="B1649" s="7"/>
      <c r="C1649" s="8"/>
      <c r="D1649" s="8"/>
      <c r="E1649" s="8"/>
      <c r="F1649" s="9"/>
      <c r="G1649" s="9"/>
      <c r="H1649" s="9"/>
      <c r="I1649" s="9" t="s">
        <v>14</v>
      </c>
      <c r="J1649" s="10" t="s">
        <v>14</v>
      </c>
      <c r="K1649" s="15" t="e">
        <f>VLOOKUP(J1649,DADOS!$A$3:$B$101,2,FALSE)</f>
        <v>#N/A</v>
      </c>
      <c r="L1649" s="15"/>
      <c r="M1649" s="18" t="b">
        <v>0</v>
      </c>
      <c r="N1649" s="17" t="b">
        <v>0</v>
      </c>
      <c r="O1649" s="17" t="b">
        <v>0</v>
      </c>
      <c r="P1649" s="17" t="b">
        <v>0</v>
      </c>
      <c r="Q1649" s="17" t="b">
        <v>0</v>
      </c>
      <c r="R1649" s="17" t="b">
        <v>0</v>
      </c>
      <c r="S1649" s="17" t="b">
        <v>0</v>
      </c>
      <c r="T1649" s="17" t="b">
        <v>0</v>
      </c>
      <c r="U1649" s="17" t="b">
        <v>0</v>
      </c>
      <c r="V1649" s="17" t="b">
        <v>0</v>
      </c>
      <c r="W1649" s="11"/>
      <c r="X1649" s="12"/>
      <c r="Y1649" s="12"/>
      <c r="Z1649" s="13"/>
    </row>
    <row r="1650" spans="1:26" ht="19.95" customHeight="1" x14ac:dyDescent="0.3">
      <c r="A1650" s="6"/>
      <c r="B1650" s="7"/>
      <c r="C1650" s="8"/>
      <c r="D1650" s="8"/>
      <c r="E1650" s="8"/>
      <c r="F1650" s="9"/>
      <c r="G1650" s="9"/>
      <c r="H1650" s="9"/>
      <c r="I1650" s="9" t="s">
        <v>14</v>
      </c>
      <c r="J1650" s="10" t="s">
        <v>14</v>
      </c>
      <c r="K1650" s="15" t="e">
        <f>VLOOKUP(J1650,DADOS!$A$3:$B$101,2,FALSE)</f>
        <v>#N/A</v>
      </c>
      <c r="L1650" s="15"/>
      <c r="M1650" s="18" t="b">
        <v>0</v>
      </c>
      <c r="N1650" s="17" t="b">
        <v>0</v>
      </c>
      <c r="O1650" s="17" t="b">
        <v>0</v>
      </c>
      <c r="P1650" s="17" t="b">
        <v>0</v>
      </c>
      <c r="Q1650" s="17" t="b">
        <v>0</v>
      </c>
      <c r="R1650" s="17" t="b">
        <v>0</v>
      </c>
      <c r="S1650" s="17" t="b">
        <v>0</v>
      </c>
      <c r="T1650" s="17" t="b">
        <v>0</v>
      </c>
      <c r="U1650" s="17" t="b">
        <v>0</v>
      </c>
      <c r="V1650" s="17" t="b">
        <v>0</v>
      </c>
      <c r="W1650" s="11"/>
      <c r="X1650" s="12"/>
      <c r="Y1650" s="12"/>
      <c r="Z1650" s="13"/>
    </row>
    <row r="1651" spans="1:26" ht="19.95" customHeight="1" x14ac:dyDescent="0.3">
      <c r="A1651" s="6"/>
      <c r="B1651" s="7"/>
      <c r="C1651" s="8"/>
      <c r="D1651" s="8"/>
      <c r="E1651" s="8"/>
      <c r="F1651" s="9"/>
      <c r="G1651" s="9"/>
      <c r="H1651" s="9"/>
      <c r="I1651" s="9" t="s">
        <v>14</v>
      </c>
      <c r="J1651" s="10" t="s">
        <v>14</v>
      </c>
      <c r="K1651" s="15" t="e">
        <f>VLOOKUP(J1651,DADOS!$A$3:$B$101,2,FALSE)</f>
        <v>#N/A</v>
      </c>
      <c r="L1651" s="15"/>
      <c r="M1651" s="18" t="b">
        <v>0</v>
      </c>
      <c r="N1651" s="17" t="b">
        <v>0</v>
      </c>
      <c r="O1651" s="17" t="b">
        <v>0</v>
      </c>
      <c r="P1651" s="17" t="b">
        <v>0</v>
      </c>
      <c r="Q1651" s="17" t="b">
        <v>0</v>
      </c>
      <c r="R1651" s="17" t="b">
        <v>0</v>
      </c>
      <c r="S1651" s="17" t="b">
        <v>0</v>
      </c>
      <c r="T1651" s="17" t="b">
        <v>0</v>
      </c>
      <c r="U1651" s="17" t="b">
        <v>0</v>
      </c>
      <c r="V1651" s="17" t="b">
        <v>0</v>
      </c>
      <c r="W1651" s="11"/>
      <c r="X1651" s="12"/>
      <c r="Y1651" s="12"/>
      <c r="Z1651" s="13"/>
    </row>
    <row r="1652" spans="1:26" ht="19.95" customHeight="1" x14ac:dyDescent="0.3">
      <c r="A1652" s="6"/>
      <c r="B1652" s="7"/>
      <c r="C1652" s="8"/>
      <c r="D1652" s="8"/>
      <c r="E1652" s="8"/>
      <c r="F1652" s="9"/>
      <c r="G1652" s="9"/>
      <c r="H1652" s="9"/>
      <c r="I1652" s="9" t="s">
        <v>14</v>
      </c>
      <c r="J1652" s="10" t="s">
        <v>14</v>
      </c>
      <c r="K1652" s="15" t="e">
        <f>VLOOKUP(J1652,DADOS!$A$3:$B$101,2,FALSE)</f>
        <v>#N/A</v>
      </c>
      <c r="L1652" s="15"/>
      <c r="M1652" s="18" t="b">
        <v>0</v>
      </c>
      <c r="N1652" s="17" t="b">
        <v>0</v>
      </c>
      <c r="O1652" s="17" t="b">
        <v>0</v>
      </c>
      <c r="P1652" s="17" t="b">
        <v>0</v>
      </c>
      <c r="Q1652" s="17" t="b">
        <v>0</v>
      </c>
      <c r="R1652" s="17" t="b">
        <v>0</v>
      </c>
      <c r="S1652" s="17" t="b">
        <v>0</v>
      </c>
      <c r="T1652" s="17" t="b">
        <v>0</v>
      </c>
      <c r="U1652" s="17" t="b">
        <v>0</v>
      </c>
      <c r="V1652" s="17" t="b">
        <v>0</v>
      </c>
      <c r="W1652" s="11"/>
      <c r="X1652" s="12"/>
      <c r="Y1652" s="12"/>
      <c r="Z1652" s="13"/>
    </row>
    <row r="1653" spans="1:26" ht="19.95" customHeight="1" x14ac:dyDescent="0.3">
      <c r="A1653" s="6"/>
      <c r="B1653" s="7"/>
      <c r="C1653" s="8"/>
      <c r="D1653" s="8"/>
      <c r="E1653" s="8"/>
      <c r="F1653" s="9"/>
      <c r="G1653" s="9"/>
      <c r="H1653" s="9"/>
      <c r="I1653" s="9" t="s">
        <v>14</v>
      </c>
      <c r="J1653" s="10" t="s">
        <v>14</v>
      </c>
      <c r="K1653" s="15" t="e">
        <f>VLOOKUP(J1653,DADOS!$A$3:$B$101,2,FALSE)</f>
        <v>#N/A</v>
      </c>
      <c r="L1653" s="15"/>
      <c r="M1653" s="18" t="b">
        <v>0</v>
      </c>
      <c r="N1653" s="17" t="b">
        <v>0</v>
      </c>
      <c r="O1653" s="17" t="b">
        <v>0</v>
      </c>
      <c r="P1653" s="17" t="b">
        <v>0</v>
      </c>
      <c r="Q1653" s="17" t="b">
        <v>0</v>
      </c>
      <c r="R1653" s="17" t="b">
        <v>0</v>
      </c>
      <c r="S1653" s="17" t="b">
        <v>0</v>
      </c>
      <c r="T1653" s="17" t="b">
        <v>0</v>
      </c>
      <c r="U1653" s="17" t="b">
        <v>0</v>
      </c>
      <c r="V1653" s="17" t="b">
        <v>0</v>
      </c>
      <c r="W1653" s="11"/>
      <c r="X1653" s="12"/>
      <c r="Y1653" s="12"/>
      <c r="Z1653" s="13"/>
    </row>
    <row r="1654" spans="1:26" ht="19.95" customHeight="1" x14ac:dyDescent="0.3">
      <c r="A1654" s="6"/>
      <c r="B1654" s="7"/>
      <c r="C1654" s="8"/>
      <c r="D1654" s="8"/>
      <c r="E1654" s="8"/>
      <c r="F1654" s="9"/>
      <c r="G1654" s="9"/>
      <c r="H1654" s="9"/>
      <c r="I1654" s="9" t="s">
        <v>14</v>
      </c>
      <c r="J1654" s="10" t="s">
        <v>14</v>
      </c>
      <c r="K1654" s="15" t="e">
        <f>VLOOKUP(J1654,DADOS!$A$3:$B$101,2,FALSE)</f>
        <v>#N/A</v>
      </c>
      <c r="L1654" s="15"/>
      <c r="M1654" s="18" t="b">
        <v>0</v>
      </c>
      <c r="N1654" s="17" t="b">
        <v>0</v>
      </c>
      <c r="O1654" s="17" t="b">
        <v>0</v>
      </c>
      <c r="P1654" s="17" t="b">
        <v>0</v>
      </c>
      <c r="Q1654" s="17" t="b">
        <v>0</v>
      </c>
      <c r="R1654" s="17" t="b">
        <v>0</v>
      </c>
      <c r="S1654" s="17" t="b">
        <v>0</v>
      </c>
      <c r="T1654" s="17" t="b">
        <v>0</v>
      </c>
      <c r="U1654" s="17" t="b">
        <v>0</v>
      </c>
      <c r="V1654" s="17" t="b">
        <v>0</v>
      </c>
      <c r="W1654" s="11"/>
      <c r="X1654" s="12"/>
      <c r="Y1654" s="12"/>
      <c r="Z1654" s="13"/>
    </row>
    <row r="1655" spans="1:26" ht="19.95" customHeight="1" x14ac:dyDescent="0.3">
      <c r="A1655" s="6"/>
      <c r="B1655" s="7"/>
      <c r="C1655" s="8"/>
      <c r="D1655" s="8"/>
      <c r="E1655" s="8"/>
      <c r="F1655" s="9"/>
      <c r="G1655" s="9"/>
      <c r="H1655" s="9"/>
      <c r="I1655" s="9" t="s">
        <v>14</v>
      </c>
      <c r="J1655" s="10" t="s">
        <v>14</v>
      </c>
      <c r="K1655" s="15" t="e">
        <f>VLOOKUP(J1655,DADOS!$A$3:$B$101,2,FALSE)</f>
        <v>#N/A</v>
      </c>
      <c r="L1655" s="15"/>
      <c r="M1655" s="18" t="b">
        <v>0</v>
      </c>
      <c r="N1655" s="17" t="b">
        <v>0</v>
      </c>
      <c r="O1655" s="17" t="b">
        <v>0</v>
      </c>
      <c r="P1655" s="17" t="b">
        <v>0</v>
      </c>
      <c r="Q1655" s="17" t="b">
        <v>0</v>
      </c>
      <c r="R1655" s="17" t="b">
        <v>0</v>
      </c>
      <c r="S1655" s="17" t="b">
        <v>0</v>
      </c>
      <c r="T1655" s="17" t="b">
        <v>0</v>
      </c>
      <c r="U1655" s="17" t="b">
        <v>0</v>
      </c>
      <c r="V1655" s="17" t="b">
        <v>0</v>
      </c>
      <c r="W1655" s="11"/>
      <c r="X1655" s="12"/>
      <c r="Y1655" s="12"/>
      <c r="Z1655" s="13"/>
    </row>
    <row r="1656" spans="1:26" ht="19.95" customHeight="1" x14ac:dyDescent="0.3">
      <c r="A1656" s="6"/>
      <c r="B1656" s="7"/>
      <c r="C1656" s="8"/>
      <c r="D1656" s="8"/>
      <c r="E1656" s="8"/>
      <c r="F1656" s="9"/>
      <c r="G1656" s="9"/>
      <c r="H1656" s="9"/>
      <c r="I1656" s="9" t="s">
        <v>14</v>
      </c>
      <c r="J1656" s="10" t="s">
        <v>14</v>
      </c>
      <c r="K1656" s="15" t="e">
        <f>VLOOKUP(J1656,DADOS!$A$3:$B$101,2,FALSE)</f>
        <v>#N/A</v>
      </c>
      <c r="L1656" s="15"/>
      <c r="M1656" s="18" t="b">
        <v>0</v>
      </c>
      <c r="N1656" s="17" t="b">
        <v>0</v>
      </c>
      <c r="O1656" s="17" t="b">
        <v>0</v>
      </c>
      <c r="P1656" s="17" t="b">
        <v>0</v>
      </c>
      <c r="Q1656" s="17" t="b">
        <v>0</v>
      </c>
      <c r="R1656" s="17" t="b">
        <v>0</v>
      </c>
      <c r="S1656" s="17" t="b">
        <v>0</v>
      </c>
      <c r="T1656" s="17" t="b">
        <v>0</v>
      </c>
      <c r="U1656" s="17" t="b">
        <v>0</v>
      </c>
      <c r="V1656" s="17" t="b">
        <v>0</v>
      </c>
      <c r="W1656" s="11"/>
      <c r="X1656" s="12"/>
      <c r="Y1656" s="12"/>
      <c r="Z1656" s="13"/>
    </row>
    <row r="1657" spans="1:26" ht="19.95" customHeight="1" x14ac:dyDescent="0.3">
      <c r="A1657" s="6"/>
      <c r="B1657" s="7"/>
      <c r="C1657" s="8"/>
      <c r="D1657" s="8"/>
      <c r="E1657" s="8"/>
      <c r="F1657" s="9"/>
      <c r="G1657" s="9"/>
      <c r="H1657" s="9"/>
      <c r="I1657" s="9" t="s">
        <v>14</v>
      </c>
      <c r="J1657" s="10" t="s">
        <v>14</v>
      </c>
      <c r="K1657" s="15" t="e">
        <f>VLOOKUP(J1657,DADOS!$A$3:$B$101,2,FALSE)</f>
        <v>#N/A</v>
      </c>
      <c r="L1657" s="15"/>
      <c r="M1657" s="18" t="b">
        <v>0</v>
      </c>
      <c r="N1657" s="17" t="b">
        <v>0</v>
      </c>
      <c r="O1657" s="17" t="b">
        <v>0</v>
      </c>
      <c r="P1657" s="17" t="b">
        <v>0</v>
      </c>
      <c r="Q1657" s="17" t="b">
        <v>0</v>
      </c>
      <c r="R1657" s="17" t="b">
        <v>0</v>
      </c>
      <c r="S1657" s="17" t="b">
        <v>0</v>
      </c>
      <c r="T1657" s="17" t="b">
        <v>0</v>
      </c>
      <c r="U1657" s="17" t="b">
        <v>0</v>
      </c>
      <c r="V1657" s="17" t="b">
        <v>0</v>
      </c>
      <c r="W1657" s="11"/>
      <c r="X1657" s="12"/>
      <c r="Y1657" s="12"/>
      <c r="Z1657" s="13"/>
    </row>
    <row r="1658" spans="1:26" ht="19.95" customHeight="1" x14ac:dyDescent="0.3">
      <c r="A1658" s="6"/>
      <c r="B1658" s="7"/>
      <c r="C1658" s="8"/>
      <c r="D1658" s="8"/>
      <c r="E1658" s="8"/>
      <c r="F1658" s="9"/>
      <c r="G1658" s="9"/>
      <c r="H1658" s="9"/>
      <c r="I1658" s="9" t="s">
        <v>14</v>
      </c>
      <c r="J1658" s="10" t="s">
        <v>14</v>
      </c>
      <c r="K1658" s="15" t="e">
        <f>VLOOKUP(J1658,DADOS!$A$3:$B$101,2,FALSE)</f>
        <v>#N/A</v>
      </c>
      <c r="L1658" s="15"/>
      <c r="M1658" s="18" t="b">
        <v>0</v>
      </c>
      <c r="N1658" s="17" t="b">
        <v>0</v>
      </c>
      <c r="O1658" s="17" t="b">
        <v>0</v>
      </c>
      <c r="P1658" s="17" t="b">
        <v>0</v>
      </c>
      <c r="Q1658" s="17" t="b">
        <v>0</v>
      </c>
      <c r="R1658" s="17" t="b">
        <v>0</v>
      </c>
      <c r="S1658" s="17" t="b">
        <v>0</v>
      </c>
      <c r="T1658" s="17" t="b">
        <v>0</v>
      </c>
      <c r="U1658" s="17" t="b">
        <v>0</v>
      </c>
      <c r="V1658" s="17" t="b">
        <v>0</v>
      </c>
      <c r="W1658" s="11"/>
      <c r="X1658" s="12"/>
      <c r="Y1658" s="12"/>
      <c r="Z1658" s="13"/>
    </row>
    <row r="1659" spans="1:26" ht="19.95" customHeight="1" x14ac:dyDescent="0.3">
      <c r="A1659" s="6"/>
      <c r="B1659" s="7"/>
      <c r="C1659" s="8"/>
      <c r="D1659" s="8"/>
      <c r="E1659" s="8"/>
      <c r="F1659" s="9"/>
      <c r="G1659" s="9"/>
      <c r="H1659" s="9"/>
      <c r="I1659" s="9" t="s">
        <v>14</v>
      </c>
      <c r="J1659" s="10" t="s">
        <v>14</v>
      </c>
      <c r="K1659" s="15" t="e">
        <f>VLOOKUP(J1659,DADOS!$A$3:$B$101,2,FALSE)</f>
        <v>#N/A</v>
      </c>
      <c r="L1659" s="15"/>
      <c r="M1659" s="18" t="b">
        <v>0</v>
      </c>
      <c r="N1659" s="17" t="b">
        <v>0</v>
      </c>
      <c r="O1659" s="17" t="b">
        <v>0</v>
      </c>
      <c r="P1659" s="17" t="b">
        <v>0</v>
      </c>
      <c r="Q1659" s="17" t="b">
        <v>0</v>
      </c>
      <c r="R1659" s="17" t="b">
        <v>0</v>
      </c>
      <c r="S1659" s="17" t="b">
        <v>0</v>
      </c>
      <c r="T1659" s="17" t="b">
        <v>0</v>
      </c>
      <c r="U1659" s="17" t="b">
        <v>0</v>
      </c>
      <c r="V1659" s="17" t="b">
        <v>0</v>
      </c>
      <c r="W1659" s="11"/>
      <c r="X1659" s="12"/>
      <c r="Y1659" s="12"/>
      <c r="Z1659" s="13"/>
    </row>
    <row r="1660" spans="1:26" ht="19.95" customHeight="1" x14ac:dyDescent="0.3">
      <c r="A1660" s="6"/>
      <c r="B1660" s="7"/>
      <c r="C1660" s="8"/>
      <c r="D1660" s="8"/>
      <c r="E1660" s="8"/>
      <c r="F1660" s="9"/>
      <c r="G1660" s="9"/>
      <c r="H1660" s="9"/>
      <c r="I1660" s="9" t="s">
        <v>14</v>
      </c>
      <c r="J1660" s="10" t="s">
        <v>14</v>
      </c>
      <c r="K1660" s="15" t="e">
        <f>VLOOKUP(J1660,DADOS!$A$3:$B$101,2,FALSE)</f>
        <v>#N/A</v>
      </c>
      <c r="L1660" s="15"/>
      <c r="M1660" s="18" t="b">
        <v>0</v>
      </c>
      <c r="N1660" s="17" t="b">
        <v>0</v>
      </c>
      <c r="O1660" s="17" t="b">
        <v>0</v>
      </c>
      <c r="P1660" s="17" t="b">
        <v>0</v>
      </c>
      <c r="Q1660" s="17" t="b">
        <v>0</v>
      </c>
      <c r="R1660" s="17" t="b">
        <v>0</v>
      </c>
      <c r="S1660" s="17" t="b">
        <v>0</v>
      </c>
      <c r="T1660" s="17" t="b">
        <v>0</v>
      </c>
      <c r="U1660" s="17" t="b">
        <v>0</v>
      </c>
      <c r="V1660" s="17" t="b">
        <v>0</v>
      </c>
      <c r="W1660" s="11"/>
      <c r="X1660" s="12"/>
      <c r="Y1660" s="12"/>
      <c r="Z1660" s="13"/>
    </row>
    <row r="1661" spans="1:26" ht="19.95" customHeight="1" x14ac:dyDescent="0.3">
      <c r="A1661" s="6"/>
      <c r="B1661" s="7"/>
      <c r="C1661" s="8"/>
      <c r="D1661" s="8"/>
      <c r="E1661" s="8"/>
      <c r="F1661" s="9"/>
      <c r="G1661" s="9"/>
      <c r="H1661" s="9"/>
      <c r="I1661" s="9" t="s">
        <v>14</v>
      </c>
      <c r="J1661" s="10" t="s">
        <v>14</v>
      </c>
      <c r="K1661" s="15" t="e">
        <f>VLOOKUP(J1661,DADOS!$A$3:$B$101,2,FALSE)</f>
        <v>#N/A</v>
      </c>
      <c r="L1661" s="15"/>
      <c r="M1661" s="18" t="b">
        <v>0</v>
      </c>
      <c r="N1661" s="17" t="b">
        <v>0</v>
      </c>
      <c r="O1661" s="17" t="b">
        <v>0</v>
      </c>
      <c r="P1661" s="17" t="b">
        <v>0</v>
      </c>
      <c r="Q1661" s="17" t="b">
        <v>0</v>
      </c>
      <c r="R1661" s="17" t="b">
        <v>0</v>
      </c>
      <c r="S1661" s="17" t="b">
        <v>0</v>
      </c>
      <c r="T1661" s="17" t="b">
        <v>0</v>
      </c>
      <c r="U1661" s="17" t="b">
        <v>0</v>
      </c>
      <c r="V1661" s="17" t="b">
        <v>0</v>
      </c>
      <c r="W1661" s="11"/>
      <c r="X1661" s="12"/>
      <c r="Y1661" s="12"/>
      <c r="Z1661" s="13"/>
    </row>
    <row r="1662" spans="1:26" ht="19.95" customHeight="1" x14ac:dyDescent="0.3">
      <c r="A1662" s="6"/>
      <c r="B1662" s="7"/>
      <c r="C1662" s="8"/>
      <c r="D1662" s="8"/>
      <c r="E1662" s="8"/>
      <c r="F1662" s="9"/>
      <c r="G1662" s="9"/>
      <c r="H1662" s="9"/>
      <c r="I1662" s="9" t="s">
        <v>14</v>
      </c>
      <c r="J1662" s="10" t="s">
        <v>14</v>
      </c>
      <c r="K1662" s="15" t="e">
        <f>VLOOKUP(J1662,DADOS!$A$3:$B$101,2,FALSE)</f>
        <v>#N/A</v>
      </c>
      <c r="L1662" s="15"/>
      <c r="M1662" s="18" t="b">
        <v>0</v>
      </c>
      <c r="N1662" s="17" t="b">
        <v>0</v>
      </c>
      <c r="O1662" s="17" t="b">
        <v>0</v>
      </c>
      <c r="P1662" s="17" t="b">
        <v>0</v>
      </c>
      <c r="Q1662" s="17" t="b">
        <v>0</v>
      </c>
      <c r="R1662" s="17" t="b">
        <v>0</v>
      </c>
      <c r="S1662" s="17" t="b">
        <v>0</v>
      </c>
      <c r="T1662" s="17" t="b">
        <v>0</v>
      </c>
      <c r="U1662" s="17" t="b">
        <v>0</v>
      </c>
      <c r="V1662" s="17" t="b">
        <v>0</v>
      </c>
      <c r="W1662" s="11"/>
      <c r="X1662" s="12"/>
      <c r="Y1662" s="12"/>
      <c r="Z1662" s="13"/>
    </row>
    <row r="1663" spans="1:26" ht="19.95" customHeight="1" x14ac:dyDescent="0.3">
      <c r="A1663" s="6"/>
      <c r="B1663" s="7"/>
      <c r="C1663" s="8"/>
      <c r="D1663" s="8"/>
      <c r="E1663" s="8"/>
      <c r="F1663" s="9"/>
      <c r="G1663" s="9"/>
      <c r="H1663" s="9"/>
      <c r="I1663" s="9" t="s">
        <v>14</v>
      </c>
      <c r="J1663" s="10" t="s">
        <v>14</v>
      </c>
      <c r="K1663" s="15" t="e">
        <f>VLOOKUP(J1663,DADOS!$A$3:$B$101,2,FALSE)</f>
        <v>#N/A</v>
      </c>
      <c r="L1663" s="15"/>
      <c r="M1663" s="18" t="b">
        <v>0</v>
      </c>
      <c r="N1663" s="17" t="b">
        <v>0</v>
      </c>
      <c r="O1663" s="17" t="b">
        <v>0</v>
      </c>
      <c r="P1663" s="17" t="b">
        <v>0</v>
      </c>
      <c r="Q1663" s="17" t="b">
        <v>0</v>
      </c>
      <c r="R1663" s="17" t="b">
        <v>0</v>
      </c>
      <c r="S1663" s="17" t="b">
        <v>0</v>
      </c>
      <c r="T1663" s="17" t="b">
        <v>0</v>
      </c>
      <c r="U1663" s="17" t="b">
        <v>0</v>
      </c>
      <c r="V1663" s="17" t="b">
        <v>0</v>
      </c>
      <c r="W1663" s="11"/>
      <c r="X1663" s="12"/>
      <c r="Y1663" s="12"/>
      <c r="Z1663" s="13"/>
    </row>
    <row r="1664" spans="1:26" ht="19.95" customHeight="1" x14ac:dyDescent="0.3">
      <c r="A1664" s="6"/>
      <c r="B1664" s="7"/>
      <c r="C1664" s="8"/>
      <c r="D1664" s="8"/>
      <c r="E1664" s="8"/>
      <c r="F1664" s="9"/>
      <c r="G1664" s="9"/>
      <c r="H1664" s="9"/>
      <c r="I1664" s="9" t="s">
        <v>14</v>
      </c>
      <c r="J1664" s="10" t="s">
        <v>14</v>
      </c>
      <c r="K1664" s="15" t="e">
        <f>VLOOKUP(J1664,DADOS!$A$3:$B$101,2,FALSE)</f>
        <v>#N/A</v>
      </c>
      <c r="L1664" s="15"/>
      <c r="M1664" s="18" t="b">
        <v>0</v>
      </c>
      <c r="N1664" s="17" t="b">
        <v>0</v>
      </c>
      <c r="O1664" s="17" t="b">
        <v>0</v>
      </c>
      <c r="P1664" s="17" t="b">
        <v>0</v>
      </c>
      <c r="Q1664" s="17" t="b">
        <v>0</v>
      </c>
      <c r="R1664" s="17" t="b">
        <v>0</v>
      </c>
      <c r="S1664" s="17" t="b">
        <v>0</v>
      </c>
      <c r="T1664" s="17" t="b">
        <v>0</v>
      </c>
      <c r="U1664" s="17" t="b">
        <v>0</v>
      </c>
      <c r="V1664" s="17" t="b">
        <v>0</v>
      </c>
      <c r="W1664" s="11"/>
      <c r="X1664" s="12"/>
      <c r="Y1664" s="12"/>
      <c r="Z1664" s="13"/>
    </row>
    <row r="1665" spans="1:26" ht="19.95" customHeight="1" x14ac:dyDescent="0.3">
      <c r="A1665" s="6"/>
      <c r="B1665" s="7"/>
      <c r="C1665" s="8"/>
      <c r="D1665" s="8"/>
      <c r="E1665" s="8"/>
      <c r="F1665" s="9"/>
      <c r="G1665" s="9"/>
      <c r="H1665" s="9"/>
      <c r="I1665" s="9" t="s">
        <v>14</v>
      </c>
      <c r="J1665" s="10" t="s">
        <v>14</v>
      </c>
      <c r="K1665" s="15" t="e">
        <f>VLOOKUP(J1665,DADOS!$A$3:$B$101,2,FALSE)</f>
        <v>#N/A</v>
      </c>
      <c r="L1665" s="15"/>
      <c r="M1665" s="18" t="b">
        <v>0</v>
      </c>
      <c r="N1665" s="17" t="b">
        <v>0</v>
      </c>
      <c r="O1665" s="17" t="b">
        <v>0</v>
      </c>
      <c r="P1665" s="17" t="b">
        <v>0</v>
      </c>
      <c r="Q1665" s="17" t="b">
        <v>0</v>
      </c>
      <c r="R1665" s="17" t="b">
        <v>0</v>
      </c>
      <c r="S1665" s="17" t="b">
        <v>0</v>
      </c>
      <c r="T1665" s="17" t="b">
        <v>0</v>
      </c>
      <c r="U1665" s="17" t="b">
        <v>0</v>
      </c>
      <c r="V1665" s="17" t="b">
        <v>0</v>
      </c>
      <c r="W1665" s="11"/>
      <c r="X1665" s="12"/>
      <c r="Y1665" s="12"/>
      <c r="Z1665" s="13"/>
    </row>
    <row r="1666" spans="1:26" ht="19.95" customHeight="1" x14ac:dyDescent="0.3">
      <c r="A1666" s="6"/>
      <c r="B1666" s="7"/>
      <c r="C1666" s="8"/>
      <c r="D1666" s="8"/>
      <c r="E1666" s="8"/>
      <c r="F1666" s="9"/>
      <c r="G1666" s="9"/>
      <c r="H1666" s="9"/>
      <c r="I1666" s="9" t="s">
        <v>14</v>
      </c>
      <c r="J1666" s="10" t="s">
        <v>14</v>
      </c>
      <c r="K1666" s="15" t="e">
        <f>VLOOKUP(J1666,DADOS!$A$3:$B$101,2,FALSE)</f>
        <v>#N/A</v>
      </c>
      <c r="L1666" s="15"/>
      <c r="M1666" s="18" t="b">
        <v>0</v>
      </c>
      <c r="N1666" s="17" t="b">
        <v>0</v>
      </c>
      <c r="O1666" s="17" t="b">
        <v>0</v>
      </c>
      <c r="P1666" s="17" t="b">
        <v>0</v>
      </c>
      <c r="Q1666" s="17" t="b">
        <v>0</v>
      </c>
      <c r="R1666" s="17" t="b">
        <v>0</v>
      </c>
      <c r="S1666" s="17" t="b">
        <v>0</v>
      </c>
      <c r="T1666" s="17" t="b">
        <v>0</v>
      </c>
      <c r="U1666" s="17" t="b">
        <v>0</v>
      </c>
      <c r="V1666" s="17" t="b">
        <v>0</v>
      </c>
      <c r="W1666" s="11"/>
      <c r="X1666" s="12"/>
      <c r="Y1666" s="12"/>
      <c r="Z1666" s="13"/>
    </row>
    <row r="1667" spans="1:26" ht="19.95" customHeight="1" x14ac:dyDescent="0.3">
      <c r="A1667" s="6"/>
      <c r="B1667" s="7"/>
      <c r="C1667" s="8"/>
      <c r="D1667" s="8"/>
      <c r="E1667" s="8"/>
      <c r="F1667" s="9"/>
      <c r="G1667" s="9"/>
      <c r="H1667" s="9"/>
      <c r="I1667" s="9" t="s">
        <v>14</v>
      </c>
      <c r="J1667" s="10" t="s">
        <v>14</v>
      </c>
      <c r="K1667" s="15" t="e">
        <f>VLOOKUP(J1667,DADOS!$A$3:$B$101,2,FALSE)</f>
        <v>#N/A</v>
      </c>
      <c r="L1667" s="15"/>
      <c r="M1667" s="18" t="b">
        <v>0</v>
      </c>
      <c r="N1667" s="17" t="b">
        <v>0</v>
      </c>
      <c r="O1667" s="17" t="b">
        <v>0</v>
      </c>
      <c r="P1667" s="17" t="b">
        <v>0</v>
      </c>
      <c r="Q1667" s="17" t="b">
        <v>0</v>
      </c>
      <c r="R1667" s="17" t="b">
        <v>0</v>
      </c>
      <c r="S1667" s="17" t="b">
        <v>0</v>
      </c>
      <c r="T1667" s="17" t="b">
        <v>0</v>
      </c>
      <c r="U1667" s="17" t="b">
        <v>0</v>
      </c>
      <c r="V1667" s="17" t="b">
        <v>0</v>
      </c>
      <c r="W1667" s="11"/>
      <c r="X1667" s="12"/>
      <c r="Y1667" s="12"/>
      <c r="Z1667" s="13"/>
    </row>
    <row r="1668" spans="1:26" ht="19.95" customHeight="1" x14ac:dyDescent="0.3">
      <c r="A1668" s="6"/>
      <c r="B1668" s="7"/>
      <c r="C1668" s="8"/>
      <c r="D1668" s="8"/>
      <c r="E1668" s="8"/>
      <c r="F1668" s="9"/>
      <c r="G1668" s="9"/>
      <c r="H1668" s="9"/>
      <c r="I1668" s="9" t="s">
        <v>14</v>
      </c>
      <c r="J1668" s="10" t="s">
        <v>14</v>
      </c>
      <c r="K1668" s="15" t="e">
        <f>VLOOKUP(J1668,DADOS!$A$3:$B$101,2,FALSE)</f>
        <v>#N/A</v>
      </c>
      <c r="L1668" s="15"/>
      <c r="M1668" s="18" t="b">
        <v>0</v>
      </c>
      <c r="N1668" s="17" t="b">
        <v>0</v>
      </c>
      <c r="O1668" s="17" t="b">
        <v>0</v>
      </c>
      <c r="P1668" s="17" t="b">
        <v>0</v>
      </c>
      <c r="Q1668" s="17" t="b">
        <v>0</v>
      </c>
      <c r="R1668" s="17" t="b">
        <v>0</v>
      </c>
      <c r="S1668" s="17" t="b">
        <v>0</v>
      </c>
      <c r="T1668" s="17" t="b">
        <v>0</v>
      </c>
      <c r="U1668" s="17" t="b">
        <v>0</v>
      </c>
      <c r="V1668" s="17" t="b">
        <v>0</v>
      </c>
      <c r="W1668" s="11"/>
      <c r="X1668" s="12"/>
      <c r="Y1668" s="12"/>
      <c r="Z1668" s="13"/>
    </row>
    <row r="1669" spans="1:26" ht="19.95" customHeight="1" x14ac:dyDescent="0.3">
      <c r="A1669" s="6"/>
      <c r="B1669" s="7"/>
      <c r="C1669" s="8"/>
      <c r="D1669" s="8"/>
      <c r="E1669" s="8"/>
      <c r="F1669" s="9"/>
      <c r="G1669" s="9"/>
      <c r="H1669" s="9"/>
      <c r="I1669" s="9" t="s">
        <v>14</v>
      </c>
      <c r="J1669" s="10" t="s">
        <v>14</v>
      </c>
      <c r="K1669" s="15" t="e">
        <f>VLOOKUP(J1669,DADOS!$A$3:$B$101,2,FALSE)</f>
        <v>#N/A</v>
      </c>
      <c r="L1669" s="15"/>
      <c r="M1669" s="18" t="b">
        <v>0</v>
      </c>
      <c r="N1669" s="17" t="b">
        <v>0</v>
      </c>
      <c r="O1669" s="17" t="b">
        <v>0</v>
      </c>
      <c r="P1669" s="17" t="b">
        <v>0</v>
      </c>
      <c r="Q1669" s="17" t="b">
        <v>0</v>
      </c>
      <c r="R1669" s="17" t="b">
        <v>0</v>
      </c>
      <c r="S1669" s="17" t="b">
        <v>0</v>
      </c>
      <c r="T1669" s="17" t="b">
        <v>0</v>
      </c>
      <c r="U1669" s="17" t="b">
        <v>0</v>
      </c>
      <c r="V1669" s="17" t="b">
        <v>0</v>
      </c>
      <c r="W1669" s="11"/>
      <c r="X1669" s="12"/>
      <c r="Y1669" s="12"/>
      <c r="Z1669" s="13"/>
    </row>
    <row r="1670" spans="1:26" ht="19.95" customHeight="1" x14ac:dyDescent="0.3">
      <c r="A1670" s="6"/>
      <c r="B1670" s="7"/>
      <c r="C1670" s="8"/>
      <c r="D1670" s="8"/>
      <c r="E1670" s="8"/>
      <c r="F1670" s="9"/>
      <c r="G1670" s="9"/>
      <c r="H1670" s="9"/>
      <c r="I1670" s="9" t="s">
        <v>14</v>
      </c>
      <c r="J1670" s="10" t="s">
        <v>14</v>
      </c>
      <c r="K1670" s="15" t="e">
        <f>VLOOKUP(J1670,DADOS!$A$3:$B$101,2,FALSE)</f>
        <v>#N/A</v>
      </c>
      <c r="L1670" s="15"/>
      <c r="M1670" s="18" t="b">
        <v>0</v>
      </c>
      <c r="N1670" s="17" t="b">
        <v>0</v>
      </c>
      <c r="O1670" s="17" t="b">
        <v>0</v>
      </c>
      <c r="P1670" s="17" t="b">
        <v>0</v>
      </c>
      <c r="Q1670" s="17" t="b">
        <v>0</v>
      </c>
      <c r="R1670" s="17" t="b">
        <v>0</v>
      </c>
      <c r="S1670" s="17" t="b">
        <v>0</v>
      </c>
      <c r="T1670" s="17" t="b">
        <v>0</v>
      </c>
      <c r="U1670" s="17" t="b">
        <v>0</v>
      </c>
      <c r="V1670" s="17" t="b">
        <v>0</v>
      </c>
      <c r="W1670" s="11"/>
      <c r="X1670" s="12"/>
      <c r="Y1670" s="12"/>
      <c r="Z1670" s="13"/>
    </row>
    <row r="1671" spans="1:26" ht="19.95" customHeight="1" x14ac:dyDescent="0.3">
      <c r="A1671" s="6"/>
      <c r="B1671" s="7"/>
      <c r="C1671" s="8"/>
      <c r="D1671" s="8"/>
      <c r="E1671" s="8"/>
      <c r="F1671" s="9"/>
      <c r="G1671" s="9"/>
      <c r="H1671" s="9"/>
      <c r="I1671" s="9" t="s">
        <v>14</v>
      </c>
      <c r="J1671" s="10" t="s">
        <v>14</v>
      </c>
      <c r="K1671" s="15" t="e">
        <f>VLOOKUP(J1671,DADOS!$A$3:$B$101,2,FALSE)</f>
        <v>#N/A</v>
      </c>
      <c r="L1671" s="15"/>
      <c r="M1671" s="18" t="b">
        <v>0</v>
      </c>
      <c r="N1671" s="17" t="b">
        <v>0</v>
      </c>
      <c r="O1671" s="17" t="b">
        <v>0</v>
      </c>
      <c r="P1671" s="17" t="b">
        <v>0</v>
      </c>
      <c r="Q1671" s="17" t="b">
        <v>0</v>
      </c>
      <c r="R1671" s="17" t="b">
        <v>0</v>
      </c>
      <c r="S1671" s="17" t="b">
        <v>0</v>
      </c>
      <c r="T1671" s="17" t="b">
        <v>0</v>
      </c>
      <c r="U1671" s="17" t="b">
        <v>0</v>
      </c>
      <c r="V1671" s="17" t="b">
        <v>0</v>
      </c>
      <c r="W1671" s="11"/>
      <c r="X1671" s="12"/>
      <c r="Y1671" s="12"/>
      <c r="Z1671" s="13"/>
    </row>
    <row r="1672" spans="1:26" ht="19.95" customHeight="1" x14ac:dyDescent="0.3">
      <c r="A1672" s="6"/>
      <c r="B1672" s="7"/>
      <c r="C1672" s="8"/>
      <c r="D1672" s="8"/>
      <c r="E1672" s="8"/>
      <c r="F1672" s="9"/>
      <c r="G1672" s="9"/>
      <c r="H1672" s="9"/>
      <c r="I1672" s="9" t="s">
        <v>14</v>
      </c>
      <c r="J1672" s="10" t="s">
        <v>14</v>
      </c>
      <c r="K1672" s="15" t="e">
        <f>VLOOKUP(J1672,DADOS!$A$3:$B$101,2,FALSE)</f>
        <v>#N/A</v>
      </c>
      <c r="L1672" s="15"/>
      <c r="M1672" s="18" t="b">
        <v>0</v>
      </c>
      <c r="N1672" s="17" t="b">
        <v>0</v>
      </c>
      <c r="O1672" s="17" t="b">
        <v>0</v>
      </c>
      <c r="P1672" s="17" t="b">
        <v>0</v>
      </c>
      <c r="Q1672" s="17" t="b">
        <v>0</v>
      </c>
      <c r="R1672" s="17" t="b">
        <v>0</v>
      </c>
      <c r="S1672" s="17" t="b">
        <v>0</v>
      </c>
      <c r="T1672" s="17" t="b">
        <v>0</v>
      </c>
      <c r="U1672" s="17" t="b">
        <v>0</v>
      </c>
      <c r="V1672" s="17" t="b">
        <v>0</v>
      </c>
      <c r="W1672" s="11"/>
      <c r="X1672" s="12"/>
      <c r="Y1672" s="12"/>
      <c r="Z1672" s="13"/>
    </row>
    <row r="1673" spans="1:26" ht="19.95" customHeight="1" x14ac:dyDescent="0.3">
      <c r="A1673" s="6"/>
      <c r="B1673" s="7"/>
      <c r="C1673" s="8"/>
      <c r="D1673" s="8"/>
      <c r="E1673" s="8"/>
      <c r="F1673" s="9"/>
      <c r="G1673" s="9"/>
      <c r="H1673" s="9"/>
      <c r="I1673" s="9" t="s">
        <v>14</v>
      </c>
      <c r="J1673" s="10" t="s">
        <v>14</v>
      </c>
      <c r="K1673" s="15" t="e">
        <f>VLOOKUP(J1673,DADOS!$A$3:$B$101,2,FALSE)</f>
        <v>#N/A</v>
      </c>
      <c r="L1673" s="15"/>
      <c r="M1673" s="18" t="b">
        <v>0</v>
      </c>
      <c r="N1673" s="17" t="b">
        <v>0</v>
      </c>
      <c r="O1673" s="17" t="b">
        <v>0</v>
      </c>
      <c r="P1673" s="17" t="b">
        <v>0</v>
      </c>
      <c r="Q1673" s="17" t="b">
        <v>0</v>
      </c>
      <c r="R1673" s="17" t="b">
        <v>0</v>
      </c>
      <c r="S1673" s="17" t="b">
        <v>0</v>
      </c>
      <c r="T1673" s="17" t="b">
        <v>0</v>
      </c>
      <c r="U1673" s="17" t="b">
        <v>0</v>
      </c>
      <c r="V1673" s="17" t="b">
        <v>0</v>
      </c>
      <c r="W1673" s="11"/>
      <c r="X1673" s="12"/>
      <c r="Y1673" s="12"/>
      <c r="Z1673" s="13"/>
    </row>
    <row r="1674" spans="1:26" ht="19.95" customHeight="1" x14ac:dyDescent="0.3">
      <c r="A1674" s="6"/>
      <c r="B1674" s="7"/>
      <c r="C1674" s="8"/>
      <c r="D1674" s="8"/>
      <c r="E1674" s="8"/>
      <c r="F1674" s="9"/>
      <c r="G1674" s="9"/>
      <c r="H1674" s="9"/>
      <c r="I1674" s="9" t="s">
        <v>14</v>
      </c>
      <c r="J1674" s="10" t="s">
        <v>14</v>
      </c>
      <c r="K1674" s="15" t="e">
        <f>VLOOKUP(J1674,DADOS!$A$3:$B$101,2,FALSE)</f>
        <v>#N/A</v>
      </c>
      <c r="L1674" s="15"/>
      <c r="M1674" s="18" t="b">
        <v>0</v>
      </c>
      <c r="N1674" s="17" t="b">
        <v>0</v>
      </c>
      <c r="O1674" s="17" t="b">
        <v>0</v>
      </c>
      <c r="P1674" s="17" t="b">
        <v>0</v>
      </c>
      <c r="Q1674" s="17" t="b">
        <v>0</v>
      </c>
      <c r="R1674" s="17" t="b">
        <v>0</v>
      </c>
      <c r="S1674" s="17" t="b">
        <v>0</v>
      </c>
      <c r="T1674" s="17" t="b">
        <v>0</v>
      </c>
      <c r="U1674" s="17" t="b">
        <v>0</v>
      </c>
      <c r="V1674" s="17" t="b">
        <v>0</v>
      </c>
      <c r="W1674" s="11"/>
      <c r="X1674" s="12"/>
      <c r="Y1674" s="12"/>
      <c r="Z1674" s="13"/>
    </row>
    <row r="1675" spans="1:26" ht="19.95" customHeight="1" x14ac:dyDescent="0.3">
      <c r="A1675" s="6"/>
      <c r="B1675" s="7"/>
      <c r="C1675" s="8"/>
      <c r="D1675" s="8"/>
      <c r="E1675" s="8"/>
      <c r="F1675" s="9"/>
      <c r="G1675" s="9"/>
      <c r="H1675" s="9"/>
      <c r="I1675" s="9" t="s">
        <v>14</v>
      </c>
      <c r="J1675" s="10" t="s">
        <v>14</v>
      </c>
      <c r="K1675" s="15" t="e">
        <f>VLOOKUP(J1675,DADOS!$A$3:$B$101,2,FALSE)</f>
        <v>#N/A</v>
      </c>
      <c r="L1675" s="15"/>
      <c r="M1675" s="18" t="b">
        <v>0</v>
      </c>
      <c r="N1675" s="17" t="b">
        <v>0</v>
      </c>
      <c r="O1675" s="17" t="b">
        <v>0</v>
      </c>
      <c r="P1675" s="17" t="b">
        <v>0</v>
      </c>
      <c r="Q1675" s="17" t="b">
        <v>0</v>
      </c>
      <c r="R1675" s="17" t="b">
        <v>0</v>
      </c>
      <c r="S1675" s="17" t="b">
        <v>0</v>
      </c>
      <c r="T1675" s="17" t="b">
        <v>0</v>
      </c>
      <c r="U1675" s="17" t="b">
        <v>0</v>
      </c>
      <c r="V1675" s="17" t="b">
        <v>0</v>
      </c>
      <c r="W1675" s="11"/>
      <c r="X1675" s="12"/>
      <c r="Y1675" s="12"/>
      <c r="Z1675" s="13"/>
    </row>
    <row r="1676" spans="1:26" ht="19.95" customHeight="1" x14ac:dyDescent="0.3">
      <c r="A1676" s="6"/>
      <c r="B1676" s="7"/>
      <c r="C1676" s="8"/>
      <c r="D1676" s="8"/>
      <c r="E1676" s="8"/>
      <c r="F1676" s="9"/>
      <c r="G1676" s="9"/>
      <c r="H1676" s="9"/>
      <c r="I1676" s="9" t="s">
        <v>14</v>
      </c>
      <c r="J1676" s="10" t="s">
        <v>14</v>
      </c>
      <c r="K1676" s="15" t="e">
        <f>VLOOKUP(J1676,DADOS!$A$3:$B$101,2,FALSE)</f>
        <v>#N/A</v>
      </c>
      <c r="L1676" s="15"/>
      <c r="M1676" s="18" t="b">
        <v>0</v>
      </c>
      <c r="N1676" s="17" t="b">
        <v>0</v>
      </c>
      <c r="O1676" s="17" t="b">
        <v>0</v>
      </c>
      <c r="P1676" s="17" t="b">
        <v>0</v>
      </c>
      <c r="Q1676" s="17" t="b">
        <v>0</v>
      </c>
      <c r="R1676" s="17" t="b">
        <v>0</v>
      </c>
      <c r="S1676" s="17" t="b">
        <v>0</v>
      </c>
      <c r="T1676" s="17" t="b">
        <v>0</v>
      </c>
      <c r="U1676" s="17" t="b">
        <v>0</v>
      </c>
      <c r="V1676" s="17" t="b">
        <v>0</v>
      </c>
      <c r="W1676" s="11"/>
      <c r="X1676" s="12"/>
      <c r="Y1676" s="12"/>
      <c r="Z1676" s="13"/>
    </row>
    <row r="1677" spans="1:26" ht="19.95" customHeight="1" x14ac:dyDescent="0.3">
      <c r="A1677" s="6"/>
      <c r="B1677" s="7"/>
      <c r="C1677" s="8"/>
      <c r="D1677" s="8"/>
      <c r="E1677" s="8"/>
      <c r="F1677" s="9"/>
      <c r="G1677" s="9"/>
      <c r="H1677" s="9"/>
      <c r="I1677" s="9" t="s">
        <v>14</v>
      </c>
      <c r="J1677" s="10" t="s">
        <v>14</v>
      </c>
      <c r="K1677" s="15" t="e">
        <f>VLOOKUP(J1677,DADOS!$A$3:$B$101,2,FALSE)</f>
        <v>#N/A</v>
      </c>
      <c r="L1677" s="15"/>
      <c r="M1677" s="18" t="b">
        <v>0</v>
      </c>
      <c r="N1677" s="17" t="b">
        <v>0</v>
      </c>
      <c r="O1677" s="17" t="b">
        <v>0</v>
      </c>
      <c r="P1677" s="17" t="b">
        <v>0</v>
      </c>
      <c r="Q1677" s="17" t="b">
        <v>0</v>
      </c>
      <c r="R1677" s="17" t="b">
        <v>0</v>
      </c>
      <c r="S1677" s="17" t="b">
        <v>0</v>
      </c>
      <c r="T1677" s="17" t="b">
        <v>0</v>
      </c>
      <c r="U1677" s="17" t="b">
        <v>0</v>
      </c>
      <c r="V1677" s="17" t="b">
        <v>0</v>
      </c>
      <c r="W1677" s="11"/>
      <c r="X1677" s="12"/>
      <c r="Y1677" s="12"/>
      <c r="Z1677" s="13"/>
    </row>
    <row r="1678" spans="1:26" ht="19.95" customHeight="1" x14ac:dyDescent="0.3">
      <c r="A1678" s="6"/>
      <c r="B1678" s="7"/>
      <c r="C1678" s="8"/>
      <c r="D1678" s="8"/>
      <c r="E1678" s="8"/>
      <c r="F1678" s="9"/>
      <c r="G1678" s="9"/>
      <c r="H1678" s="9"/>
      <c r="I1678" s="9" t="s">
        <v>14</v>
      </c>
      <c r="J1678" s="10" t="s">
        <v>14</v>
      </c>
      <c r="K1678" s="15" t="e">
        <f>VLOOKUP(J1678,DADOS!$A$3:$B$101,2,FALSE)</f>
        <v>#N/A</v>
      </c>
      <c r="L1678" s="15"/>
      <c r="M1678" s="18" t="b">
        <v>0</v>
      </c>
      <c r="N1678" s="17" t="b">
        <v>0</v>
      </c>
      <c r="O1678" s="17" t="b">
        <v>0</v>
      </c>
      <c r="P1678" s="17" t="b">
        <v>0</v>
      </c>
      <c r="Q1678" s="17" t="b">
        <v>0</v>
      </c>
      <c r="R1678" s="17" t="b">
        <v>0</v>
      </c>
      <c r="S1678" s="17" t="b">
        <v>0</v>
      </c>
      <c r="T1678" s="17" t="b">
        <v>0</v>
      </c>
      <c r="U1678" s="17" t="b">
        <v>0</v>
      </c>
      <c r="V1678" s="17" t="b">
        <v>0</v>
      </c>
      <c r="W1678" s="11"/>
      <c r="X1678" s="12"/>
      <c r="Y1678" s="12"/>
      <c r="Z1678" s="13"/>
    </row>
    <row r="1679" spans="1:26" ht="19.95" customHeight="1" x14ac:dyDescent="0.3">
      <c r="A1679" s="6"/>
      <c r="B1679" s="7"/>
      <c r="C1679" s="8"/>
      <c r="D1679" s="8"/>
      <c r="E1679" s="8"/>
      <c r="F1679" s="9"/>
      <c r="G1679" s="9"/>
      <c r="H1679" s="9"/>
      <c r="I1679" s="9" t="s">
        <v>14</v>
      </c>
      <c r="J1679" s="10" t="s">
        <v>14</v>
      </c>
      <c r="K1679" s="15" t="e">
        <f>VLOOKUP(J1679,DADOS!$A$3:$B$101,2,FALSE)</f>
        <v>#N/A</v>
      </c>
      <c r="L1679" s="15"/>
      <c r="M1679" s="18" t="b">
        <v>0</v>
      </c>
      <c r="N1679" s="17" t="b">
        <v>0</v>
      </c>
      <c r="O1679" s="17" t="b">
        <v>0</v>
      </c>
      <c r="P1679" s="17" t="b">
        <v>0</v>
      </c>
      <c r="Q1679" s="17" t="b">
        <v>0</v>
      </c>
      <c r="R1679" s="17" t="b">
        <v>0</v>
      </c>
      <c r="S1679" s="17" t="b">
        <v>0</v>
      </c>
      <c r="T1679" s="17" t="b">
        <v>0</v>
      </c>
      <c r="U1679" s="17" t="b">
        <v>0</v>
      </c>
      <c r="V1679" s="17" t="b">
        <v>0</v>
      </c>
      <c r="W1679" s="11"/>
      <c r="X1679" s="12"/>
      <c r="Y1679" s="12"/>
      <c r="Z1679" s="13"/>
    </row>
    <row r="1680" spans="1:26" ht="19.95" customHeight="1" x14ac:dyDescent="0.3">
      <c r="A1680" s="6"/>
      <c r="B1680" s="7"/>
      <c r="C1680" s="8"/>
      <c r="D1680" s="8"/>
      <c r="E1680" s="8"/>
      <c r="F1680" s="9"/>
      <c r="G1680" s="9"/>
      <c r="H1680" s="9"/>
      <c r="I1680" s="9" t="s">
        <v>14</v>
      </c>
      <c r="J1680" s="10" t="s">
        <v>14</v>
      </c>
      <c r="K1680" s="15" t="e">
        <f>VLOOKUP(J1680,DADOS!$A$3:$B$101,2,FALSE)</f>
        <v>#N/A</v>
      </c>
      <c r="L1680" s="15"/>
      <c r="M1680" s="18" t="b">
        <v>0</v>
      </c>
      <c r="N1680" s="17" t="b">
        <v>0</v>
      </c>
      <c r="O1680" s="17" t="b">
        <v>0</v>
      </c>
      <c r="P1680" s="17" t="b">
        <v>0</v>
      </c>
      <c r="Q1680" s="17" t="b">
        <v>0</v>
      </c>
      <c r="R1680" s="17" t="b">
        <v>0</v>
      </c>
      <c r="S1680" s="17" t="b">
        <v>0</v>
      </c>
      <c r="T1680" s="17" t="b">
        <v>0</v>
      </c>
      <c r="U1680" s="17" t="b">
        <v>0</v>
      </c>
      <c r="V1680" s="17" t="b">
        <v>0</v>
      </c>
      <c r="W1680" s="11"/>
      <c r="X1680" s="12"/>
      <c r="Y1680" s="12"/>
      <c r="Z1680" s="13"/>
    </row>
    <row r="1681" spans="1:26" ht="19.95" customHeight="1" x14ac:dyDescent="0.3">
      <c r="A1681" s="6"/>
      <c r="B1681" s="7"/>
      <c r="C1681" s="8"/>
      <c r="D1681" s="8"/>
      <c r="E1681" s="8"/>
      <c r="F1681" s="9"/>
      <c r="G1681" s="9"/>
      <c r="H1681" s="9"/>
      <c r="I1681" s="9" t="s">
        <v>14</v>
      </c>
      <c r="J1681" s="10" t="s">
        <v>14</v>
      </c>
      <c r="K1681" s="15" t="e">
        <f>VLOOKUP(J1681,DADOS!$A$3:$B$101,2,FALSE)</f>
        <v>#N/A</v>
      </c>
      <c r="L1681" s="15"/>
      <c r="M1681" s="18" t="b">
        <v>0</v>
      </c>
      <c r="N1681" s="17" t="b">
        <v>0</v>
      </c>
      <c r="O1681" s="17" t="b">
        <v>0</v>
      </c>
      <c r="P1681" s="17" t="b">
        <v>0</v>
      </c>
      <c r="Q1681" s="17" t="b">
        <v>0</v>
      </c>
      <c r="R1681" s="17" t="b">
        <v>0</v>
      </c>
      <c r="S1681" s="17" t="b">
        <v>0</v>
      </c>
      <c r="T1681" s="17" t="b">
        <v>0</v>
      </c>
      <c r="U1681" s="17" t="b">
        <v>0</v>
      </c>
      <c r="V1681" s="17" t="b">
        <v>0</v>
      </c>
      <c r="W1681" s="11"/>
      <c r="X1681" s="12"/>
      <c r="Y1681" s="12"/>
      <c r="Z1681" s="13"/>
    </row>
    <row r="1682" spans="1:26" ht="19.95" customHeight="1" x14ac:dyDescent="0.3">
      <c r="A1682" s="6"/>
      <c r="B1682" s="7"/>
      <c r="C1682" s="8"/>
      <c r="D1682" s="8"/>
      <c r="E1682" s="8"/>
      <c r="F1682" s="9"/>
      <c r="G1682" s="9"/>
      <c r="H1682" s="9"/>
      <c r="I1682" s="9" t="s">
        <v>14</v>
      </c>
      <c r="J1682" s="10" t="s">
        <v>14</v>
      </c>
      <c r="K1682" s="15" t="e">
        <f>VLOOKUP(J1682,DADOS!$A$3:$B$101,2,FALSE)</f>
        <v>#N/A</v>
      </c>
      <c r="L1682" s="15"/>
      <c r="M1682" s="18" t="b">
        <v>0</v>
      </c>
      <c r="N1682" s="17" t="b">
        <v>0</v>
      </c>
      <c r="O1682" s="17" t="b">
        <v>0</v>
      </c>
      <c r="P1682" s="17" t="b">
        <v>0</v>
      </c>
      <c r="Q1682" s="17" t="b">
        <v>0</v>
      </c>
      <c r="R1682" s="17" t="b">
        <v>0</v>
      </c>
      <c r="S1682" s="17" t="b">
        <v>0</v>
      </c>
      <c r="T1682" s="17" t="b">
        <v>0</v>
      </c>
      <c r="U1682" s="17" t="b">
        <v>0</v>
      </c>
      <c r="V1682" s="17" t="b">
        <v>0</v>
      </c>
      <c r="W1682" s="11"/>
      <c r="X1682" s="12"/>
      <c r="Y1682" s="12"/>
      <c r="Z1682" s="13"/>
    </row>
    <row r="1683" spans="1:26" ht="19.95" customHeight="1" x14ac:dyDescent="0.3">
      <c r="A1683" s="6"/>
      <c r="B1683" s="7"/>
      <c r="C1683" s="8"/>
      <c r="D1683" s="8"/>
      <c r="E1683" s="8"/>
      <c r="F1683" s="9"/>
      <c r="G1683" s="9"/>
      <c r="H1683" s="9"/>
      <c r="I1683" s="9" t="s">
        <v>14</v>
      </c>
      <c r="J1683" s="10" t="s">
        <v>14</v>
      </c>
      <c r="K1683" s="15" t="e">
        <f>VLOOKUP(J1683,DADOS!$A$3:$B$101,2,FALSE)</f>
        <v>#N/A</v>
      </c>
      <c r="L1683" s="15"/>
      <c r="M1683" s="18" t="b">
        <v>0</v>
      </c>
      <c r="N1683" s="17" t="b">
        <v>0</v>
      </c>
      <c r="O1683" s="17" t="b">
        <v>0</v>
      </c>
      <c r="P1683" s="17" t="b">
        <v>0</v>
      </c>
      <c r="Q1683" s="17" t="b">
        <v>0</v>
      </c>
      <c r="R1683" s="17" t="b">
        <v>0</v>
      </c>
      <c r="S1683" s="17" t="b">
        <v>0</v>
      </c>
      <c r="T1683" s="17" t="b">
        <v>0</v>
      </c>
      <c r="U1683" s="17" t="b">
        <v>0</v>
      </c>
      <c r="V1683" s="17" t="b">
        <v>0</v>
      </c>
      <c r="W1683" s="11"/>
      <c r="X1683" s="12"/>
      <c r="Y1683" s="12"/>
      <c r="Z1683" s="13"/>
    </row>
    <row r="1684" spans="1:26" ht="19.95" customHeight="1" x14ac:dyDescent="0.3">
      <c r="A1684" s="6"/>
      <c r="B1684" s="7"/>
      <c r="C1684" s="8"/>
      <c r="D1684" s="8"/>
      <c r="E1684" s="8"/>
      <c r="F1684" s="9"/>
      <c r="G1684" s="9"/>
      <c r="H1684" s="9"/>
      <c r="I1684" s="9" t="s">
        <v>14</v>
      </c>
      <c r="J1684" s="10" t="s">
        <v>14</v>
      </c>
      <c r="K1684" s="15" t="e">
        <f>VLOOKUP(J1684,DADOS!$A$3:$B$101,2,FALSE)</f>
        <v>#N/A</v>
      </c>
      <c r="L1684" s="15"/>
      <c r="M1684" s="18" t="b">
        <v>0</v>
      </c>
      <c r="N1684" s="17" t="b">
        <v>0</v>
      </c>
      <c r="O1684" s="17" t="b">
        <v>0</v>
      </c>
      <c r="P1684" s="17" t="b">
        <v>0</v>
      </c>
      <c r="Q1684" s="17" t="b">
        <v>0</v>
      </c>
      <c r="R1684" s="17" t="b">
        <v>0</v>
      </c>
      <c r="S1684" s="17" t="b">
        <v>0</v>
      </c>
      <c r="T1684" s="17" t="b">
        <v>0</v>
      </c>
      <c r="U1684" s="17" t="b">
        <v>0</v>
      </c>
      <c r="V1684" s="17" t="b">
        <v>0</v>
      </c>
      <c r="W1684" s="11"/>
      <c r="X1684" s="12"/>
      <c r="Y1684" s="12"/>
      <c r="Z1684" s="13"/>
    </row>
    <row r="1685" spans="1:26" ht="19.95" customHeight="1" x14ac:dyDescent="0.3">
      <c r="A1685" s="6"/>
      <c r="B1685" s="7"/>
      <c r="C1685" s="8"/>
      <c r="D1685" s="8"/>
      <c r="E1685" s="8"/>
      <c r="F1685" s="9"/>
      <c r="G1685" s="9"/>
      <c r="H1685" s="9"/>
      <c r="I1685" s="9" t="s">
        <v>14</v>
      </c>
      <c r="J1685" s="10" t="s">
        <v>14</v>
      </c>
      <c r="K1685" s="15" t="e">
        <f>VLOOKUP(J1685,DADOS!$A$3:$B$101,2,FALSE)</f>
        <v>#N/A</v>
      </c>
      <c r="L1685" s="15"/>
      <c r="M1685" s="18" t="b">
        <v>0</v>
      </c>
      <c r="N1685" s="17" t="b">
        <v>0</v>
      </c>
      <c r="O1685" s="17" t="b">
        <v>0</v>
      </c>
      <c r="P1685" s="17" t="b">
        <v>0</v>
      </c>
      <c r="Q1685" s="17" t="b">
        <v>0</v>
      </c>
      <c r="R1685" s="17" t="b">
        <v>0</v>
      </c>
      <c r="S1685" s="17" t="b">
        <v>0</v>
      </c>
      <c r="T1685" s="17" t="b">
        <v>0</v>
      </c>
      <c r="U1685" s="17" t="b">
        <v>0</v>
      </c>
      <c r="V1685" s="17" t="b">
        <v>0</v>
      </c>
      <c r="W1685" s="11"/>
      <c r="X1685" s="12"/>
      <c r="Y1685" s="12"/>
      <c r="Z1685" s="13"/>
    </row>
    <row r="1686" spans="1:26" ht="19.95" customHeight="1" x14ac:dyDescent="0.3">
      <c r="A1686" s="6"/>
      <c r="B1686" s="7"/>
      <c r="C1686" s="8"/>
      <c r="D1686" s="8"/>
      <c r="E1686" s="8"/>
      <c r="F1686" s="9"/>
      <c r="G1686" s="9"/>
      <c r="H1686" s="9"/>
      <c r="I1686" s="9" t="s">
        <v>14</v>
      </c>
      <c r="J1686" s="10" t="s">
        <v>14</v>
      </c>
      <c r="K1686" s="15" t="e">
        <f>VLOOKUP(J1686,DADOS!$A$3:$B$101,2,FALSE)</f>
        <v>#N/A</v>
      </c>
      <c r="L1686" s="15"/>
      <c r="M1686" s="18" t="b">
        <v>0</v>
      </c>
      <c r="N1686" s="17" t="b">
        <v>0</v>
      </c>
      <c r="O1686" s="17" t="b">
        <v>0</v>
      </c>
      <c r="P1686" s="17" t="b">
        <v>0</v>
      </c>
      <c r="Q1686" s="17" t="b">
        <v>0</v>
      </c>
      <c r="R1686" s="17" t="b">
        <v>0</v>
      </c>
      <c r="S1686" s="17" t="b">
        <v>0</v>
      </c>
      <c r="T1686" s="17" t="b">
        <v>0</v>
      </c>
      <c r="U1686" s="17" t="b">
        <v>0</v>
      </c>
      <c r="V1686" s="17" t="b">
        <v>0</v>
      </c>
      <c r="W1686" s="11"/>
      <c r="X1686" s="12"/>
      <c r="Y1686" s="12"/>
      <c r="Z1686" s="13"/>
    </row>
    <row r="1687" spans="1:26" ht="19.95" customHeight="1" x14ac:dyDescent="0.3">
      <c r="A1687" s="6"/>
      <c r="B1687" s="7"/>
      <c r="C1687" s="8"/>
      <c r="D1687" s="8"/>
      <c r="E1687" s="8"/>
      <c r="F1687" s="9"/>
      <c r="G1687" s="9"/>
      <c r="H1687" s="9"/>
      <c r="I1687" s="9" t="s">
        <v>14</v>
      </c>
      <c r="J1687" s="10" t="s">
        <v>14</v>
      </c>
      <c r="K1687" s="15" t="e">
        <f>VLOOKUP(J1687,DADOS!$A$3:$B$101,2,FALSE)</f>
        <v>#N/A</v>
      </c>
      <c r="L1687" s="15"/>
      <c r="M1687" s="18" t="b">
        <v>0</v>
      </c>
      <c r="N1687" s="17" t="b">
        <v>0</v>
      </c>
      <c r="O1687" s="17" t="b">
        <v>0</v>
      </c>
      <c r="P1687" s="17" t="b">
        <v>0</v>
      </c>
      <c r="Q1687" s="17" t="b">
        <v>0</v>
      </c>
      <c r="R1687" s="17" t="b">
        <v>0</v>
      </c>
      <c r="S1687" s="17" t="b">
        <v>0</v>
      </c>
      <c r="T1687" s="17" t="b">
        <v>0</v>
      </c>
      <c r="U1687" s="17" t="b">
        <v>0</v>
      </c>
      <c r="V1687" s="17" t="b">
        <v>0</v>
      </c>
      <c r="W1687" s="11"/>
      <c r="X1687" s="12"/>
      <c r="Y1687" s="12"/>
      <c r="Z1687" s="13"/>
    </row>
    <row r="1688" spans="1:26" ht="19.95" customHeight="1" x14ac:dyDescent="0.3">
      <c r="A1688" s="6"/>
      <c r="B1688" s="7"/>
      <c r="C1688" s="8"/>
      <c r="D1688" s="8"/>
      <c r="E1688" s="8"/>
      <c r="F1688" s="9"/>
      <c r="G1688" s="9"/>
      <c r="H1688" s="9"/>
      <c r="I1688" s="9" t="s">
        <v>14</v>
      </c>
      <c r="J1688" s="10" t="s">
        <v>14</v>
      </c>
      <c r="K1688" s="15" t="e">
        <f>VLOOKUP(J1688,DADOS!$A$3:$B$101,2,FALSE)</f>
        <v>#N/A</v>
      </c>
      <c r="L1688" s="15"/>
      <c r="M1688" s="18" t="b">
        <v>0</v>
      </c>
      <c r="N1688" s="17" t="b">
        <v>0</v>
      </c>
      <c r="O1688" s="17" t="b">
        <v>0</v>
      </c>
      <c r="P1688" s="17" t="b">
        <v>0</v>
      </c>
      <c r="Q1688" s="17" t="b">
        <v>0</v>
      </c>
      <c r="R1688" s="17" t="b">
        <v>0</v>
      </c>
      <c r="S1688" s="17" t="b">
        <v>0</v>
      </c>
      <c r="T1688" s="17" t="b">
        <v>0</v>
      </c>
      <c r="U1688" s="17" t="b">
        <v>0</v>
      </c>
      <c r="V1688" s="17" t="b">
        <v>0</v>
      </c>
      <c r="W1688" s="11"/>
      <c r="X1688" s="12"/>
      <c r="Y1688" s="12"/>
      <c r="Z1688" s="13"/>
    </row>
    <row r="1689" spans="1:26" ht="19.95" customHeight="1" x14ac:dyDescent="0.3">
      <c r="A1689" s="6"/>
      <c r="B1689" s="7"/>
      <c r="C1689" s="8"/>
      <c r="D1689" s="8"/>
      <c r="E1689" s="8"/>
      <c r="F1689" s="9"/>
      <c r="G1689" s="9"/>
      <c r="H1689" s="9"/>
      <c r="I1689" s="9" t="s">
        <v>14</v>
      </c>
      <c r="J1689" s="10" t="s">
        <v>14</v>
      </c>
      <c r="K1689" s="15" t="e">
        <f>VLOOKUP(J1689,DADOS!$A$3:$B$101,2,FALSE)</f>
        <v>#N/A</v>
      </c>
      <c r="L1689" s="15"/>
      <c r="M1689" s="18" t="b">
        <v>0</v>
      </c>
      <c r="N1689" s="17" t="b">
        <v>0</v>
      </c>
      <c r="O1689" s="17" t="b">
        <v>0</v>
      </c>
      <c r="P1689" s="17" t="b">
        <v>0</v>
      </c>
      <c r="Q1689" s="17" t="b">
        <v>0</v>
      </c>
      <c r="R1689" s="17" t="b">
        <v>0</v>
      </c>
      <c r="S1689" s="17" t="b">
        <v>0</v>
      </c>
      <c r="T1689" s="17" t="b">
        <v>0</v>
      </c>
      <c r="U1689" s="17" t="b">
        <v>0</v>
      </c>
      <c r="V1689" s="17" t="b">
        <v>0</v>
      </c>
      <c r="W1689" s="11"/>
      <c r="X1689" s="12"/>
      <c r="Y1689" s="12"/>
      <c r="Z1689" s="13"/>
    </row>
    <row r="1690" spans="1:26" ht="19.95" customHeight="1" x14ac:dyDescent="0.3">
      <c r="A1690" s="6"/>
      <c r="B1690" s="7"/>
      <c r="C1690" s="8"/>
      <c r="D1690" s="8"/>
      <c r="E1690" s="8"/>
      <c r="F1690" s="9"/>
      <c r="G1690" s="9"/>
      <c r="H1690" s="9"/>
      <c r="I1690" s="9" t="s">
        <v>14</v>
      </c>
      <c r="J1690" s="10" t="s">
        <v>14</v>
      </c>
      <c r="K1690" s="15" t="e">
        <f>VLOOKUP(J1690,DADOS!$A$3:$B$101,2,FALSE)</f>
        <v>#N/A</v>
      </c>
      <c r="L1690" s="15"/>
      <c r="M1690" s="18" t="b">
        <v>0</v>
      </c>
      <c r="N1690" s="17" t="b">
        <v>0</v>
      </c>
      <c r="O1690" s="17" t="b">
        <v>0</v>
      </c>
      <c r="P1690" s="17" t="b">
        <v>0</v>
      </c>
      <c r="Q1690" s="17" t="b">
        <v>0</v>
      </c>
      <c r="R1690" s="17" t="b">
        <v>0</v>
      </c>
      <c r="S1690" s="17" t="b">
        <v>0</v>
      </c>
      <c r="T1690" s="17" t="b">
        <v>0</v>
      </c>
      <c r="U1690" s="17" t="b">
        <v>0</v>
      </c>
      <c r="V1690" s="17" t="b">
        <v>0</v>
      </c>
      <c r="W1690" s="11"/>
      <c r="X1690" s="12"/>
      <c r="Y1690" s="12"/>
      <c r="Z1690" s="13"/>
    </row>
    <row r="1691" spans="1:26" ht="19.95" customHeight="1" x14ac:dyDescent="0.3">
      <c r="A1691" s="6"/>
      <c r="B1691" s="7"/>
      <c r="C1691" s="8"/>
      <c r="D1691" s="8"/>
      <c r="E1691" s="8"/>
      <c r="F1691" s="9"/>
      <c r="G1691" s="9"/>
      <c r="H1691" s="9"/>
      <c r="I1691" s="9" t="s">
        <v>14</v>
      </c>
      <c r="J1691" s="10" t="s">
        <v>14</v>
      </c>
      <c r="K1691" s="15" t="e">
        <f>VLOOKUP(J1691,DADOS!$A$3:$B$101,2,FALSE)</f>
        <v>#N/A</v>
      </c>
      <c r="L1691" s="15"/>
      <c r="M1691" s="18" t="b">
        <v>0</v>
      </c>
      <c r="N1691" s="17" t="b">
        <v>0</v>
      </c>
      <c r="O1691" s="17" t="b">
        <v>0</v>
      </c>
      <c r="P1691" s="17" t="b">
        <v>0</v>
      </c>
      <c r="Q1691" s="17" t="b">
        <v>0</v>
      </c>
      <c r="R1691" s="17" t="b">
        <v>0</v>
      </c>
      <c r="S1691" s="17" t="b">
        <v>0</v>
      </c>
      <c r="T1691" s="17" t="b">
        <v>0</v>
      </c>
      <c r="U1691" s="17" t="b">
        <v>0</v>
      </c>
      <c r="V1691" s="17" t="b">
        <v>0</v>
      </c>
      <c r="W1691" s="11"/>
      <c r="X1691" s="12"/>
      <c r="Y1691" s="12"/>
      <c r="Z1691" s="13"/>
    </row>
    <row r="1692" spans="1:26" ht="19.95" customHeight="1" x14ac:dyDescent="0.3">
      <c r="A1692" s="6"/>
      <c r="B1692" s="7"/>
      <c r="C1692" s="8"/>
      <c r="D1692" s="8"/>
      <c r="E1692" s="8"/>
      <c r="F1692" s="9"/>
      <c r="G1692" s="9"/>
      <c r="H1692" s="9"/>
      <c r="I1692" s="9" t="s">
        <v>14</v>
      </c>
      <c r="J1692" s="10" t="s">
        <v>14</v>
      </c>
      <c r="K1692" s="15" t="e">
        <f>VLOOKUP(J1692,DADOS!$A$3:$B$101,2,FALSE)</f>
        <v>#N/A</v>
      </c>
      <c r="L1692" s="15"/>
      <c r="M1692" s="18" t="b">
        <v>0</v>
      </c>
      <c r="N1692" s="17" t="b">
        <v>0</v>
      </c>
      <c r="O1692" s="17" t="b">
        <v>0</v>
      </c>
      <c r="P1692" s="17" t="b">
        <v>0</v>
      </c>
      <c r="Q1692" s="17" t="b">
        <v>0</v>
      </c>
      <c r="R1692" s="17" t="b">
        <v>0</v>
      </c>
      <c r="S1692" s="17" t="b">
        <v>0</v>
      </c>
      <c r="T1692" s="17" t="b">
        <v>0</v>
      </c>
      <c r="U1692" s="17" t="b">
        <v>0</v>
      </c>
      <c r="V1692" s="17" t="b">
        <v>0</v>
      </c>
      <c r="W1692" s="11"/>
      <c r="X1692" s="12"/>
      <c r="Y1692" s="12"/>
      <c r="Z1692" s="13"/>
    </row>
    <row r="1693" spans="1:26" ht="19.95" customHeight="1" x14ac:dyDescent="0.3">
      <c r="A1693" s="6"/>
      <c r="B1693" s="7"/>
      <c r="C1693" s="8"/>
      <c r="D1693" s="8"/>
      <c r="E1693" s="8"/>
      <c r="F1693" s="9"/>
      <c r="G1693" s="9"/>
      <c r="H1693" s="9"/>
      <c r="I1693" s="9" t="s">
        <v>14</v>
      </c>
      <c r="J1693" s="10" t="s">
        <v>14</v>
      </c>
      <c r="K1693" s="15" t="e">
        <f>VLOOKUP(J1693,DADOS!$A$3:$B$101,2,FALSE)</f>
        <v>#N/A</v>
      </c>
      <c r="L1693" s="15"/>
      <c r="M1693" s="18" t="b">
        <v>0</v>
      </c>
      <c r="N1693" s="17" t="b">
        <v>0</v>
      </c>
      <c r="O1693" s="17" t="b">
        <v>0</v>
      </c>
      <c r="P1693" s="17" t="b">
        <v>0</v>
      </c>
      <c r="Q1693" s="17" t="b">
        <v>0</v>
      </c>
      <c r="R1693" s="17" t="b">
        <v>0</v>
      </c>
      <c r="S1693" s="17" t="b">
        <v>0</v>
      </c>
      <c r="T1693" s="17" t="b">
        <v>0</v>
      </c>
      <c r="U1693" s="17" t="b">
        <v>0</v>
      </c>
      <c r="V1693" s="17" t="b">
        <v>0</v>
      </c>
      <c r="W1693" s="11"/>
      <c r="X1693" s="12"/>
      <c r="Y1693" s="12"/>
      <c r="Z1693" s="13"/>
    </row>
    <row r="1694" spans="1:26" ht="19.95" customHeight="1" x14ac:dyDescent="0.3">
      <c r="A1694" s="6"/>
      <c r="B1694" s="7"/>
      <c r="C1694" s="8"/>
      <c r="D1694" s="8"/>
      <c r="E1694" s="8"/>
      <c r="F1694" s="9"/>
      <c r="G1694" s="9"/>
      <c r="H1694" s="9"/>
      <c r="I1694" s="9" t="s">
        <v>14</v>
      </c>
      <c r="J1694" s="10" t="s">
        <v>14</v>
      </c>
      <c r="K1694" s="15" t="e">
        <f>VLOOKUP(J1694,DADOS!$A$3:$B$101,2,FALSE)</f>
        <v>#N/A</v>
      </c>
      <c r="L1694" s="15"/>
      <c r="M1694" s="18" t="b">
        <v>0</v>
      </c>
      <c r="N1694" s="17" t="b">
        <v>0</v>
      </c>
      <c r="O1694" s="17" t="b">
        <v>0</v>
      </c>
      <c r="P1694" s="17" t="b">
        <v>0</v>
      </c>
      <c r="Q1694" s="17" t="b">
        <v>0</v>
      </c>
      <c r="R1694" s="17" t="b">
        <v>0</v>
      </c>
      <c r="S1694" s="17" t="b">
        <v>0</v>
      </c>
      <c r="T1694" s="17" t="b">
        <v>0</v>
      </c>
      <c r="U1694" s="17" t="b">
        <v>0</v>
      </c>
      <c r="V1694" s="17" t="b">
        <v>0</v>
      </c>
      <c r="W1694" s="11"/>
      <c r="X1694" s="12"/>
      <c r="Y1694" s="12"/>
      <c r="Z1694" s="13"/>
    </row>
    <row r="1695" spans="1:26" ht="19.95" customHeight="1" x14ac:dyDescent="0.3">
      <c r="A1695" s="6"/>
      <c r="B1695" s="7"/>
      <c r="C1695" s="8"/>
      <c r="D1695" s="8"/>
      <c r="E1695" s="8"/>
      <c r="F1695" s="9"/>
      <c r="G1695" s="9"/>
      <c r="H1695" s="9"/>
      <c r="I1695" s="9" t="s">
        <v>14</v>
      </c>
      <c r="J1695" s="10" t="s">
        <v>14</v>
      </c>
      <c r="K1695" s="15" t="e">
        <f>VLOOKUP(J1695,DADOS!$A$3:$B$101,2,FALSE)</f>
        <v>#N/A</v>
      </c>
      <c r="L1695" s="15"/>
      <c r="M1695" s="18" t="b">
        <v>0</v>
      </c>
      <c r="N1695" s="17" t="b">
        <v>0</v>
      </c>
      <c r="O1695" s="17" t="b">
        <v>0</v>
      </c>
      <c r="P1695" s="17" t="b">
        <v>0</v>
      </c>
      <c r="Q1695" s="17" t="b">
        <v>0</v>
      </c>
      <c r="R1695" s="17" t="b">
        <v>0</v>
      </c>
      <c r="S1695" s="17" t="b">
        <v>0</v>
      </c>
      <c r="T1695" s="17" t="b">
        <v>0</v>
      </c>
      <c r="U1695" s="17" t="b">
        <v>0</v>
      </c>
      <c r="V1695" s="17" t="b">
        <v>0</v>
      </c>
      <c r="W1695" s="11"/>
      <c r="X1695" s="12"/>
      <c r="Y1695" s="12"/>
      <c r="Z1695" s="13"/>
    </row>
    <row r="1696" spans="1:26" ht="19.95" customHeight="1" x14ac:dyDescent="0.3">
      <c r="A1696" s="6"/>
      <c r="B1696" s="7"/>
      <c r="C1696" s="8"/>
      <c r="D1696" s="8"/>
      <c r="E1696" s="8"/>
      <c r="F1696" s="9"/>
      <c r="G1696" s="9"/>
      <c r="H1696" s="9"/>
      <c r="I1696" s="9" t="s">
        <v>14</v>
      </c>
      <c r="J1696" s="10" t="s">
        <v>14</v>
      </c>
      <c r="K1696" s="15" t="e">
        <f>VLOOKUP(J1696,DADOS!$A$3:$B$101,2,FALSE)</f>
        <v>#N/A</v>
      </c>
      <c r="L1696" s="15"/>
      <c r="M1696" s="18" t="b">
        <v>0</v>
      </c>
      <c r="N1696" s="17" t="b">
        <v>0</v>
      </c>
      <c r="O1696" s="17" t="b">
        <v>0</v>
      </c>
      <c r="P1696" s="17" t="b">
        <v>0</v>
      </c>
      <c r="Q1696" s="17" t="b">
        <v>0</v>
      </c>
      <c r="R1696" s="17" t="b">
        <v>0</v>
      </c>
      <c r="S1696" s="17" t="b">
        <v>0</v>
      </c>
      <c r="T1696" s="17" t="b">
        <v>0</v>
      </c>
      <c r="U1696" s="17" t="b">
        <v>0</v>
      </c>
      <c r="V1696" s="17" t="b">
        <v>0</v>
      </c>
      <c r="W1696" s="11"/>
      <c r="X1696" s="12"/>
      <c r="Y1696" s="12"/>
      <c r="Z1696" s="13"/>
    </row>
    <row r="1697" spans="1:26" ht="19.95" customHeight="1" x14ac:dyDescent="0.3">
      <c r="A1697" s="6"/>
      <c r="B1697" s="7"/>
      <c r="C1697" s="8"/>
      <c r="D1697" s="8"/>
      <c r="E1697" s="8"/>
      <c r="F1697" s="9"/>
      <c r="G1697" s="9"/>
      <c r="H1697" s="9"/>
      <c r="I1697" s="9" t="s">
        <v>14</v>
      </c>
      <c r="J1697" s="10" t="s">
        <v>14</v>
      </c>
      <c r="K1697" s="15" t="e">
        <f>VLOOKUP(J1697,DADOS!$A$3:$B$101,2,FALSE)</f>
        <v>#N/A</v>
      </c>
      <c r="L1697" s="15"/>
      <c r="M1697" s="18" t="b">
        <v>0</v>
      </c>
      <c r="N1697" s="17" t="b">
        <v>0</v>
      </c>
      <c r="O1697" s="17" t="b">
        <v>0</v>
      </c>
      <c r="P1697" s="17" t="b">
        <v>0</v>
      </c>
      <c r="Q1697" s="17" t="b">
        <v>0</v>
      </c>
      <c r="R1697" s="17" t="b">
        <v>0</v>
      </c>
      <c r="S1697" s="17" t="b">
        <v>0</v>
      </c>
      <c r="T1697" s="17" t="b">
        <v>0</v>
      </c>
      <c r="U1697" s="17" t="b">
        <v>0</v>
      </c>
      <c r="V1697" s="17" t="b">
        <v>0</v>
      </c>
      <c r="W1697" s="11"/>
      <c r="X1697" s="12"/>
      <c r="Y1697" s="12"/>
      <c r="Z1697" s="13"/>
    </row>
    <row r="1698" spans="1:26" ht="19.95" customHeight="1" x14ac:dyDescent="0.3">
      <c r="A1698" s="6"/>
      <c r="B1698" s="7"/>
      <c r="C1698" s="8"/>
      <c r="D1698" s="8"/>
      <c r="E1698" s="8"/>
      <c r="F1698" s="9"/>
      <c r="G1698" s="9"/>
      <c r="H1698" s="9"/>
      <c r="I1698" s="9" t="s">
        <v>14</v>
      </c>
      <c r="J1698" s="10" t="s">
        <v>14</v>
      </c>
      <c r="K1698" s="15" t="e">
        <f>VLOOKUP(J1698,DADOS!$A$3:$B$101,2,FALSE)</f>
        <v>#N/A</v>
      </c>
      <c r="L1698" s="15"/>
      <c r="M1698" s="18" t="b">
        <v>0</v>
      </c>
      <c r="N1698" s="17" t="b">
        <v>0</v>
      </c>
      <c r="O1698" s="17" t="b">
        <v>0</v>
      </c>
      <c r="P1698" s="17" t="b">
        <v>0</v>
      </c>
      <c r="Q1698" s="17" t="b">
        <v>0</v>
      </c>
      <c r="R1698" s="17" t="b">
        <v>0</v>
      </c>
      <c r="S1698" s="17" t="b">
        <v>0</v>
      </c>
      <c r="T1698" s="17" t="b">
        <v>0</v>
      </c>
      <c r="U1698" s="17" t="b">
        <v>0</v>
      </c>
      <c r="V1698" s="17" t="b">
        <v>0</v>
      </c>
      <c r="W1698" s="11"/>
      <c r="X1698" s="12"/>
      <c r="Y1698" s="12"/>
      <c r="Z1698" s="13"/>
    </row>
    <row r="1699" spans="1:26" ht="19.95" customHeight="1" x14ac:dyDescent="0.3">
      <c r="A1699" s="6"/>
      <c r="B1699" s="7"/>
      <c r="C1699" s="8"/>
      <c r="D1699" s="8"/>
      <c r="E1699" s="8"/>
      <c r="F1699" s="9"/>
      <c r="G1699" s="9"/>
      <c r="H1699" s="9"/>
      <c r="I1699" s="9" t="s">
        <v>14</v>
      </c>
      <c r="J1699" s="10" t="s">
        <v>14</v>
      </c>
      <c r="K1699" s="15" t="e">
        <f>VLOOKUP(J1699,DADOS!$A$3:$B$101,2,FALSE)</f>
        <v>#N/A</v>
      </c>
      <c r="L1699" s="15"/>
      <c r="M1699" s="18" t="b">
        <v>0</v>
      </c>
      <c r="N1699" s="17" t="b">
        <v>0</v>
      </c>
      <c r="O1699" s="17" t="b">
        <v>0</v>
      </c>
      <c r="P1699" s="17" t="b">
        <v>0</v>
      </c>
      <c r="Q1699" s="17" t="b">
        <v>0</v>
      </c>
      <c r="R1699" s="17" t="b">
        <v>0</v>
      </c>
      <c r="S1699" s="17" t="b">
        <v>0</v>
      </c>
      <c r="T1699" s="17" t="b">
        <v>0</v>
      </c>
      <c r="U1699" s="17" t="b">
        <v>0</v>
      </c>
      <c r="V1699" s="17" t="b">
        <v>0</v>
      </c>
      <c r="W1699" s="11"/>
      <c r="X1699" s="12"/>
      <c r="Y1699" s="12"/>
      <c r="Z1699" s="13"/>
    </row>
    <row r="1700" spans="1:26" ht="19.95" customHeight="1" x14ac:dyDescent="0.3">
      <c r="A1700" s="6"/>
      <c r="B1700" s="7"/>
      <c r="C1700" s="8"/>
      <c r="D1700" s="8"/>
      <c r="E1700" s="8"/>
      <c r="F1700" s="9"/>
      <c r="G1700" s="9"/>
      <c r="H1700" s="9"/>
      <c r="I1700" s="9" t="s">
        <v>14</v>
      </c>
      <c r="J1700" s="10" t="s">
        <v>14</v>
      </c>
      <c r="K1700" s="15" t="e">
        <f>VLOOKUP(J1700,DADOS!$A$3:$B$101,2,FALSE)</f>
        <v>#N/A</v>
      </c>
      <c r="L1700" s="15"/>
      <c r="M1700" s="18" t="b">
        <v>0</v>
      </c>
      <c r="N1700" s="17" t="b">
        <v>0</v>
      </c>
      <c r="O1700" s="17" t="b">
        <v>0</v>
      </c>
      <c r="P1700" s="17" t="b">
        <v>0</v>
      </c>
      <c r="Q1700" s="17" t="b">
        <v>0</v>
      </c>
      <c r="R1700" s="17" t="b">
        <v>0</v>
      </c>
      <c r="S1700" s="17" t="b">
        <v>0</v>
      </c>
      <c r="T1700" s="17" t="b">
        <v>0</v>
      </c>
      <c r="U1700" s="17" t="b">
        <v>0</v>
      </c>
      <c r="V1700" s="17" t="b">
        <v>0</v>
      </c>
      <c r="W1700" s="11"/>
      <c r="X1700" s="12"/>
      <c r="Y1700" s="12"/>
      <c r="Z1700" s="13"/>
    </row>
    <row r="1701" spans="1:26" ht="19.95" customHeight="1" x14ac:dyDescent="0.3">
      <c r="A1701" s="6"/>
      <c r="B1701" s="7"/>
      <c r="C1701" s="8"/>
      <c r="D1701" s="8"/>
      <c r="E1701" s="8"/>
      <c r="F1701" s="9"/>
      <c r="G1701" s="9"/>
      <c r="H1701" s="9"/>
      <c r="I1701" s="9" t="s">
        <v>14</v>
      </c>
      <c r="J1701" s="10" t="s">
        <v>14</v>
      </c>
      <c r="K1701" s="15" t="e">
        <f>VLOOKUP(J1701,DADOS!$A$3:$B$101,2,FALSE)</f>
        <v>#N/A</v>
      </c>
      <c r="L1701" s="15"/>
      <c r="M1701" s="18" t="b">
        <v>0</v>
      </c>
      <c r="N1701" s="17" t="b">
        <v>0</v>
      </c>
      <c r="O1701" s="17" t="b">
        <v>0</v>
      </c>
      <c r="P1701" s="17" t="b">
        <v>0</v>
      </c>
      <c r="Q1701" s="17" t="b">
        <v>0</v>
      </c>
      <c r="R1701" s="17" t="b">
        <v>0</v>
      </c>
      <c r="S1701" s="17" t="b">
        <v>0</v>
      </c>
      <c r="T1701" s="17" t="b">
        <v>0</v>
      </c>
      <c r="U1701" s="17" t="b">
        <v>0</v>
      </c>
      <c r="V1701" s="17" t="b">
        <v>0</v>
      </c>
      <c r="W1701" s="11"/>
      <c r="X1701" s="12"/>
      <c r="Y1701" s="12"/>
      <c r="Z1701" s="13"/>
    </row>
    <row r="1702" spans="1:26" ht="19.95" customHeight="1" x14ac:dyDescent="0.3">
      <c r="A1702" s="6"/>
      <c r="B1702" s="7"/>
      <c r="C1702" s="8"/>
      <c r="D1702" s="8"/>
      <c r="E1702" s="8"/>
      <c r="F1702" s="9"/>
      <c r="G1702" s="9"/>
      <c r="H1702" s="9"/>
      <c r="I1702" s="9" t="s">
        <v>14</v>
      </c>
      <c r="J1702" s="10" t="s">
        <v>14</v>
      </c>
      <c r="K1702" s="15" t="e">
        <f>VLOOKUP(J1702,DADOS!$A$3:$B$101,2,FALSE)</f>
        <v>#N/A</v>
      </c>
      <c r="L1702" s="15"/>
      <c r="M1702" s="18" t="b">
        <v>0</v>
      </c>
      <c r="N1702" s="17" t="b">
        <v>0</v>
      </c>
      <c r="O1702" s="17" t="b">
        <v>0</v>
      </c>
      <c r="P1702" s="17" t="b">
        <v>0</v>
      </c>
      <c r="Q1702" s="17" t="b">
        <v>0</v>
      </c>
      <c r="R1702" s="17" t="b">
        <v>0</v>
      </c>
      <c r="S1702" s="17" t="b">
        <v>0</v>
      </c>
      <c r="T1702" s="17" t="b">
        <v>0</v>
      </c>
      <c r="U1702" s="17" t="b">
        <v>0</v>
      </c>
      <c r="V1702" s="17" t="b">
        <v>0</v>
      </c>
      <c r="W1702" s="11"/>
      <c r="X1702" s="12"/>
      <c r="Y1702" s="12"/>
      <c r="Z1702" s="13"/>
    </row>
    <row r="1703" spans="1:26" ht="19.95" customHeight="1" x14ac:dyDescent="0.3">
      <c r="A1703" s="6"/>
      <c r="B1703" s="7"/>
      <c r="C1703" s="8"/>
      <c r="D1703" s="8"/>
      <c r="E1703" s="8"/>
      <c r="F1703" s="9"/>
      <c r="G1703" s="9"/>
      <c r="H1703" s="9"/>
      <c r="I1703" s="9" t="s">
        <v>14</v>
      </c>
      <c r="J1703" s="10" t="s">
        <v>14</v>
      </c>
      <c r="K1703" s="15" t="e">
        <f>VLOOKUP(J1703,DADOS!$A$3:$B$101,2,FALSE)</f>
        <v>#N/A</v>
      </c>
      <c r="L1703" s="15"/>
      <c r="M1703" s="18" t="b">
        <v>0</v>
      </c>
      <c r="N1703" s="17" t="b">
        <v>0</v>
      </c>
      <c r="O1703" s="17" t="b">
        <v>0</v>
      </c>
      <c r="P1703" s="17" t="b">
        <v>0</v>
      </c>
      <c r="Q1703" s="17" t="b">
        <v>0</v>
      </c>
      <c r="R1703" s="17" t="b">
        <v>0</v>
      </c>
      <c r="S1703" s="17" t="b">
        <v>0</v>
      </c>
      <c r="T1703" s="17" t="b">
        <v>0</v>
      </c>
      <c r="U1703" s="17" t="b">
        <v>0</v>
      </c>
      <c r="V1703" s="17" t="b">
        <v>0</v>
      </c>
      <c r="W1703" s="11"/>
      <c r="X1703" s="12"/>
      <c r="Y1703" s="12"/>
      <c r="Z1703" s="13"/>
    </row>
    <row r="1704" spans="1:26" ht="19.95" customHeight="1" x14ac:dyDescent="0.3">
      <c r="A1704" s="6"/>
      <c r="B1704" s="7"/>
      <c r="C1704" s="8"/>
      <c r="D1704" s="8"/>
      <c r="E1704" s="8"/>
      <c r="F1704" s="9"/>
      <c r="G1704" s="9"/>
      <c r="H1704" s="9"/>
      <c r="I1704" s="9" t="s">
        <v>14</v>
      </c>
      <c r="J1704" s="10" t="s">
        <v>14</v>
      </c>
      <c r="K1704" s="15" t="e">
        <f>VLOOKUP(J1704,DADOS!$A$3:$B$101,2,FALSE)</f>
        <v>#N/A</v>
      </c>
      <c r="L1704" s="15"/>
      <c r="M1704" s="18" t="b">
        <v>0</v>
      </c>
      <c r="N1704" s="17" t="b">
        <v>0</v>
      </c>
      <c r="O1704" s="17" t="b">
        <v>0</v>
      </c>
      <c r="P1704" s="17" t="b">
        <v>0</v>
      </c>
      <c r="Q1704" s="17" t="b">
        <v>0</v>
      </c>
      <c r="R1704" s="17" t="b">
        <v>0</v>
      </c>
      <c r="S1704" s="17" t="b">
        <v>0</v>
      </c>
      <c r="T1704" s="17" t="b">
        <v>0</v>
      </c>
      <c r="U1704" s="17" t="b">
        <v>0</v>
      </c>
      <c r="V1704" s="17" t="b">
        <v>0</v>
      </c>
      <c r="W1704" s="11"/>
      <c r="X1704" s="12"/>
      <c r="Y1704" s="12"/>
      <c r="Z1704" s="13"/>
    </row>
    <row r="1705" spans="1:26" ht="19.95" customHeight="1" x14ac:dyDescent="0.3">
      <c r="A1705" s="6"/>
      <c r="B1705" s="7"/>
      <c r="C1705" s="8"/>
      <c r="D1705" s="8"/>
      <c r="E1705" s="8"/>
      <c r="F1705" s="9"/>
      <c r="G1705" s="9"/>
      <c r="H1705" s="9"/>
      <c r="I1705" s="9" t="s">
        <v>14</v>
      </c>
      <c r="J1705" s="10" t="s">
        <v>14</v>
      </c>
      <c r="K1705" s="15" t="e">
        <f>VLOOKUP(J1705,DADOS!$A$3:$B$101,2,FALSE)</f>
        <v>#N/A</v>
      </c>
      <c r="L1705" s="15"/>
      <c r="M1705" s="18" t="b">
        <v>0</v>
      </c>
      <c r="N1705" s="17" t="b">
        <v>0</v>
      </c>
      <c r="O1705" s="17" t="b">
        <v>0</v>
      </c>
      <c r="P1705" s="17" t="b">
        <v>0</v>
      </c>
      <c r="Q1705" s="17" t="b">
        <v>0</v>
      </c>
      <c r="R1705" s="17" t="b">
        <v>0</v>
      </c>
      <c r="S1705" s="17" t="b">
        <v>0</v>
      </c>
      <c r="T1705" s="17" t="b">
        <v>0</v>
      </c>
      <c r="U1705" s="17" t="b">
        <v>0</v>
      </c>
      <c r="V1705" s="17" t="b">
        <v>0</v>
      </c>
      <c r="W1705" s="11"/>
      <c r="X1705" s="12"/>
      <c r="Y1705" s="12"/>
      <c r="Z1705" s="13"/>
    </row>
    <row r="1706" spans="1:26" ht="19.95" customHeight="1" x14ac:dyDescent="0.3">
      <c r="A1706" s="6"/>
      <c r="B1706" s="7"/>
      <c r="C1706" s="8"/>
      <c r="D1706" s="8"/>
      <c r="E1706" s="8"/>
      <c r="F1706" s="9"/>
      <c r="G1706" s="9"/>
      <c r="H1706" s="9"/>
      <c r="I1706" s="9" t="s">
        <v>14</v>
      </c>
      <c r="J1706" s="10" t="s">
        <v>14</v>
      </c>
      <c r="K1706" s="15" t="e">
        <f>VLOOKUP(J1706,DADOS!$A$3:$B$101,2,FALSE)</f>
        <v>#N/A</v>
      </c>
      <c r="L1706" s="15"/>
      <c r="M1706" s="18" t="b">
        <v>0</v>
      </c>
      <c r="N1706" s="17" t="b">
        <v>0</v>
      </c>
      <c r="O1706" s="17" t="b">
        <v>0</v>
      </c>
      <c r="P1706" s="17" t="b">
        <v>0</v>
      </c>
      <c r="Q1706" s="17" t="b">
        <v>0</v>
      </c>
      <c r="R1706" s="17" t="b">
        <v>0</v>
      </c>
      <c r="S1706" s="17" t="b">
        <v>0</v>
      </c>
      <c r="T1706" s="17" t="b">
        <v>0</v>
      </c>
      <c r="U1706" s="17" t="b">
        <v>0</v>
      </c>
      <c r="V1706" s="17" t="b">
        <v>0</v>
      </c>
      <c r="W1706" s="11"/>
      <c r="X1706" s="12"/>
      <c r="Y1706" s="12"/>
      <c r="Z1706" s="13"/>
    </row>
    <row r="1707" spans="1:26" ht="19.95" customHeight="1" x14ac:dyDescent="0.3">
      <c r="A1707" s="6"/>
      <c r="B1707" s="7"/>
      <c r="C1707" s="8"/>
      <c r="D1707" s="8"/>
      <c r="E1707" s="8"/>
      <c r="F1707" s="9"/>
      <c r="G1707" s="9"/>
      <c r="H1707" s="9"/>
      <c r="I1707" s="9" t="s">
        <v>14</v>
      </c>
      <c r="J1707" s="10" t="s">
        <v>14</v>
      </c>
      <c r="K1707" s="15" t="e">
        <f>VLOOKUP(J1707,DADOS!$A$3:$B$101,2,FALSE)</f>
        <v>#N/A</v>
      </c>
      <c r="L1707" s="15"/>
      <c r="M1707" s="18" t="b">
        <v>0</v>
      </c>
      <c r="N1707" s="17" t="b">
        <v>0</v>
      </c>
      <c r="O1707" s="17" t="b">
        <v>0</v>
      </c>
      <c r="P1707" s="17" t="b">
        <v>0</v>
      </c>
      <c r="Q1707" s="17" t="b">
        <v>0</v>
      </c>
      <c r="R1707" s="17" t="b">
        <v>0</v>
      </c>
      <c r="S1707" s="17" t="b">
        <v>0</v>
      </c>
      <c r="T1707" s="17" t="b">
        <v>0</v>
      </c>
      <c r="U1707" s="17" t="b">
        <v>0</v>
      </c>
      <c r="V1707" s="17" t="b">
        <v>0</v>
      </c>
      <c r="W1707" s="11"/>
      <c r="X1707" s="12"/>
      <c r="Y1707" s="12"/>
      <c r="Z1707" s="13"/>
    </row>
    <row r="1708" spans="1:26" ht="19.95" customHeight="1" x14ac:dyDescent="0.3">
      <c r="A1708" s="6"/>
      <c r="B1708" s="7"/>
      <c r="C1708" s="8"/>
      <c r="D1708" s="8"/>
      <c r="E1708" s="8"/>
      <c r="F1708" s="9"/>
      <c r="G1708" s="9"/>
      <c r="H1708" s="9"/>
      <c r="I1708" s="9" t="s">
        <v>14</v>
      </c>
      <c r="J1708" s="10" t="s">
        <v>14</v>
      </c>
      <c r="K1708" s="15" t="e">
        <f>VLOOKUP(J1708,DADOS!$A$3:$B$101,2,FALSE)</f>
        <v>#N/A</v>
      </c>
      <c r="L1708" s="15"/>
      <c r="M1708" s="18" t="b">
        <v>0</v>
      </c>
      <c r="N1708" s="17" t="b">
        <v>0</v>
      </c>
      <c r="O1708" s="17" t="b">
        <v>0</v>
      </c>
      <c r="P1708" s="17" t="b">
        <v>0</v>
      </c>
      <c r="Q1708" s="17" t="b">
        <v>0</v>
      </c>
      <c r="R1708" s="17" t="b">
        <v>0</v>
      </c>
      <c r="S1708" s="17" t="b">
        <v>0</v>
      </c>
      <c r="T1708" s="17" t="b">
        <v>0</v>
      </c>
      <c r="U1708" s="17" t="b">
        <v>0</v>
      </c>
      <c r="V1708" s="17" t="b">
        <v>0</v>
      </c>
      <c r="W1708" s="11"/>
      <c r="X1708" s="12"/>
      <c r="Y1708" s="12"/>
      <c r="Z1708" s="13"/>
    </row>
    <row r="1709" spans="1:26" ht="19.95" customHeight="1" x14ac:dyDescent="0.3">
      <c r="A1709" s="6"/>
      <c r="B1709" s="7"/>
      <c r="C1709" s="8"/>
      <c r="D1709" s="8"/>
      <c r="E1709" s="8"/>
      <c r="F1709" s="9"/>
      <c r="G1709" s="9"/>
      <c r="H1709" s="9"/>
      <c r="I1709" s="9" t="s">
        <v>14</v>
      </c>
      <c r="J1709" s="10" t="s">
        <v>14</v>
      </c>
      <c r="K1709" s="15" t="e">
        <f>VLOOKUP(J1709,DADOS!$A$3:$B$101,2,FALSE)</f>
        <v>#N/A</v>
      </c>
      <c r="L1709" s="15"/>
      <c r="M1709" s="18" t="b">
        <v>0</v>
      </c>
      <c r="N1709" s="17" t="b">
        <v>0</v>
      </c>
      <c r="O1709" s="17" t="b">
        <v>0</v>
      </c>
      <c r="P1709" s="17" t="b">
        <v>0</v>
      </c>
      <c r="Q1709" s="17" t="b">
        <v>0</v>
      </c>
      <c r="R1709" s="17" t="b">
        <v>0</v>
      </c>
      <c r="S1709" s="17" t="b">
        <v>0</v>
      </c>
      <c r="T1709" s="17" t="b">
        <v>0</v>
      </c>
      <c r="U1709" s="17" t="b">
        <v>0</v>
      </c>
      <c r="V1709" s="17" t="b">
        <v>0</v>
      </c>
      <c r="W1709" s="11"/>
      <c r="X1709" s="12"/>
      <c r="Y1709" s="12"/>
      <c r="Z1709" s="13"/>
    </row>
    <row r="1710" spans="1:26" ht="19.95" customHeight="1" x14ac:dyDescent="0.3">
      <c r="A1710" s="6"/>
      <c r="B1710" s="7"/>
      <c r="C1710" s="8"/>
      <c r="D1710" s="8"/>
      <c r="E1710" s="8"/>
      <c r="F1710" s="9"/>
      <c r="G1710" s="9"/>
      <c r="H1710" s="9"/>
      <c r="I1710" s="9" t="s">
        <v>14</v>
      </c>
      <c r="J1710" s="10" t="s">
        <v>14</v>
      </c>
      <c r="K1710" s="15" t="e">
        <f>VLOOKUP(J1710,DADOS!$A$3:$B$101,2,FALSE)</f>
        <v>#N/A</v>
      </c>
      <c r="L1710" s="15"/>
      <c r="M1710" s="18" t="b">
        <v>0</v>
      </c>
      <c r="N1710" s="17" t="b">
        <v>0</v>
      </c>
      <c r="O1710" s="17" t="b">
        <v>0</v>
      </c>
      <c r="P1710" s="17" t="b">
        <v>0</v>
      </c>
      <c r="Q1710" s="17" t="b">
        <v>0</v>
      </c>
      <c r="R1710" s="17" t="b">
        <v>0</v>
      </c>
      <c r="S1710" s="17" t="b">
        <v>0</v>
      </c>
      <c r="T1710" s="17" t="b">
        <v>0</v>
      </c>
      <c r="U1710" s="17" t="b">
        <v>0</v>
      </c>
      <c r="V1710" s="17" t="b">
        <v>0</v>
      </c>
      <c r="W1710" s="11"/>
      <c r="X1710" s="12"/>
      <c r="Y1710" s="12"/>
      <c r="Z1710" s="13"/>
    </row>
    <row r="1711" spans="1:26" ht="19.95" customHeight="1" x14ac:dyDescent="0.3">
      <c r="A1711" s="6"/>
      <c r="B1711" s="7"/>
      <c r="C1711" s="8"/>
      <c r="D1711" s="8"/>
      <c r="E1711" s="8"/>
      <c r="F1711" s="9"/>
      <c r="G1711" s="9"/>
      <c r="H1711" s="9"/>
      <c r="I1711" s="9" t="s">
        <v>14</v>
      </c>
      <c r="J1711" s="10" t="s">
        <v>14</v>
      </c>
      <c r="K1711" s="15" t="e">
        <f>VLOOKUP(J1711,DADOS!$A$3:$B$101,2,FALSE)</f>
        <v>#N/A</v>
      </c>
      <c r="L1711" s="15"/>
      <c r="M1711" s="18" t="b">
        <v>0</v>
      </c>
      <c r="N1711" s="17" t="b">
        <v>0</v>
      </c>
      <c r="O1711" s="17" t="b">
        <v>0</v>
      </c>
      <c r="P1711" s="17" t="b">
        <v>0</v>
      </c>
      <c r="Q1711" s="17" t="b">
        <v>0</v>
      </c>
      <c r="R1711" s="17" t="b">
        <v>0</v>
      </c>
      <c r="S1711" s="17" t="b">
        <v>0</v>
      </c>
      <c r="T1711" s="17" t="b">
        <v>0</v>
      </c>
      <c r="U1711" s="17" t="b">
        <v>0</v>
      </c>
      <c r="V1711" s="17" t="b">
        <v>0</v>
      </c>
      <c r="W1711" s="11"/>
      <c r="X1711" s="12"/>
      <c r="Y1711" s="12"/>
      <c r="Z1711" s="13"/>
    </row>
    <row r="1712" spans="1:26" ht="19.95" customHeight="1" x14ac:dyDescent="0.3">
      <c r="A1712" s="6"/>
      <c r="B1712" s="7"/>
      <c r="C1712" s="8"/>
      <c r="D1712" s="8"/>
      <c r="E1712" s="8"/>
      <c r="F1712" s="9"/>
      <c r="G1712" s="9"/>
      <c r="H1712" s="9"/>
      <c r="I1712" s="9" t="s">
        <v>14</v>
      </c>
      <c r="J1712" s="10" t="s">
        <v>14</v>
      </c>
      <c r="K1712" s="15" t="e">
        <f>VLOOKUP(J1712,DADOS!$A$3:$B$101,2,FALSE)</f>
        <v>#N/A</v>
      </c>
      <c r="L1712" s="15"/>
      <c r="M1712" s="18" t="b">
        <v>0</v>
      </c>
      <c r="N1712" s="17" t="b">
        <v>0</v>
      </c>
      <c r="O1712" s="17" t="b">
        <v>0</v>
      </c>
      <c r="P1712" s="17" t="b">
        <v>0</v>
      </c>
      <c r="Q1712" s="17" t="b">
        <v>0</v>
      </c>
      <c r="R1712" s="17" t="b">
        <v>0</v>
      </c>
      <c r="S1712" s="17" t="b">
        <v>0</v>
      </c>
      <c r="T1712" s="17" t="b">
        <v>0</v>
      </c>
      <c r="U1712" s="17" t="b">
        <v>0</v>
      </c>
      <c r="V1712" s="17" t="b">
        <v>0</v>
      </c>
      <c r="W1712" s="11"/>
      <c r="X1712" s="12"/>
      <c r="Y1712" s="12"/>
      <c r="Z1712" s="13"/>
    </row>
    <row r="1713" spans="1:26" ht="19.95" customHeight="1" x14ac:dyDescent="0.3">
      <c r="A1713" s="6"/>
      <c r="B1713" s="7"/>
      <c r="C1713" s="8"/>
      <c r="D1713" s="8"/>
      <c r="E1713" s="8"/>
      <c r="F1713" s="9"/>
      <c r="G1713" s="9"/>
      <c r="H1713" s="9"/>
      <c r="I1713" s="9" t="s">
        <v>14</v>
      </c>
      <c r="J1713" s="10" t="s">
        <v>14</v>
      </c>
      <c r="K1713" s="15" t="e">
        <f>VLOOKUP(J1713,DADOS!$A$3:$B$101,2,FALSE)</f>
        <v>#N/A</v>
      </c>
      <c r="L1713" s="15"/>
      <c r="M1713" s="18" t="b">
        <v>0</v>
      </c>
      <c r="N1713" s="17" t="b">
        <v>0</v>
      </c>
      <c r="O1713" s="17" t="b">
        <v>0</v>
      </c>
      <c r="P1713" s="17" t="b">
        <v>0</v>
      </c>
      <c r="Q1713" s="17" t="b">
        <v>0</v>
      </c>
      <c r="R1713" s="17" t="b">
        <v>0</v>
      </c>
      <c r="S1713" s="17" t="b">
        <v>0</v>
      </c>
      <c r="T1713" s="17" t="b">
        <v>0</v>
      </c>
      <c r="U1713" s="17" t="b">
        <v>0</v>
      </c>
      <c r="V1713" s="17" t="b">
        <v>0</v>
      </c>
      <c r="W1713" s="11"/>
      <c r="X1713" s="12"/>
      <c r="Y1713" s="12"/>
      <c r="Z1713" s="13"/>
    </row>
    <row r="1714" spans="1:26" ht="19.95" customHeight="1" x14ac:dyDescent="0.3">
      <c r="A1714" s="6"/>
      <c r="B1714" s="7"/>
      <c r="C1714" s="8"/>
      <c r="D1714" s="8"/>
      <c r="E1714" s="8"/>
      <c r="F1714" s="9"/>
      <c r="G1714" s="9"/>
      <c r="H1714" s="9"/>
      <c r="I1714" s="9" t="s">
        <v>14</v>
      </c>
      <c r="J1714" s="10" t="s">
        <v>14</v>
      </c>
      <c r="K1714" s="15" t="e">
        <f>VLOOKUP(J1714,DADOS!$A$3:$B$101,2,FALSE)</f>
        <v>#N/A</v>
      </c>
      <c r="L1714" s="15"/>
      <c r="M1714" s="18" t="b">
        <v>0</v>
      </c>
      <c r="N1714" s="17" t="b">
        <v>0</v>
      </c>
      <c r="O1714" s="17" t="b">
        <v>0</v>
      </c>
      <c r="P1714" s="17" t="b">
        <v>0</v>
      </c>
      <c r="Q1714" s="17" t="b">
        <v>0</v>
      </c>
      <c r="R1714" s="17" t="b">
        <v>0</v>
      </c>
      <c r="S1714" s="17" t="b">
        <v>0</v>
      </c>
      <c r="T1714" s="17" t="b">
        <v>0</v>
      </c>
      <c r="U1714" s="17" t="b">
        <v>0</v>
      </c>
      <c r="V1714" s="17" t="b">
        <v>0</v>
      </c>
      <c r="W1714" s="11"/>
      <c r="X1714" s="12"/>
      <c r="Y1714" s="12"/>
      <c r="Z1714" s="13"/>
    </row>
    <row r="1715" spans="1:26" ht="19.95" customHeight="1" x14ac:dyDescent="0.3">
      <c r="A1715" s="6"/>
      <c r="B1715" s="7"/>
      <c r="C1715" s="8"/>
      <c r="D1715" s="8"/>
      <c r="E1715" s="8"/>
      <c r="F1715" s="9"/>
      <c r="G1715" s="9"/>
      <c r="H1715" s="9"/>
      <c r="I1715" s="9" t="s">
        <v>14</v>
      </c>
      <c r="J1715" s="10" t="s">
        <v>14</v>
      </c>
      <c r="K1715" s="15" t="e">
        <f>VLOOKUP(J1715,DADOS!$A$3:$B$101,2,FALSE)</f>
        <v>#N/A</v>
      </c>
      <c r="L1715" s="15"/>
      <c r="M1715" s="18" t="b">
        <v>0</v>
      </c>
      <c r="N1715" s="17" t="b">
        <v>0</v>
      </c>
      <c r="O1715" s="17" t="b">
        <v>0</v>
      </c>
      <c r="P1715" s="17" t="b">
        <v>0</v>
      </c>
      <c r="Q1715" s="17" t="b">
        <v>0</v>
      </c>
      <c r="R1715" s="17" t="b">
        <v>0</v>
      </c>
      <c r="S1715" s="17" t="b">
        <v>0</v>
      </c>
      <c r="T1715" s="17" t="b">
        <v>0</v>
      </c>
      <c r="U1715" s="17" t="b">
        <v>0</v>
      </c>
      <c r="V1715" s="17" t="b">
        <v>0</v>
      </c>
      <c r="W1715" s="11"/>
      <c r="X1715" s="12"/>
      <c r="Y1715" s="12"/>
      <c r="Z1715" s="13"/>
    </row>
    <row r="1716" spans="1:26" ht="19.95" customHeight="1" x14ac:dyDescent="0.3">
      <c r="A1716" s="6"/>
      <c r="B1716" s="7"/>
      <c r="C1716" s="8"/>
      <c r="D1716" s="8"/>
      <c r="E1716" s="8"/>
      <c r="F1716" s="9"/>
      <c r="G1716" s="9"/>
      <c r="H1716" s="9"/>
      <c r="I1716" s="9" t="s">
        <v>14</v>
      </c>
      <c r="J1716" s="10" t="s">
        <v>14</v>
      </c>
      <c r="K1716" s="15" t="e">
        <f>VLOOKUP(J1716,DADOS!$A$3:$B$101,2,FALSE)</f>
        <v>#N/A</v>
      </c>
      <c r="L1716" s="15"/>
      <c r="M1716" s="18" t="b">
        <v>0</v>
      </c>
      <c r="N1716" s="17" t="b">
        <v>0</v>
      </c>
      <c r="O1716" s="17" t="b">
        <v>0</v>
      </c>
      <c r="P1716" s="17" t="b">
        <v>0</v>
      </c>
      <c r="Q1716" s="17" t="b">
        <v>0</v>
      </c>
      <c r="R1716" s="17" t="b">
        <v>0</v>
      </c>
      <c r="S1716" s="17" t="b">
        <v>0</v>
      </c>
      <c r="T1716" s="17" t="b">
        <v>0</v>
      </c>
      <c r="U1716" s="17" t="b">
        <v>0</v>
      </c>
      <c r="V1716" s="17" t="b">
        <v>0</v>
      </c>
      <c r="W1716" s="11"/>
      <c r="X1716" s="12"/>
      <c r="Y1716" s="12"/>
      <c r="Z1716" s="13"/>
    </row>
    <row r="1717" spans="1:26" ht="19.95" customHeight="1" x14ac:dyDescent="0.3">
      <c r="A1717" s="6"/>
      <c r="B1717" s="7"/>
      <c r="C1717" s="8"/>
      <c r="D1717" s="8"/>
      <c r="E1717" s="8"/>
      <c r="F1717" s="9"/>
      <c r="G1717" s="9"/>
      <c r="H1717" s="9"/>
      <c r="I1717" s="9" t="s">
        <v>14</v>
      </c>
      <c r="J1717" s="10" t="s">
        <v>14</v>
      </c>
      <c r="K1717" s="15" t="e">
        <f>VLOOKUP(J1717,DADOS!$A$3:$B$101,2,FALSE)</f>
        <v>#N/A</v>
      </c>
      <c r="L1717" s="15"/>
      <c r="M1717" s="18" t="b">
        <v>0</v>
      </c>
      <c r="N1717" s="17" t="b">
        <v>0</v>
      </c>
      <c r="O1717" s="17" t="b">
        <v>0</v>
      </c>
      <c r="P1717" s="17" t="b">
        <v>0</v>
      </c>
      <c r="Q1717" s="17" t="b">
        <v>0</v>
      </c>
      <c r="R1717" s="17" t="b">
        <v>0</v>
      </c>
      <c r="S1717" s="17" t="b">
        <v>0</v>
      </c>
      <c r="T1717" s="17" t="b">
        <v>0</v>
      </c>
      <c r="U1717" s="17" t="b">
        <v>0</v>
      </c>
      <c r="V1717" s="17" t="b">
        <v>0</v>
      </c>
      <c r="W1717" s="11"/>
      <c r="X1717" s="12"/>
      <c r="Y1717" s="12"/>
      <c r="Z1717" s="13"/>
    </row>
    <row r="1718" spans="1:26" ht="19.95" customHeight="1" x14ac:dyDescent="0.3">
      <c r="A1718" s="6"/>
      <c r="B1718" s="7"/>
      <c r="C1718" s="8"/>
      <c r="D1718" s="8"/>
      <c r="E1718" s="8"/>
      <c r="F1718" s="9"/>
      <c r="G1718" s="9"/>
      <c r="H1718" s="9"/>
      <c r="I1718" s="9" t="s">
        <v>14</v>
      </c>
      <c r="J1718" s="10" t="s">
        <v>14</v>
      </c>
      <c r="K1718" s="15" t="e">
        <f>VLOOKUP(J1718,DADOS!$A$3:$B$101,2,FALSE)</f>
        <v>#N/A</v>
      </c>
      <c r="L1718" s="15"/>
      <c r="M1718" s="18" t="b">
        <v>0</v>
      </c>
      <c r="N1718" s="17" t="b">
        <v>0</v>
      </c>
      <c r="O1718" s="17" t="b">
        <v>0</v>
      </c>
      <c r="P1718" s="17" t="b">
        <v>0</v>
      </c>
      <c r="Q1718" s="17" t="b">
        <v>0</v>
      </c>
      <c r="R1718" s="17" t="b">
        <v>0</v>
      </c>
      <c r="S1718" s="17" t="b">
        <v>0</v>
      </c>
      <c r="T1718" s="17" t="b">
        <v>0</v>
      </c>
      <c r="U1718" s="17" t="b">
        <v>0</v>
      </c>
      <c r="V1718" s="17" t="b">
        <v>0</v>
      </c>
      <c r="W1718" s="11"/>
      <c r="X1718" s="12"/>
      <c r="Y1718" s="12"/>
      <c r="Z1718" s="13"/>
    </row>
    <row r="1719" spans="1:26" ht="19.95" customHeight="1" x14ac:dyDescent="0.3">
      <c r="A1719" s="6"/>
      <c r="B1719" s="7"/>
      <c r="C1719" s="8"/>
      <c r="D1719" s="8"/>
      <c r="E1719" s="8"/>
      <c r="F1719" s="9"/>
      <c r="G1719" s="9"/>
      <c r="H1719" s="9"/>
      <c r="I1719" s="9" t="s">
        <v>14</v>
      </c>
      <c r="J1719" s="10" t="s">
        <v>14</v>
      </c>
      <c r="K1719" s="15" t="e">
        <f>VLOOKUP(J1719,DADOS!$A$3:$B$101,2,FALSE)</f>
        <v>#N/A</v>
      </c>
      <c r="L1719" s="15"/>
      <c r="M1719" s="18" t="b">
        <v>0</v>
      </c>
      <c r="N1719" s="17" t="b">
        <v>0</v>
      </c>
      <c r="O1719" s="17" t="b">
        <v>0</v>
      </c>
      <c r="P1719" s="17" t="b">
        <v>0</v>
      </c>
      <c r="Q1719" s="17" t="b">
        <v>0</v>
      </c>
      <c r="R1719" s="17" t="b">
        <v>0</v>
      </c>
      <c r="S1719" s="17" t="b">
        <v>0</v>
      </c>
      <c r="T1719" s="17" t="b">
        <v>0</v>
      </c>
      <c r="U1719" s="17" t="b">
        <v>0</v>
      </c>
      <c r="V1719" s="17" t="b">
        <v>0</v>
      </c>
      <c r="W1719" s="11"/>
      <c r="X1719" s="12"/>
      <c r="Y1719" s="12"/>
      <c r="Z1719" s="13"/>
    </row>
    <row r="1720" spans="1:26" ht="19.95" customHeight="1" x14ac:dyDescent="0.3">
      <c r="A1720" s="6"/>
      <c r="B1720" s="7"/>
      <c r="C1720" s="8"/>
      <c r="D1720" s="8"/>
      <c r="E1720" s="8"/>
      <c r="F1720" s="9"/>
      <c r="G1720" s="9"/>
      <c r="H1720" s="9"/>
      <c r="I1720" s="9" t="s">
        <v>14</v>
      </c>
      <c r="J1720" s="10" t="s">
        <v>14</v>
      </c>
      <c r="K1720" s="15" t="e">
        <f>VLOOKUP(J1720,DADOS!$A$3:$B$101,2,FALSE)</f>
        <v>#N/A</v>
      </c>
      <c r="L1720" s="15"/>
      <c r="M1720" s="18" t="b">
        <v>0</v>
      </c>
      <c r="N1720" s="17" t="b">
        <v>0</v>
      </c>
      <c r="O1720" s="17" t="b">
        <v>0</v>
      </c>
      <c r="P1720" s="17" t="b">
        <v>0</v>
      </c>
      <c r="Q1720" s="17" t="b">
        <v>0</v>
      </c>
      <c r="R1720" s="17" t="b">
        <v>0</v>
      </c>
      <c r="S1720" s="17" t="b">
        <v>0</v>
      </c>
      <c r="T1720" s="17" t="b">
        <v>0</v>
      </c>
      <c r="U1720" s="17" t="b">
        <v>0</v>
      </c>
      <c r="V1720" s="17" t="b">
        <v>0</v>
      </c>
      <c r="W1720" s="11"/>
      <c r="X1720" s="12"/>
      <c r="Y1720" s="12"/>
      <c r="Z1720" s="13"/>
    </row>
    <row r="1721" spans="1:26" ht="19.95" customHeight="1" x14ac:dyDescent="0.3">
      <c r="A1721" s="6"/>
      <c r="B1721" s="7"/>
      <c r="C1721" s="8"/>
      <c r="D1721" s="8"/>
      <c r="E1721" s="8"/>
      <c r="F1721" s="9"/>
      <c r="G1721" s="9"/>
      <c r="H1721" s="9"/>
      <c r="I1721" s="9" t="s">
        <v>14</v>
      </c>
      <c r="J1721" s="10" t="s">
        <v>14</v>
      </c>
      <c r="K1721" s="15" t="e">
        <f>VLOOKUP(J1721,DADOS!$A$3:$B$101,2,FALSE)</f>
        <v>#N/A</v>
      </c>
      <c r="L1721" s="15"/>
      <c r="M1721" s="18" t="b">
        <v>0</v>
      </c>
      <c r="N1721" s="17" t="b">
        <v>0</v>
      </c>
      <c r="O1721" s="17" t="b">
        <v>0</v>
      </c>
      <c r="P1721" s="17" t="b">
        <v>0</v>
      </c>
      <c r="Q1721" s="17" t="b">
        <v>0</v>
      </c>
      <c r="R1721" s="17" t="b">
        <v>0</v>
      </c>
      <c r="S1721" s="17" t="b">
        <v>0</v>
      </c>
      <c r="T1721" s="17" t="b">
        <v>0</v>
      </c>
      <c r="U1721" s="17" t="b">
        <v>0</v>
      </c>
      <c r="V1721" s="17" t="b">
        <v>0</v>
      </c>
      <c r="W1721" s="11"/>
      <c r="X1721" s="12"/>
      <c r="Y1721" s="12"/>
      <c r="Z1721" s="13"/>
    </row>
    <row r="1722" spans="1:26" ht="19.95" customHeight="1" x14ac:dyDescent="0.3">
      <c r="A1722" s="6"/>
      <c r="B1722" s="7"/>
      <c r="C1722" s="8"/>
      <c r="D1722" s="8"/>
      <c r="E1722" s="8"/>
      <c r="F1722" s="9"/>
      <c r="G1722" s="9"/>
      <c r="H1722" s="9"/>
      <c r="I1722" s="9" t="s">
        <v>14</v>
      </c>
      <c r="J1722" s="10" t="s">
        <v>14</v>
      </c>
      <c r="K1722" s="15" t="e">
        <f>VLOOKUP(J1722,DADOS!$A$3:$B$101,2,FALSE)</f>
        <v>#N/A</v>
      </c>
      <c r="L1722" s="15"/>
      <c r="M1722" s="18" t="b">
        <v>0</v>
      </c>
      <c r="N1722" s="17" t="b">
        <v>0</v>
      </c>
      <c r="O1722" s="17" t="b">
        <v>0</v>
      </c>
      <c r="P1722" s="17" t="b">
        <v>0</v>
      </c>
      <c r="Q1722" s="17" t="b">
        <v>0</v>
      </c>
      <c r="R1722" s="17" t="b">
        <v>0</v>
      </c>
      <c r="S1722" s="17" t="b">
        <v>0</v>
      </c>
      <c r="T1722" s="17" t="b">
        <v>0</v>
      </c>
      <c r="U1722" s="17" t="b">
        <v>0</v>
      </c>
      <c r="V1722" s="17" t="b">
        <v>0</v>
      </c>
      <c r="W1722" s="11"/>
      <c r="X1722" s="12"/>
      <c r="Y1722" s="12"/>
      <c r="Z1722" s="13"/>
    </row>
    <row r="1723" spans="1:26" ht="19.95" customHeight="1" x14ac:dyDescent="0.3">
      <c r="A1723" s="6"/>
      <c r="B1723" s="7"/>
      <c r="C1723" s="8"/>
      <c r="D1723" s="8"/>
      <c r="E1723" s="8"/>
      <c r="F1723" s="9"/>
      <c r="G1723" s="9"/>
      <c r="H1723" s="9"/>
      <c r="I1723" s="9" t="s">
        <v>14</v>
      </c>
      <c r="J1723" s="10" t="s">
        <v>14</v>
      </c>
      <c r="K1723" s="15" t="e">
        <f>VLOOKUP(J1723,DADOS!$A$3:$B$101,2,FALSE)</f>
        <v>#N/A</v>
      </c>
      <c r="L1723" s="15"/>
      <c r="M1723" s="18" t="b">
        <v>0</v>
      </c>
      <c r="N1723" s="17" t="b">
        <v>0</v>
      </c>
      <c r="O1723" s="17" t="b">
        <v>0</v>
      </c>
      <c r="P1723" s="17" t="b">
        <v>0</v>
      </c>
      <c r="Q1723" s="17" t="b">
        <v>0</v>
      </c>
      <c r="R1723" s="17" t="b">
        <v>0</v>
      </c>
      <c r="S1723" s="17" t="b">
        <v>0</v>
      </c>
      <c r="T1723" s="17" t="b">
        <v>0</v>
      </c>
      <c r="U1723" s="17" t="b">
        <v>0</v>
      </c>
      <c r="V1723" s="17" t="b">
        <v>0</v>
      </c>
      <c r="W1723" s="11"/>
      <c r="X1723" s="12"/>
      <c r="Y1723" s="12"/>
      <c r="Z1723" s="13"/>
    </row>
    <row r="1724" spans="1:26" ht="19.95" customHeight="1" x14ac:dyDescent="0.3">
      <c r="A1724" s="6"/>
      <c r="B1724" s="7"/>
      <c r="C1724" s="8"/>
      <c r="D1724" s="8"/>
      <c r="E1724" s="8"/>
      <c r="F1724" s="9"/>
      <c r="G1724" s="9"/>
      <c r="H1724" s="9"/>
      <c r="I1724" s="9" t="s">
        <v>14</v>
      </c>
      <c r="J1724" s="10" t="s">
        <v>14</v>
      </c>
      <c r="K1724" s="15" t="e">
        <f>VLOOKUP(J1724,DADOS!$A$3:$B$101,2,FALSE)</f>
        <v>#N/A</v>
      </c>
      <c r="L1724" s="15"/>
      <c r="M1724" s="18" t="b">
        <v>0</v>
      </c>
      <c r="N1724" s="17" t="b">
        <v>0</v>
      </c>
      <c r="O1724" s="17" t="b">
        <v>0</v>
      </c>
      <c r="P1724" s="17" t="b">
        <v>0</v>
      </c>
      <c r="Q1724" s="17" t="b">
        <v>0</v>
      </c>
      <c r="R1724" s="17" t="b">
        <v>0</v>
      </c>
      <c r="S1724" s="17" t="b">
        <v>0</v>
      </c>
      <c r="T1724" s="17" t="b">
        <v>0</v>
      </c>
      <c r="U1724" s="17" t="b">
        <v>0</v>
      </c>
      <c r="V1724" s="17" t="b">
        <v>0</v>
      </c>
      <c r="W1724" s="11"/>
      <c r="X1724" s="12"/>
      <c r="Y1724" s="12"/>
      <c r="Z1724" s="13"/>
    </row>
    <row r="1725" spans="1:26" ht="19.95" customHeight="1" x14ac:dyDescent="0.3">
      <c r="A1725" s="6"/>
      <c r="B1725" s="7"/>
      <c r="C1725" s="8"/>
      <c r="D1725" s="8"/>
      <c r="E1725" s="8"/>
      <c r="F1725" s="9"/>
      <c r="G1725" s="9"/>
      <c r="H1725" s="9"/>
      <c r="I1725" s="9" t="s">
        <v>14</v>
      </c>
      <c r="J1725" s="10" t="s">
        <v>14</v>
      </c>
      <c r="K1725" s="15" t="e">
        <f>VLOOKUP(J1725,DADOS!$A$3:$B$101,2,FALSE)</f>
        <v>#N/A</v>
      </c>
      <c r="L1725" s="15"/>
      <c r="M1725" s="18" t="b">
        <v>0</v>
      </c>
      <c r="N1725" s="17" t="b">
        <v>0</v>
      </c>
      <c r="O1725" s="17" t="b">
        <v>0</v>
      </c>
      <c r="P1725" s="17" t="b">
        <v>0</v>
      </c>
      <c r="Q1725" s="17" t="b">
        <v>0</v>
      </c>
      <c r="R1725" s="17" t="b">
        <v>0</v>
      </c>
      <c r="S1725" s="17" t="b">
        <v>0</v>
      </c>
      <c r="T1725" s="17" t="b">
        <v>0</v>
      </c>
      <c r="U1725" s="17" t="b">
        <v>0</v>
      </c>
      <c r="V1725" s="17" t="b">
        <v>0</v>
      </c>
      <c r="W1725" s="11"/>
      <c r="X1725" s="12"/>
      <c r="Y1725" s="12"/>
      <c r="Z1725" s="13"/>
    </row>
    <row r="1726" spans="1:26" ht="19.95" customHeight="1" x14ac:dyDescent="0.3">
      <c r="A1726" s="6"/>
      <c r="B1726" s="7"/>
      <c r="C1726" s="8"/>
      <c r="D1726" s="8"/>
      <c r="E1726" s="8"/>
      <c r="F1726" s="9"/>
      <c r="G1726" s="9"/>
      <c r="H1726" s="9"/>
      <c r="I1726" s="9" t="s">
        <v>14</v>
      </c>
      <c r="J1726" s="10" t="s">
        <v>14</v>
      </c>
      <c r="K1726" s="15" t="e">
        <f>VLOOKUP(J1726,DADOS!$A$3:$B$101,2,FALSE)</f>
        <v>#N/A</v>
      </c>
      <c r="L1726" s="15"/>
      <c r="M1726" s="18" t="b">
        <v>0</v>
      </c>
      <c r="N1726" s="17" t="b">
        <v>0</v>
      </c>
      <c r="O1726" s="17" t="b">
        <v>0</v>
      </c>
      <c r="P1726" s="17" t="b">
        <v>0</v>
      </c>
      <c r="Q1726" s="17" t="b">
        <v>0</v>
      </c>
      <c r="R1726" s="17" t="b">
        <v>0</v>
      </c>
      <c r="S1726" s="17" t="b">
        <v>0</v>
      </c>
      <c r="T1726" s="17" t="b">
        <v>0</v>
      </c>
      <c r="U1726" s="17" t="b">
        <v>0</v>
      </c>
      <c r="V1726" s="17" t="b">
        <v>0</v>
      </c>
      <c r="W1726" s="11"/>
      <c r="X1726" s="12"/>
      <c r="Y1726" s="12"/>
      <c r="Z1726" s="13"/>
    </row>
    <row r="1727" spans="1:26" ht="19.95" customHeight="1" x14ac:dyDescent="0.3">
      <c r="A1727" s="6"/>
      <c r="B1727" s="7"/>
      <c r="C1727" s="8"/>
      <c r="D1727" s="8"/>
      <c r="E1727" s="8"/>
      <c r="F1727" s="9"/>
      <c r="G1727" s="9"/>
      <c r="H1727" s="9"/>
      <c r="I1727" s="9" t="s">
        <v>14</v>
      </c>
      <c r="J1727" s="10" t="s">
        <v>14</v>
      </c>
      <c r="K1727" s="15" t="e">
        <f>VLOOKUP(J1727,DADOS!$A$3:$B$101,2,FALSE)</f>
        <v>#N/A</v>
      </c>
      <c r="L1727" s="15"/>
      <c r="M1727" s="18" t="b">
        <v>0</v>
      </c>
      <c r="N1727" s="17" t="b">
        <v>0</v>
      </c>
      <c r="O1727" s="17" t="b">
        <v>0</v>
      </c>
      <c r="P1727" s="17" t="b">
        <v>0</v>
      </c>
      <c r="Q1727" s="17" t="b">
        <v>0</v>
      </c>
      <c r="R1727" s="17" t="b">
        <v>0</v>
      </c>
      <c r="S1727" s="17" t="b">
        <v>0</v>
      </c>
      <c r="T1727" s="17" t="b">
        <v>0</v>
      </c>
      <c r="U1727" s="17" t="b">
        <v>0</v>
      </c>
      <c r="V1727" s="17" t="b">
        <v>0</v>
      </c>
      <c r="W1727" s="11"/>
      <c r="X1727" s="12"/>
      <c r="Y1727" s="12"/>
      <c r="Z1727" s="13"/>
    </row>
    <row r="1728" spans="1:26" ht="19.95" customHeight="1" x14ac:dyDescent="0.3">
      <c r="A1728" s="6"/>
      <c r="B1728" s="7"/>
      <c r="C1728" s="8"/>
      <c r="D1728" s="8"/>
      <c r="E1728" s="8"/>
      <c r="F1728" s="9"/>
      <c r="G1728" s="9"/>
      <c r="H1728" s="9"/>
      <c r="I1728" s="9" t="s">
        <v>14</v>
      </c>
      <c r="J1728" s="10" t="s">
        <v>14</v>
      </c>
      <c r="K1728" s="15" t="e">
        <f>VLOOKUP(J1728,DADOS!$A$3:$B$101,2,FALSE)</f>
        <v>#N/A</v>
      </c>
      <c r="L1728" s="15"/>
      <c r="M1728" s="18" t="b">
        <v>0</v>
      </c>
      <c r="N1728" s="17" t="b">
        <v>0</v>
      </c>
      <c r="O1728" s="17" t="b">
        <v>0</v>
      </c>
      <c r="P1728" s="17" t="b">
        <v>0</v>
      </c>
      <c r="Q1728" s="17" t="b">
        <v>0</v>
      </c>
      <c r="R1728" s="17" t="b">
        <v>0</v>
      </c>
      <c r="S1728" s="17" t="b">
        <v>0</v>
      </c>
      <c r="T1728" s="17" t="b">
        <v>0</v>
      </c>
      <c r="U1728" s="17" t="b">
        <v>0</v>
      </c>
      <c r="V1728" s="17" t="b">
        <v>0</v>
      </c>
      <c r="W1728" s="11"/>
      <c r="X1728" s="12"/>
      <c r="Y1728" s="12"/>
      <c r="Z1728" s="13"/>
    </row>
    <row r="1729" spans="1:26" ht="19.95" customHeight="1" x14ac:dyDescent="0.3">
      <c r="A1729" s="6"/>
      <c r="B1729" s="7"/>
      <c r="C1729" s="8"/>
      <c r="D1729" s="8"/>
      <c r="E1729" s="8"/>
      <c r="F1729" s="9"/>
      <c r="G1729" s="9"/>
      <c r="H1729" s="9"/>
      <c r="I1729" s="9" t="s">
        <v>14</v>
      </c>
      <c r="J1729" s="10" t="s">
        <v>14</v>
      </c>
      <c r="K1729" s="15" t="e">
        <f>VLOOKUP(J1729,DADOS!$A$3:$B$101,2,FALSE)</f>
        <v>#N/A</v>
      </c>
      <c r="L1729" s="15"/>
      <c r="M1729" s="18" t="b">
        <v>0</v>
      </c>
      <c r="N1729" s="17" t="b">
        <v>0</v>
      </c>
      <c r="O1729" s="17" t="b">
        <v>0</v>
      </c>
      <c r="P1729" s="17" t="b">
        <v>0</v>
      </c>
      <c r="Q1729" s="17" t="b">
        <v>0</v>
      </c>
      <c r="R1729" s="17" t="b">
        <v>0</v>
      </c>
      <c r="S1729" s="17" t="b">
        <v>0</v>
      </c>
      <c r="T1729" s="17" t="b">
        <v>0</v>
      </c>
      <c r="U1729" s="17" t="b">
        <v>0</v>
      </c>
      <c r="V1729" s="17" t="b">
        <v>0</v>
      </c>
      <c r="W1729" s="11"/>
      <c r="X1729" s="12"/>
      <c r="Y1729" s="12"/>
      <c r="Z1729" s="13"/>
    </row>
    <row r="1730" spans="1:26" ht="19.95" customHeight="1" x14ac:dyDescent="0.3">
      <c r="A1730" s="6"/>
      <c r="B1730" s="7"/>
      <c r="C1730" s="8"/>
      <c r="D1730" s="8"/>
      <c r="E1730" s="8"/>
      <c r="F1730" s="9"/>
      <c r="G1730" s="9"/>
      <c r="H1730" s="9"/>
      <c r="I1730" s="9" t="s">
        <v>14</v>
      </c>
      <c r="J1730" s="10" t="s">
        <v>14</v>
      </c>
      <c r="K1730" s="15" t="e">
        <f>VLOOKUP(J1730,DADOS!$A$3:$B$101,2,FALSE)</f>
        <v>#N/A</v>
      </c>
      <c r="L1730" s="15"/>
      <c r="M1730" s="18" t="b">
        <v>0</v>
      </c>
      <c r="N1730" s="17" t="b">
        <v>0</v>
      </c>
      <c r="O1730" s="17" t="b">
        <v>0</v>
      </c>
      <c r="P1730" s="17" t="b">
        <v>0</v>
      </c>
      <c r="Q1730" s="17" t="b">
        <v>0</v>
      </c>
      <c r="R1730" s="17" t="b">
        <v>0</v>
      </c>
      <c r="S1730" s="17" t="b">
        <v>0</v>
      </c>
      <c r="T1730" s="17" t="b">
        <v>0</v>
      </c>
      <c r="U1730" s="17" t="b">
        <v>0</v>
      </c>
      <c r="V1730" s="17" t="b">
        <v>0</v>
      </c>
      <c r="W1730" s="11"/>
      <c r="X1730" s="12"/>
      <c r="Y1730" s="12"/>
      <c r="Z1730" s="13"/>
    </row>
    <row r="1731" spans="1:26" ht="19.95" customHeight="1" x14ac:dyDescent="0.3">
      <c r="A1731" s="6"/>
      <c r="B1731" s="7"/>
      <c r="C1731" s="8"/>
      <c r="D1731" s="8"/>
      <c r="E1731" s="8"/>
      <c r="F1731" s="9"/>
      <c r="G1731" s="9"/>
      <c r="H1731" s="9"/>
      <c r="I1731" s="9" t="s">
        <v>14</v>
      </c>
      <c r="J1731" s="10" t="s">
        <v>14</v>
      </c>
      <c r="K1731" s="15" t="e">
        <f>VLOOKUP(J1731,DADOS!$A$3:$B$101,2,FALSE)</f>
        <v>#N/A</v>
      </c>
      <c r="L1731" s="15"/>
      <c r="M1731" s="18" t="b">
        <v>0</v>
      </c>
      <c r="N1731" s="17" t="b">
        <v>0</v>
      </c>
      <c r="O1731" s="17" t="b">
        <v>0</v>
      </c>
      <c r="P1731" s="17" t="b">
        <v>0</v>
      </c>
      <c r="Q1731" s="17" t="b">
        <v>0</v>
      </c>
      <c r="R1731" s="17" t="b">
        <v>0</v>
      </c>
      <c r="S1731" s="17" t="b">
        <v>0</v>
      </c>
      <c r="T1731" s="17" t="b">
        <v>0</v>
      </c>
      <c r="U1731" s="17" t="b">
        <v>0</v>
      </c>
      <c r="V1731" s="17" t="b">
        <v>0</v>
      </c>
      <c r="W1731" s="11"/>
      <c r="X1731" s="12"/>
      <c r="Y1731" s="12"/>
      <c r="Z1731" s="13"/>
    </row>
    <row r="1732" spans="1:26" ht="19.95" customHeight="1" x14ac:dyDescent="0.3">
      <c r="A1732" s="6"/>
      <c r="B1732" s="7"/>
      <c r="C1732" s="8"/>
      <c r="D1732" s="8"/>
      <c r="E1732" s="8"/>
      <c r="F1732" s="9"/>
      <c r="G1732" s="9"/>
      <c r="H1732" s="9"/>
      <c r="I1732" s="9" t="s">
        <v>14</v>
      </c>
      <c r="J1732" s="10" t="s">
        <v>14</v>
      </c>
      <c r="K1732" s="15" t="e">
        <f>VLOOKUP(J1732,DADOS!$A$3:$B$101,2,FALSE)</f>
        <v>#N/A</v>
      </c>
      <c r="L1732" s="15"/>
      <c r="M1732" s="18" t="b">
        <v>0</v>
      </c>
      <c r="N1732" s="17" t="b">
        <v>0</v>
      </c>
      <c r="O1732" s="17" t="b">
        <v>0</v>
      </c>
      <c r="P1732" s="17" t="b">
        <v>0</v>
      </c>
      <c r="Q1732" s="17" t="b">
        <v>0</v>
      </c>
      <c r="R1732" s="17" t="b">
        <v>0</v>
      </c>
      <c r="S1732" s="17" t="b">
        <v>0</v>
      </c>
      <c r="T1732" s="17" t="b">
        <v>0</v>
      </c>
      <c r="U1732" s="17" t="b">
        <v>0</v>
      </c>
      <c r="V1732" s="17" t="b">
        <v>0</v>
      </c>
      <c r="W1732" s="11"/>
      <c r="X1732" s="12"/>
      <c r="Y1732" s="12"/>
      <c r="Z1732" s="13"/>
    </row>
    <row r="1733" spans="1:26" ht="19.95" customHeight="1" x14ac:dyDescent="0.3">
      <c r="A1733" s="6"/>
      <c r="B1733" s="7"/>
      <c r="C1733" s="8"/>
      <c r="D1733" s="8"/>
      <c r="E1733" s="8"/>
      <c r="F1733" s="9"/>
      <c r="G1733" s="9"/>
      <c r="H1733" s="9"/>
      <c r="I1733" s="9" t="s">
        <v>14</v>
      </c>
      <c r="J1733" s="10" t="s">
        <v>14</v>
      </c>
      <c r="K1733" s="15" t="e">
        <f>VLOOKUP(J1733,DADOS!$A$3:$B$101,2,FALSE)</f>
        <v>#N/A</v>
      </c>
      <c r="L1733" s="15"/>
      <c r="M1733" s="18" t="b">
        <v>0</v>
      </c>
      <c r="N1733" s="17" t="b">
        <v>0</v>
      </c>
      <c r="O1733" s="17" t="b">
        <v>0</v>
      </c>
      <c r="P1733" s="17" t="b">
        <v>0</v>
      </c>
      <c r="Q1733" s="17" t="b">
        <v>0</v>
      </c>
      <c r="R1733" s="17" t="b">
        <v>0</v>
      </c>
      <c r="S1733" s="17" t="b">
        <v>0</v>
      </c>
      <c r="T1733" s="17" t="b">
        <v>0</v>
      </c>
      <c r="U1733" s="17" t="b">
        <v>0</v>
      </c>
      <c r="V1733" s="17" t="b">
        <v>0</v>
      </c>
      <c r="W1733" s="11"/>
      <c r="X1733" s="12"/>
      <c r="Y1733" s="12"/>
      <c r="Z1733" s="13"/>
    </row>
    <row r="1734" spans="1:26" ht="19.95" customHeight="1" x14ac:dyDescent="0.3">
      <c r="A1734" s="6"/>
      <c r="B1734" s="7"/>
      <c r="C1734" s="8"/>
      <c r="D1734" s="8"/>
      <c r="E1734" s="8"/>
      <c r="F1734" s="9"/>
      <c r="G1734" s="9"/>
      <c r="H1734" s="9"/>
      <c r="I1734" s="9" t="s">
        <v>14</v>
      </c>
      <c r="J1734" s="10" t="s">
        <v>14</v>
      </c>
      <c r="K1734" s="15" t="e">
        <f>VLOOKUP(J1734,DADOS!$A$3:$B$101,2,FALSE)</f>
        <v>#N/A</v>
      </c>
      <c r="L1734" s="15"/>
      <c r="M1734" s="18" t="b">
        <v>0</v>
      </c>
      <c r="N1734" s="17" t="b">
        <v>0</v>
      </c>
      <c r="O1734" s="17" t="b">
        <v>0</v>
      </c>
      <c r="P1734" s="17" t="b">
        <v>0</v>
      </c>
      <c r="Q1734" s="17" t="b">
        <v>0</v>
      </c>
      <c r="R1734" s="17" t="b">
        <v>0</v>
      </c>
      <c r="S1734" s="17" t="b">
        <v>0</v>
      </c>
      <c r="T1734" s="17" t="b">
        <v>0</v>
      </c>
      <c r="U1734" s="17" t="b">
        <v>0</v>
      </c>
      <c r="V1734" s="17" t="b">
        <v>0</v>
      </c>
      <c r="W1734" s="11"/>
      <c r="X1734" s="12"/>
      <c r="Y1734" s="12"/>
      <c r="Z1734" s="13"/>
    </row>
    <row r="1735" spans="1:26" ht="19.95" customHeight="1" x14ac:dyDescent="0.3">
      <c r="A1735" s="6"/>
      <c r="B1735" s="7"/>
      <c r="C1735" s="8"/>
      <c r="D1735" s="8"/>
      <c r="E1735" s="8"/>
      <c r="F1735" s="9"/>
      <c r="G1735" s="9"/>
      <c r="H1735" s="9"/>
      <c r="I1735" s="9" t="s">
        <v>14</v>
      </c>
      <c r="J1735" s="10" t="s">
        <v>14</v>
      </c>
      <c r="K1735" s="15" t="e">
        <f>VLOOKUP(J1735,DADOS!$A$3:$B$101,2,FALSE)</f>
        <v>#N/A</v>
      </c>
      <c r="L1735" s="15"/>
      <c r="M1735" s="18" t="b">
        <v>0</v>
      </c>
      <c r="N1735" s="17" t="b">
        <v>0</v>
      </c>
      <c r="O1735" s="17" t="b">
        <v>0</v>
      </c>
      <c r="P1735" s="17" t="b">
        <v>0</v>
      </c>
      <c r="Q1735" s="17" t="b">
        <v>0</v>
      </c>
      <c r="R1735" s="17" t="b">
        <v>0</v>
      </c>
      <c r="S1735" s="17" t="b">
        <v>0</v>
      </c>
      <c r="T1735" s="17" t="b">
        <v>0</v>
      </c>
      <c r="U1735" s="17" t="b">
        <v>0</v>
      </c>
      <c r="V1735" s="17" t="b">
        <v>0</v>
      </c>
      <c r="W1735" s="11"/>
      <c r="X1735" s="12"/>
      <c r="Y1735" s="12"/>
      <c r="Z1735" s="13"/>
    </row>
    <row r="1736" spans="1:26" ht="19.95" customHeight="1" x14ac:dyDescent="0.3">
      <c r="A1736" s="6"/>
      <c r="B1736" s="7"/>
      <c r="C1736" s="8"/>
      <c r="D1736" s="8"/>
      <c r="E1736" s="8"/>
      <c r="F1736" s="9"/>
      <c r="G1736" s="9"/>
      <c r="H1736" s="9"/>
      <c r="I1736" s="9" t="s">
        <v>14</v>
      </c>
      <c r="J1736" s="10" t="s">
        <v>14</v>
      </c>
      <c r="K1736" s="15" t="e">
        <f>VLOOKUP(J1736,DADOS!$A$3:$B$101,2,FALSE)</f>
        <v>#N/A</v>
      </c>
      <c r="L1736" s="15"/>
      <c r="M1736" s="18" t="b">
        <v>0</v>
      </c>
      <c r="N1736" s="17" t="b">
        <v>0</v>
      </c>
      <c r="O1736" s="17" t="b">
        <v>0</v>
      </c>
      <c r="P1736" s="17" t="b">
        <v>0</v>
      </c>
      <c r="Q1736" s="17" t="b">
        <v>0</v>
      </c>
      <c r="R1736" s="17" t="b">
        <v>0</v>
      </c>
      <c r="S1736" s="17" t="b">
        <v>0</v>
      </c>
      <c r="T1736" s="17" t="b">
        <v>0</v>
      </c>
      <c r="U1736" s="17" t="b">
        <v>0</v>
      </c>
      <c r="V1736" s="17" t="b">
        <v>0</v>
      </c>
      <c r="W1736" s="11"/>
      <c r="X1736" s="12"/>
      <c r="Y1736" s="12"/>
      <c r="Z1736" s="13"/>
    </row>
    <row r="1737" spans="1:26" ht="19.95" customHeight="1" x14ac:dyDescent="0.3">
      <c r="A1737" s="6"/>
      <c r="B1737" s="7"/>
      <c r="C1737" s="8"/>
      <c r="D1737" s="8"/>
      <c r="E1737" s="8"/>
      <c r="F1737" s="9"/>
      <c r="G1737" s="9"/>
      <c r="H1737" s="9"/>
      <c r="I1737" s="9" t="s">
        <v>14</v>
      </c>
      <c r="J1737" s="10" t="s">
        <v>14</v>
      </c>
      <c r="K1737" s="15" t="e">
        <f>VLOOKUP(J1737,DADOS!$A$3:$B$101,2,FALSE)</f>
        <v>#N/A</v>
      </c>
      <c r="L1737" s="15"/>
      <c r="M1737" s="18" t="b">
        <v>0</v>
      </c>
      <c r="N1737" s="17" t="b">
        <v>0</v>
      </c>
      <c r="O1737" s="17" t="b">
        <v>0</v>
      </c>
      <c r="P1737" s="17" t="b">
        <v>0</v>
      </c>
      <c r="Q1737" s="17" t="b">
        <v>0</v>
      </c>
      <c r="R1737" s="17" t="b">
        <v>0</v>
      </c>
      <c r="S1737" s="17" t="b">
        <v>0</v>
      </c>
      <c r="T1737" s="17" t="b">
        <v>0</v>
      </c>
      <c r="U1737" s="17" t="b">
        <v>0</v>
      </c>
      <c r="V1737" s="17" t="b">
        <v>0</v>
      </c>
      <c r="W1737" s="11"/>
      <c r="X1737" s="12"/>
      <c r="Y1737" s="12"/>
      <c r="Z1737" s="13"/>
    </row>
    <row r="1738" spans="1:26" ht="19.95" customHeight="1" x14ac:dyDescent="0.3">
      <c r="A1738" s="6"/>
      <c r="B1738" s="7"/>
      <c r="C1738" s="8"/>
      <c r="D1738" s="8"/>
      <c r="E1738" s="8"/>
      <c r="F1738" s="9"/>
      <c r="G1738" s="9"/>
      <c r="H1738" s="9"/>
      <c r="I1738" s="9" t="s">
        <v>14</v>
      </c>
      <c r="J1738" s="10" t="s">
        <v>14</v>
      </c>
      <c r="K1738" s="15" t="e">
        <f>VLOOKUP(J1738,DADOS!$A$3:$B$101,2,FALSE)</f>
        <v>#N/A</v>
      </c>
      <c r="L1738" s="15"/>
      <c r="M1738" s="18" t="b">
        <v>0</v>
      </c>
      <c r="N1738" s="17" t="b">
        <v>0</v>
      </c>
      <c r="O1738" s="17" t="b">
        <v>0</v>
      </c>
      <c r="P1738" s="17" t="b">
        <v>0</v>
      </c>
      <c r="Q1738" s="17" t="b">
        <v>0</v>
      </c>
      <c r="R1738" s="17" t="b">
        <v>0</v>
      </c>
      <c r="S1738" s="17" t="b">
        <v>0</v>
      </c>
      <c r="T1738" s="17" t="b">
        <v>0</v>
      </c>
      <c r="U1738" s="17" t="b">
        <v>0</v>
      </c>
      <c r="V1738" s="17" t="b">
        <v>0</v>
      </c>
      <c r="W1738" s="11"/>
      <c r="X1738" s="12"/>
      <c r="Y1738" s="12"/>
      <c r="Z1738" s="13"/>
    </row>
    <row r="1739" spans="1:26" ht="19.95" customHeight="1" x14ac:dyDescent="0.3">
      <c r="A1739" s="6"/>
      <c r="B1739" s="7"/>
      <c r="C1739" s="8"/>
      <c r="D1739" s="8"/>
      <c r="E1739" s="8"/>
      <c r="F1739" s="9"/>
      <c r="G1739" s="9"/>
      <c r="H1739" s="9"/>
      <c r="I1739" s="9" t="s">
        <v>14</v>
      </c>
      <c r="J1739" s="10" t="s">
        <v>14</v>
      </c>
      <c r="K1739" s="15" t="e">
        <f>VLOOKUP(J1739,DADOS!$A$3:$B$101,2,FALSE)</f>
        <v>#N/A</v>
      </c>
      <c r="L1739" s="15"/>
      <c r="M1739" s="18" t="b">
        <v>0</v>
      </c>
      <c r="N1739" s="17" t="b">
        <v>0</v>
      </c>
      <c r="O1739" s="17" t="b">
        <v>0</v>
      </c>
      <c r="P1739" s="17" t="b">
        <v>0</v>
      </c>
      <c r="Q1739" s="17" t="b">
        <v>0</v>
      </c>
      <c r="R1739" s="17" t="b">
        <v>0</v>
      </c>
      <c r="S1739" s="17" t="b">
        <v>0</v>
      </c>
      <c r="T1739" s="17" t="b">
        <v>0</v>
      </c>
      <c r="U1739" s="17" t="b">
        <v>0</v>
      </c>
      <c r="V1739" s="17" t="b">
        <v>0</v>
      </c>
      <c r="W1739" s="11"/>
      <c r="X1739" s="12"/>
      <c r="Y1739" s="12"/>
      <c r="Z1739" s="13"/>
    </row>
    <row r="1740" spans="1:26" ht="19.95" customHeight="1" x14ac:dyDescent="0.3">
      <c r="A1740" s="6"/>
      <c r="B1740" s="7"/>
      <c r="C1740" s="8"/>
      <c r="D1740" s="8"/>
      <c r="E1740" s="8"/>
      <c r="F1740" s="9"/>
      <c r="G1740" s="9"/>
      <c r="H1740" s="9"/>
      <c r="I1740" s="9" t="s">
        <v>14</v>
      </c>
      <c r="J1740" s="10" t="s">
        <v>14</v>
      </c>
      <c r="K1740" s="15" t="e">
        <f>VLOOKUP(J1740,DADOS!$A$3:$B$101,2,FALSE)</f>
        <v>#N/A</v>
      </c>
      <c r="L1740" s="15"/>
      <c r="M1740" s="18" t="b">
        <v>0</v>
      </c>
      <c r="N1740" s="17" t="b">
        <v>0</v>
      </c>
      <c r="O1740" s="17" t="b">
        <v>0</v>
      </c>
      <c r="P1740" s="17" t="b">
        <v>0</v>
      </c>
      <c r="Q1740" s="17" t="b">
        <v>0</v>
      </c>
      <c r="R1740" s="17" t="b">
        <v>0</v>
      </c>
      <c r="S1740" s="17" t="b">
        <v>0</v>
      </c>
      <c r="T1740" s="17" t="b">
        <v>0</v>
      </c>
      <c r="U1740" s="17" t="b">
        <v>0</v>
      </c>
      <c r="V1740" s="17" t="b">
        <v>0</v>
      </c>
      <c r="W1740" s="11"/>
      <c r="X1740" s="12"/>
      <c r="Y1740" s="12"/>
      <c r="Z1740" s="13"/>
    </row>
    <row r="1741" spans="1:26" ht="19.95" customHeight="1" x14ac:dyDescent="0.3">
      <c r="A1741" s="6"/>
      <c r="B1741" s="7"/>
      <c r="C1741" s="8"/>
      <c r="D1741" s="8"/>
      <c r="E1741" s="8"/>
      <c r="F1741" s="9"/>
      <c r="G1741" s="9"/>
      <c r="H1741" s="9"/>
      <c r="I1741" s="9" t="s">
        <v>14</v>
      </c>
      <c r="J1741" s="10" t="s">
        <v>14</v>
      </c>
      <c r="K1741" s="15" t="e">
        <f>VLOOKUP(J1741,DADOS!$A$3:$B$101,2,FALSE)</f>
        <v>#N/A</v>
      </c>
      <c r="L1741" s="15"/>
      <c r="M1741" s="18" t="b">
        <v>0</v>
      </c>
      <c r="N1741" s="17" t="b">
        <v>0</v>
      </c>
      <c r="O1741" s="17" t="b">
        <v>0</v>
      </c>
      <c r="P1741" s="17" t="b">
        <v>0</v>
      </c>
      <c r="Q1741" s="17" t="b">
        <v>0</v>
      </c>
      <c r="R1741" s="17" t="b">
        <v>0</v>
      </c>
      <c r="S1741" s="17" t="b">
        <v>0</v>
      </c>
      <c r="T1741" s="17" t="b">
        <v>0</v>
      </c>
      <c r="U1741" s="17" t="b">
        <v>0</v>
      </c>
      <c r="V1741" s="17" t="b">
        <v>0</v>
      </c>
      <c r="W1741" s="11"/>
      <c r="X1741" s="12"/>
      <c r="Y1741" s="12"/>
      <c r="Z1741" s="13"/>
    </row>
    <row r="1742" spans="1:26" ht="19.95" customHeight="1" x14ac:dyDescent="0.3">
      <c r="A1742" s="6"/>
      <c r="B1742" s="7"/>
      <c r="C1742" s="8"/>
      <c r="D1742" s="8"/>
      <c r="E1742" s="8"/>
      <c r="F1742" s="9"/>
      <c r="G1742" s="9"/>
      <c r="H1742" s="9"/>
      <c r="I1742" s="9" t="s">
        <v>14</v>
      </c>
      <c r="J1742" s="10" t="s">
        <v>14</v>
      </c>
      <c r="K1742" s="15" t="e">
        <f>VLOOKUP(J1742,DADOS!$A$3:$B$101,2,FALSE)</f>
        <v>#N/A</v>
      </c>
      <c r="L1742" s="15"/>
      <c r="M1742" s="18" t="b">
        <v>0</v>
      </c>
      <c r="N1742" s="17" t="b">
        <v>0</v>
      </c>
      <c r="O1742" s="17" t="b">
        <v>0</v>
      </c>
      <c r="P1742" s="17" t="b">
        <v>0</v>
      </c>
      <c r="Q1742" s="17" t="b">
        <v>0</v>
      </c>
      <c r="R1742" s="17" t="b">
        <v>0</v>
      </c>
      <c r="S1742" s="17" t="b">
        <v>0</v>
      </c>
      <c r="T1742" s="17" t="b">
        <v>0</v>
      </c>
      <c r="U1742" s="17" t="b">
        <v>0</v>
      </c>
      <c r="V1742" s="17" t="b">
        <v>0</v>
      </c>
      <c r="W1742" s="11"/>
      <c r="X1742" s="12"/>
      <c r="Y1742" s="12"/>
      <c r="Z1742" s="13"/>
    </row>
    <row r="1743" spans="1:26" ht="19.95" customHeight="1" x14ac:dyDescent="0.3">
      <c r="A1743" s="6"/>
      <c r="B1743" s="7"/>
      <c r="C1743" s="8"/>
      <c r="D1743" s="8"/>
      <c r="E1743" s="8"/>
      <c r="F1743" s="9"/>
      <c r="G1743" s="9"/>
      <c r="H1743" s="9"/>
      <c r="I1743" s="9" t="s">
        <v>14</v>
      </c>
      <c r="J1743" s="10" t="s">
        <v>14</v>
      </c>
      <c r="K1743" s="15" t="e">
        <f>VLOOKUP(J1743,DADOS!$A$3:$B$101,2,FALSE)</f>
        <v>#N/A</v>
      </c>
      <c r="L1743" s="15"/>
      <c r="M1743" s="18" t="b">
        <v>0</v>
      </c>
      <c r="N1743" s="17" t="b">
        <v>0</v>
      </c>
      <c r="O1743" s="17" t="b">
        <v>0</v>
      </c>
      <c r="P1743" s="17" t="b">
        <v>0</v>
      </c>
      <c r="Q1743" s="17" t="b">
        <v>0</v>
      </c>
      <c r="R1743" s="17" t="b">
        <v>0</v>
      </c>
      <c r="S1743" s="17" t="b">
        <v>0</v>
      </c>
      <c r="T1743" s="17" t="b">
        <v>0</v>
      </c>
      <c r="U1743" s="17" t="b">
        <v>0</v>
      </c>
      <c r="V1743" s="17" t="b">
        <v>0</v>
      </c>
      <c r="W1743" s="11"/>
      <c r="X1743" s="12"/>
      <c r="Y1743" s="12"/>
      <c r="Z1743" s="13"/>
    </row>
    <row r="1744" spans="1:26" ht="19.95" customHeight="1" x14ac:dyDescent="0.3">
      <c r="A1744" s="6"/>
      <c r="B1744" s="7"/>
      <c r="C1744" s="8"/>
      <c r="D1744" s="8"/>
      <c r="E1744" s="8"/>
      <c r="F1744" s="9"/>
      <c r="G1744" s="9"/>
      <c r="H1744" s="9"/>
      <c r="I1744" s="9" t="s">
        <v>14</v>
      </c>
      <c r="J1744" s="10" t="s">
        <v>14</v>
      </c>
      <c r="K1744" s="15" t="e">
        <f>VLOOKUP(J1744,DADOS!$A$3:$B$101,2,FALSE)</f>
        <v>#N/A</v>
      </c>
      <c r="L1744" s="15"/>
      <c r="M1744" s="18" t="b">
        <v>0</v>
      </c>
      <c r="N1744" s="17" t="b">
        <v>0</v>
      </c>
      <c r="O1744" s="17" t="b">
        <v>0</v>
      </c>
      <c r="P1744" s="17" t="b">
        <v>0</v>
      </c>
      <c r="Q1744" s="17" t="b">
        <v>0</v>
      </c>
      <c r="R1744" s="17" t="b">
        <v>0</v>
      </c>
      <c r="S1744" s="17" t="b">
        <v>0</v>
      </c>
      <c r="T1744" s="17" t="b">
        <v>0</v>
      </c>
      <c r="U1744" s="17" t="b">
        <v>0</v>
      </c>
      <c r="V1744" s="17" t="b">
        <v>0</v>
      </c>
      <c r="W1744" s="11"/>
      <c r="X1744" s="12"/>
      <c r="Y1744" s="12"/>
      <c r="Z1744" s="13"/>
    </row>
    <row r="1745" spans="1:26" ht="19.95" customHeight="1" x14ac:dyDescent="0.3">
      <c r="A1745" s="6"/>
      <c r="B1745" s="7"/>
      <c r="C1745" s="8"/>
      <c r="D1745" s="8"/>
      <c r="E1745" s="8"/>
      <c r="F1745" s="9"/>
      <c r="G1745" s="9"/>
      <c r="H1745" s="9"/>
      <c r="I1745" s="9" t="s">
        <v>14</v>
      </c>
      <c r="J1745" s="10" t="s">
        <v>14</v>
      </c>
      <c r="K1745" s="15" t="e">
        <f>VLOOKUP(J1745,DADOS!$A$3:$B$101,2,FALSE)</f>
        <v>#N/A</v>
      </c>
      <c r="L1745" s="15"/>
      <c r="M1745" s="18" t="b">
        <v>0</v>
      </c>
      <c r="N1745" s="17" t="b">
        <v>0</v>
      </c>
      <c r="O1745" s="17" t="b">
        <v>0</v>
      </c>
      <c r="P1745" s="17" t="b">
        <v>0</v>
      </c>
      <c r="Q1745" s="17" t="b">
        <v>0</v>
      </c>
      <c r="R1745" s="17" t="b">
        <v>0</v>
      </c>
      <c r="S1745" s="17" t="b">
        <v>0</v>
      </c>
      <c r="T1745" s="17" t="b">
        <v>0</v>
      </c>
      <c r="U1745" s="17" t="b">
        <v>0</v>
      </c>
      <c r="V1745" s="17" t="b">
        <v>0</v>
      </c>
      <c r="W1745" s="11"/>
      <c r="X1745" s="12"/>
      <c r="Y1745" s="12"/>
      <c r="Z1745" s="13"/>
    </row>
    <row r="1746" spans="1:26" ht="19.95" customHeight="1" x14ac:dyDescent="0.3">
      <c r="A1746" s="6"/>
      <c r="B1746" s="7"/>
      <c r="C1746" s="8"/>
      <c r="D1746" s="8"/>
      <c r="E1746" s="8"/>
      <c r="F1746" s="9"/>
      <c r="G1746" s="9"/>
      <c r="H1746" s="9"/>
      <c r="I1746" s="9" t="s">
        <v>14</v>
      </c>
      <c r="J1746" s="10" t="s">
        <v>14</v>
      </c>
      <c r="K1746" s="15" t="e">
        <f>VLOOKUP(J1746,DADOS!$A$3:$B$101,2,FALSE)</f>
        <v>#N/A</v>
      </c>
      <c r="L1746" s="15"/>
      <c r="M1746" s="18" t="b">
        <v>0</v>
      </c>
      <c r="N1746" s="17" t="b">
        <v>0</v>
      </c>
      <c r="O1746" s="17" t="b">
        <v>0</v>
      </c>
      <c r="P1746" s="17" t="b">
        <v>0</v>
      </c>
      <c r="Q1746" s="17" t="b">
        <v>0</v>
      </c>
      <c r="R1746" s="17" t="b">
        <v>0</v>
      </c>
      <c r="S1746" s="17" t="b">
        <v>0</v>
      </c>
      <c r="T1746" s="17" t="b">
        <v>0</v>
      </c>
      <c r="U1746" s="17" t="b">
        <v>0</v>
      </c>
      <c r="V1746" s="17" t="b">
        <v>0</v>
      </c>
      <c r="W1746" s="11"/>
      <c r="X1746" s="12"/>
      <c r="Y1746" s="12"/>
      <c r="Z1746" s="13"/>
    </row>
    <row r="1747" spans="1:26" ht="19.95" customHeight="1" x14ac:dyDescent="0.3">
      <c r="A1747" s="6"/>
      <c r="B1747" s="7"/>
      <c r="C1747" s="8"/>
      <c r="D1747" s="8"/>
      <c r="E1747" s="8"/>
      <c r="F1747" s="9"/>
      <c r="G1747" s="9"/>
      <c r="H1747" s="9"/>
      <c r="I1747" s="9" t="s">
        <v>14</v>
      </c>
      <c r="J1747" s="10" t="s">
        <v>14</v>
      </c>
      <c r="K1747" s="15" t="e">
        <f>VLOOKUP(J1747,DADOS!$A$3:$B$101,2,FALSE)</f>
        <v>#N/A</v>
      </c>
      <c r="L1747" s="15"/>
      <c r="M1747" s="18" t="b">
        <v>0</v>
      </c>
      <c r="N1747" s="17" t="b">
        <v>0</v>
      </c>
      <c r="O1747" s="17" t="b">
        <v>0</v>
      </c>
      <c r="P1747" s="17" t="b">
        <v>0</v>
      </c>
      <c r="Q1747" s="17" t="b">
        <v>0</v>
      </c>
      <c r="R1747" s="17" t="b">
        <v>0</v>
      </c>
      <c r="S1747" s="17" t="b">
        <v>0</v>
      </c>
      <c r="T1747" s="17" t="b">
        <v>0</v>
      </c>
      <c r="U1747" s="17" t="b">
        <v>0</v>
      </c>
      <c r="V1747" s="17" t="b">
        <v>0</v>
      </c>
      <c r="W1747" s="11"/>
      <c r="X1747" s="12"/>
      <c r="Y1747" s="12"/>
      <c r="Z1747" s="13"/>
    </row>
    <row r="1748" spans="1:26" ht="19.95" customHeight="1" x14ac:dyDescent="0.3">
      <c r="A1748" s="6"/>
      <c r="B1748" s="7"/>
      <c r="C1748" s="8"/>
      <c r="D1748" s="8"/>
      <c r="E1748" s="8"/>
      <c r="F1748" s="9"/>
      <c r="G1748" s="9"/>
      <c r="H1748" s="9"/>
      <c r="I1748" s="9" t="s">
        <v>14</v>
      </c>
      <c r="J1748" s="10" t="s">
        <v>14</v>
      </c>
      <c r="K1748" s="15" t="e">
        <f>VLOOKUP(J1748,DADOS!$A$3:$B$101,2,FALSE)</f>
        <v>#N/A</v>
      </c>
      <c r="L1748" s="15"/>
      <c r="M1748" s="18" t="b">
        <v>0</v>
      </c>
      <c r="N1748" s="17" t="b">
        <v>0</v>
      </c>
      <c r="O1748" s="17" t="b">
        <v>0</v>
      </c>
      <c r="P1748" s="17" t="b">
        <v>0</v>
      </c>
      <c r="Q1748" s="17" t="b">
        <v>0</v>
      </c>
      <c r="R1748" s="17" t="b">
        <v>0</v>
      </c>
      <c r="S1748" s="17" t="b">
        <v>0</v>
      </c>
      <c r="T1748" s="17" t="b">
        <v>0</v>
      </c>
      <c r="U1748" s="17" t="b">
        <v>0</v>
      </c>
      <c r="V1748" s="17" t="b">
        <v>0</v>
      </c>
      <c r="W1748" s="11"/>
      <c r="X1748" s="12"/>
      <c r="Y1748" s="12"/>
      <c r="Z1748" s="13"/>
    </row>
    <row r="1749" spans="1:26" ht="19.95" customHeight="1" x14ac:dyDescent="0.3">
      <c r="A1749" s="6"/>
      <c r="B1749" s="7"/>
      <c r="C1749" s="8"/>
      <c r="D1749" s="8"/>
      <c r="E1749" s="8"/>
      <c r="F1749" s="9"/>
      <c r="G1749" s="9"/>
      <c r="H1749" s="9"/>
      <c r="I1749" s="9" t="s">
        <v>14</v>
      </c>
      <c r="J1749" s="10" t="s">
        <v>14</v>
      </c>
      <c r="K1749" s="15" t="e">
        <f>VLOOKUP(J1749,DADOS!$A$3:$B$101,2,FALSE)</f>
        <v>#N/A</v>
      </c>
      <c r="L1749" s="15"/>
      <c r="M1749" s="18" t="b">
        <v>0</v>
      </c>
      <c r="N1749" s="17" t="b">
        <v>0</v>
      </c>
      <c r="O1749" s="17" t="b">
        <v>0</v>
      </c>
      <c r="P1749" s="17" t="b">
        <v>0</v>
      </c>
      <c r="Q1749" s="17" t="b">
        <v>0</v>
      </c>
      <c r="R1749" s="17" t="b">
        <v>0</v>
      </c>
      <c r="S1749" s="17" t="b">
        <v>0</v>
      </c>
      <c r="T1749" s="17" t="b">
        <v>0</v>
      </c>
      <c r="U1749" s="17" t="b">
        <v>0</v>
      </c>
      <c r="V1749" s="17" t="b">
        <v>0</v>
      </c>
      <c r="W1749" s="11"/>
      <c r="X1749" s="12"/>
      <c r="Y1749" s="12"/>
      <c r="Z1749" s="13"/>
    </row>
    <row r="1750" spans="1:26" ht="19.95" customHeight="1" x14ac:dyDescent="0.3">
      <c r="A1750" s="6"/>
      <c r="B1750" s="7"/>
      <c r="C1750" s="8"/>
      <c r="D1750" s="8"/>
      <c r="E1750" s="8"/>
      <c r="F1750" s="9"/>
      <c r="G1750" s="9"/>
      <c r="H1750" s="9"/>
      <c r="I1750" s="9" t="s">
        <v>14</v>
      </c>
      <c r="J1750" s="10" t="s">
        <v>14</v>
      </c>
      <c r="K1750" s="15" t="e">
        <f>VLOOKUP(J1750,DADOS!$A$3:$B$101,2,FALSE)</f>
        <v>#N/A</v>
      </c>
      <c r="L1750" s="15"/>
      <c r="M1750" s="18" t="b">
        <v>0</v>
      </c>
      <c r="N1750" s="17" t="b">
        <v>0</v>
      </c>
      <c r="O1750" s="17" t="b">
        <v>0</v>
      </c>
      <c r="P1750" s="17" t="b">
        <v>0</v>
      </c>
      <c r="Q1750" s="17" t="b">
        <v>0</v>
      </c>
      <c r="R1750" s="17" t="b">
        <v>0</v>
      </c>
      <c r="S1750" s="17" t="b">
        <v>0</v>
      </c>
      <c r="T1750" s="17" t="b">
        <v>0</v>
      </c>
      <c r="U1750" s="17" t="b">
        <v>0</v>
      </c>
      <c r="V1750" s="17" t="b">
        <v>0</v>
      </c>
      <c r="W1750" s="11"/>
      <c r="X1750" s="12"/>
      <c r="Y1750" s="12"/>
      <c r="Z1750" s="13"/>
    </row>
    <row r="1751" spans="1:26" ht="19.95" customHeight="1" x14ac:dyDescent="0.3">
      <c r="A1751" s="6"/>
      <c r="B1751" s="7"/>
      <c r="C1751" s="8"/>
      <c r="D1751" s="8"/>
      <c r="E1751" s="8"/>
      <c r="F1751" s="9"/>
      <c r="G1751" s="9"/>
      <c r="H1751" s="9"/>
      <c r="I1751" s="9" t="s">
        <v>14</v>
      </c>
      <c r="J1751" s="10" t="s">
        <v>14</v>
      </c>
      <c r="K1751" s="15" t="e">
        <f>VLOOKUP(J1751,DADOS!$A$3:$B$101,2,FALSE)</f>
        <v>#N/A</v>
      </c>
      <c r="L1751" s="15"/>
      <c r="M1751" s="18" t="b">
        <v>0</v>
      </c>
      <c r="N1751" s="17" t="b">
        <v>0</v>
      </c>
      <c r="O1751" s="17" t="b">
        <v>0</v>
      </c>
      <c r="P1751" s="17" t="b">
        <v>0</v>
      </c>
      <c r="Q1751" s="17" t="b">
        <v>0</v>
      </c>
      <c r="R1751" s="17" t="b">
        <v>0</v>
      </c>
      <c r="S1751" s="17" t="b">
        <v>0</v>
      </c>
      <c r="T1751" s="17" t="b">
        <v>0</v>
      </c>
      <c r="U1751" s="17" t="b">
        <v>0</v>
      </c>
      <c r="V1751" s="17" t="b">
        <v>0</v>
      </c>
      <c r="W1751" s="11"/>
      <c r="X1751" s="12"/>
      <c r="Y1751" s="12"/>
      <c r="Z1751" s="13"/>
    </row>
    <row r="1752" spans="1:26" ht="19.95" customHeight="1" x14ac:dyDescent="0.3">
      <c r="A1752" s="6"/>
      <c r="B1752" s="7"/>
      <c r="C1752" s="8"/>
      <c r="D1752" s="8"/>
      <c r="E1752" s="8"/>
      <c r="F1752" s="9"/>
      <c r="G1752" s="9"/>
      <c r="H1752" s="9"/>
      <c r="I1752" s="9" t="s">
        <v>14</v>
      </c>
      <c r="J1752" s="10" t="s">
        <v>14</v>
      </c>
      <c r="K1752" s="15" t="e">
        <f>VLOOKUP(J1752,DADOS!$A$3:$B$101,2,FALSE)</f>
        <v>#N/A</v>
      </c>
      <c r="L1752" s="15"/>
      <c r="M1752" s="18" t="b">
        <v>0</v>
      </c>
      <c r="N1752" s="17" t="b">
        <v>0</v>
      </c>
      <c r="O1752" s="17" t="b">
        <v>0</v>
      </c>
      <c r="P1752" s="17" t="b">
        <v>0</v>
      </c>
      <c r="Q1752" s="17" t="b">
        <v>0</v>
      </c>
      <c r="R1752" s="17" t="b">
        <v>0</v>
      </c>
      <c r="S1752" s="17" t="b">
        <v>0</v>
      </c>
      <c r="T1752" s="17" t="b">
        <v>0</v>
      </c>
      <c r="U1752" s="17" t="b">
        <v>0</v>
      </c>
      <c r="V1752" s="17" t="b">
        <v>0</v>
      </c>
      <c r="W1752" s="11"/>
      <c r="X1752" s="12"/>
      <c r="Y1752" s="12"/>
      <c r="Z1752" s="13"/>
    </row>
    <row r="1753" spans="1:26" ht="19.95" customHeight="1" x14ac:dyDescent="0.3">
      <c r="A1753" s="6"/>
      <c r="B1753" s="7"/>
      <c r="C1753" s="8"/>
      <c r="D1753" s="8"/>
      <c r="E1753" s="8"/>
      <c r="F1753" s="9"/>
      <c r="G1753" s="9"/>
      <c r="H1753" s="9"/>
      <c r="I1753" s="9" t="s">
        <v>14</v>
      </c>
      <c r="J1753" s="10" t="s">
        <v>14</v>
      </c>
      <c r="K1753" s="15" t="e">
        <f>VLOOKUP(J1753,DADOS!$A$3:$B$101,2,FALSE)</f>
        <v>#N/A</v>
      </c>
      <c r="L1753" s="15"/>
      <c r="M1753" s="18" t="b">
        <v>0</v>
      </c>
      <c r="N1753" s="17" t="b">
        <v>0</v>
      </c>
      <c r="O1753" s="17" t="b">
        <v>0</v>
      </c>
      <c r="P1753" s="17" t="b">
        <v>0</v>
      </c>
      <c r="Q1753" s="17" t="b">
        <v>0</v>
      </c>
      <c r="R1753" s="17" t="b">
        <v>0</v>
      </c>
      <c r="S1753" s="17" t="b">
        <v>0</v>
      </c>
      <c r="T1753" s="17" t="b">
        <v>0</v>
      </c>
      <c r="U1753" s="17" t="b">
        <v>0</v>
      </c>
      <c r="V1753" s="17" t="b">
        <v>0</v>
      </c>
      <c r="W1753" s="11"/>
      <c r="X1753" s="12"/>
      <c r="Y1753" s="12"/>
      <c r="Z1753" s="13"/>
    </row>
    <row r="1754" spans="1:26" ht="19.95" customHeight="1" x14ac:dyDescent="0.3">
      <c r="A1754" s="6"/>
      <c r="B1754" s="7"/>
      <c r="C1754" s="8"/>
      <c r="D1754" s="8"/>
      <c r="E1754" s="8"/>
      <c r="F1754" s="9"/>
      <c r="G1754" s="9"/>
      <c r="H1754" s="9"/>
      <c r="I1754" s="9" t="s">
        <v>14</v>
      </c>
      <c r="J1754" s="10" t="s">
        <v>14</v>
      </c>
      <c r="K1754" s="15" t="e">
        <f>VLOOKUP(J1754,DADOS!$A$3:$B$101,2,FALSE)</f>
        <v>#N/A</v>
      </c>
      <c r="L1754" s="15"/>
      <c r="M1754" s="18" t="b">
        <v>0</v>
      </c>
      <c r="N1754" s="17" t="b">
        <v>0</v>
      </c>
      <c r="O1754" s="17" t="b">
        <v>0</v>
      </c>
      <c r="P1754" s="17" t="b">
        <v>0</v>
      </c>
      <c r="Q1754" s="17" t="b">
        <v>0</v>
      </c>
      <c r="R1754" s="17" t="b">
        <v>0</v>
      </c>
      <c r="S1754" s="17" t="b">
        <v>0</v>
      </c>
      <c r="T1754" s="17" t="b">
        <v>0</v>
      </c>
      <c r="U1754" s="17" t="b">
        <v>0</v>
      </c>
      <c r="V1754" s="17" t="b">
        <v>0</v>
      </c>
      <c r="W1754" s="11"/>
      <c r="X1754" s="12"/>
      <c r="Y1754" s="12"/>
      <c r="Z1754" s="13"/>
    </row>
    <row r="1755" spans="1:26" ht="19.95" customHeight="1" x14ac:dyDescent="0.3">
      <c r="A1755" s="6"/>
      <c r="B1755" s="7"/>
      <c r="C1755" s="8"/>
      <c r="D1755" s="8"/>
      <c r="E1755" s="8"/>
      <c r="F1755" s="9"/>
      <c r="G1755" s="9"/>
      <c r="H1755" s="9"/>
      <c r="I1755" s="9" t="s">
        <v>14</v>
      </c>
      <c r="J1755" s="10" t="s">
        <v>14</v>
      </c>
      <c r="K1755" s="15" t="e">
        <f>VLOOKUP(J1755,DADOS!$A$3:$B$101,2,FALSE)</f>
        <v>#N/A</v>
      </c>
      <c r="L1755" s="15"/>
      <c r="M1755" s="18" t="b">
        <v>0</v>
      </c>
      <c r="N1755" s="17" t="b">
        <v>0</v>
      </c>
      <c r="O1755" s="17" t="b">
        <v>0</v>
      </c>
      <c r="P1755" s="17" t="b">
        <v>0</v>
      </c>
      <c r="Q1755" s="17" t="b">
        <v>0</v>
      </c>
      <c r="R1755" s="17" t="b">
        <v>0</v>
      </c>
      <c r="S1755" s="17" t="b">
        <v>0</v>
      </c>
      <c r="T1755" s="17" t="b">
        <v>0</v>
      </c>
      <c r="U1755" s="17" t="b">
        <v>0</v>
      </c>
      <c r="V1755" s="17" t="b">
        <v>0</v>
      </c>
      <c r="W1755" s="11"/>
      <c r="X1755" s="12"/>
      <c r="Y1755" s="12"/>
      <c r="Z1755" s="13"/>
    </row>
    <row r="1756" spans="1:26" ht="19.95" customHeight="1" x14ac:dyDescent="0.3">
      <c r="A1756" s="6"/>
      <c r="B1756" s="7"/>
      <c r="C1756" s="8"/>
      <c r="D1756" s="8"/>
      <c r="E1756" s="8"/>
      <c r="F1756" s="9"/>
      <c r="G1756" s="9"/>
      <c r="H1756" s="9"/>
      <c r="I1756" s="9" t="s">
        <v>14</v>
      </c>
      <c r="J1756" s="10" t="s">
        <v>14</v>
      </c>
      <c r="K1756" s="15" t="e">
        <f>VLOOKUP(J1756,DADOS!$A$3:$B$101,2,FALSE)</f>
        <v>#N/A</v>
      </c>
      <c r="L1756" s="15"/>
      <c r="M1756" s="18" t="b">
        <v>0</v>
      </c>
      <c r="N1756" s="17" t="b">
        <v>0</v>
      </c>
      <c r="O1756" s="17" t="b">
        <v>0</v>
      </c>
      <c r="P1756" s="17" t="b">
        <v>0</v>
      </c>
      <c r="Q1756" s="17" t="b">
        <v>0</v>
      </c>
      <c r="R1756" s="17" t="b">
        <v>0</v>
      </c>
      <c r="S1756" s="17" t="b">
        <v>0</v>
      </c>
      <c r="T1756" s="17" t="b">
        <v>0</v>
      </c>
      <c r="U1756" s="17" t="b">
        <v>0</v>
      </c>
      <c r="V1756" s="17" t="b">
        <v>0</v>
      </c>
      <c r="W1756" s="11"/>
      <c r="X1756" s="12"/>
      <c r="Y1756" s="12"/>
      <c r="Z1756" s="13"/>
    </row>
    <row r="1757" spans="1:26" ht="19.95" customHeight="1" x14ac:dyDescent="0.3">
      <c r="A1757" s="6"/>
      <c r="B1757" s="7"/>
      <c r="C1757" s="8"/>
      <c r="D1757" s="8"/>
      <c r="E1757" s="8"/>
      <c r="F1757" s="9"/>
      <c r="G1757" s="9"/>
      <c r="H1757" s="9"/>
      <c r="I1757" s="9" t="s">
        <v>14</v>
      </c>
      <c r="J1757" s="10" t="s">
        <v>14</v>
      </c>
      <c r="K1757" s="15" t="e">
        <f>VLOOKUP(J1757,DADOS!$A$3:$B$101,2,FALSE)</f>
        <v>#N/A</v>
      </c>
      <c r="L1757" s="15"/>
      <c r="M1757" s="18" t="b">
        <v>0</v>
      </c>
      <c r="N1757" s="17" t="b">
        <v>0</v>
      </c>
      <c r="O1757" s="17" t="b">
        <v>0</v>
      </c>
      <c r="P1757" s="17" t="b">
        <v>0</v>
      </c>
      <c r="Q1757" s="17" t="b">
        <v>0</v>
      </c>
      <c r="R1757" s="17" t="b">
        <v>0</v>
      </c>
      <c r="S1757" s="17" t="b">
        <v>0</v>
      </c>
      <c r="T1757" s="17" t="b">
        <v>0</v>
      </c>
      <c r="U1757" s="17" t="b">
        <v>0</v>
      </c>
      <c r="V1757" s="17" t="b">
        <v>0</v>
      </c>
      <c r="W1757" s="11"/>
      <c r="X1757" s="12"/>
      <c r="Y1757" s="12"/>
      <c r="Z1757" s="13"/>
    </row>
    <row r="1758" spans="1:26" ht="19.95" customHeight="1" x14ac:dyDescent="0.3">
      <c r="A1758" s="6"/>
      <c r="B1758" s="7"/>
      <c r="C1758" s="8"/>
      <c r="D1758" s="8"/>
      <c r="E1758" s="8"/>
      <c r="F1758" s="9"/>
      <c r="G1758" s="9"/>
      <c r="H1758" s="9"/>
      <c r="I1758" s="9" t="s">
        <v>14</v>
      </c>
      <c r="J1758" s="10" t="s">
        <v>14</v>
      </c>
      <c r="K1758" s="15" t="e">
        <f>VLOOKUP(J1758,DADOS!$A$3:$B$101,2,FALSE)</f>
        <v>#N/A</v>
      </c>
      <c r="L1758" s="15"/>
      <c r="M1758" s="18" t="b">
        <v>0</v>
      </c>
      <c r="N1758" s="17" t="b">
        <v>0</v>
      </c>
      <c r="O1758" s="17" t="b">
        <v>0</v>
      </c>
      <c r="P1758" s="17" t="b">
        <v>0</v>
      </c>
      <c r="Q1758" s="17" t="b">
        <v>0</v>
      </c>
      <c r="R1758" s="17" t="b">
        <v>0</v>
      </c>
      <c r="S1758" s="17" t="b">
        <v>0</v>
      </c>
      <c r="T1758" s="17" t="b">
        <v>0</v>
      </c>
      <c r="U1758" s="17" t="b">
        <v>0</v>
      </c>
      <c r="V1758" s="17" t="b">
        <v>0</v>
      </c>
      <c r="W1758" s="11"/>
      <c r="X1758" s="12"/>
      <c r="Y1758" s="12"/>
      <c r="Z1758" s="13"/>
    </row>
    <row r="1759" spans="1:26" ht="19.95" customHeight="1" x14ac:dyDescent="0.3">
      <c r="A1759" s="6"/>
      <c r="B1759" s="7"/>
      <c r="C1759" s="8"/>
      <c r="D1759" s="8"/>
      <c r="E1759" s="8"/>
      <c r="F1759" s="9"/>
      <c r="G1759" s="9"/>
      <c r="H1759" s="9"/>
      <c r="I1759" s="9" t="s">
        <v>14</v>
      </c>
      <c r="J1759" s="10" t="s">
        <v>14</v>
      </c>
      <c r="K1759" s="15" t="e">
        <f>VLOOKUP(J1759,DADOS!$A$3:$B$101,2,FALSE)</f>
        <v>#N/A</v>
      </c>
      <c r="L1759" s="15"/>
      <c r="M1759" s="18" t="b">
        <v>0</v>
      </c>
      <c r="N1759" s="17" t="b">
        <v>0</v>
      </c>
      <c r="O1759" s="17" t="b">
        <v>0</v>
      </c>
      <c r="P1759" s="17" t="b">
        <v>0</v>
      </c>
      <c r="Q1759" s="17" t="b">
        <v>0</v>
      </c>
      <c r="R1759" s="17" t="b">
        <v>0</v>
      </c>
      <c r="S1759" s="17" t="b">
        <v>0</v>
      </c>
      <c r="T1759" s="17" t="b">
        <v>0</v>
      </c>
      <c r="U1759" s="17" t="b">
        <v>0</v>
      </c>
      <c r="V1759" s="17" t="b">
        <v>0</v>
      </c>
      <c r="W1759" s="11"/>
      <c r="X1759" s="12"/>
      <c r="Y1759" s="12"/>
      <c r="Z1759" s="13"/>
    </row>
    <row r="1760" spans="1:26" ht="19.95" customHeight="1" x14ac:dyDescent="0.3">
      <c r="A1760" s="6"/>
      <c r="B1760" s="7"/>
      <c r="C1760" s="8"/>
      <c r="D1760" s="8"/>
      <c r="E1760" s="8"/>
      <c r="F1760" s="9"/>
      <c r="G1760" s="9"/>
      <c r="H1760" s="9"/>
      <c r="I1760" s="9" t="s">
        <v>14</v>
      </c>
      <c r="J1760" s="10" t="s">
        <v>14</v>
      </c>
      <c r="K1760" s="15" t="e">
        <f>VLOOKUP(J1760,DADOS!$A$3:$B$101,2,FALSE)</f>
        <v>#N/A</v>
      </c>
      <c r="L1760" s="15"/>
      <c r="M1760" s="18" t="b">
        <v>0</v>
      </c>
      <c r="N1760" s="17" t="b">
        <v>0</v>
      </c>
      <c r="O1760" s="17" t="b">
        <v>0</v>
      </c>
      <c r="P1760" s="17" t="b">
        <v>0</v>
      </c>
      <c r="Q1760" s="17" t="b">
        <v>0</v>
      </c>
      <c r="R1760" s="17" t="b">
        <v>0</v>
      </c>
      <c r="S1760" s="17" t="b">
        <v>0</v>
      </c>
      <c r="T1760" s="17" t="b">
        <v>0</v>
      </c>
      <c r="U1760" s="17" t="b">
        <v>0</v>
      </c>
      <c r="V1760" s="17" t="b">
        <v>0</v>
      </c>
      <c r="W1760" s="11"/>
      <c r="X1760" s="12"/>
      <c r="Y1760" s="12"/>
      <c r="Z1760" s="13"/>
    </row>
    <row r="1761" spans="1:26" ht="19.95" customHeight="1" x14ac:dyDescent="0.3">
      <c r="A1761" s="6"/>
      <c r="B1761" s="7"/>
      <c r="C1761" s="8"/>
      <c r="D1761" s="8"/>
      <c r="E1761" s="8"/>
      <c r="F1761" s="9"/>
      <c r="G1761" s="9"/>
      <c r="H1761" s="9"/>
      <c r="I1761" s="9" t="s">
        <v>14</v>
      </c>
      <c r="J1761" s="10" t="s">
        <v>14</v>
      </c>
      <c r="K1761" s="15" t="e">
        <f>VLOOKUP(J1761,DADOS!$A$3:$B$101,2,FALSE)</f>
        <v>#N/A</v>
      </c>
      <c r="L1761" s="15"/>
      <c r="M1761" s="18" t="b">
        <v>0</v>
      </c>
      <c r="N1761" s="17" t="b">
        <v>0</v>
      </c>
      <c r="O1761" s="17" t="b">
        <v>0</v>
      </c>
      <c r="P1761" s="17" t="b">
        <v>0</v>
      </c>
      <c r="Q1761" s="17" t="b">
        <v>0</v>
      </c>
      <c r="R1761" s="17" t="b">
        <v>0</v>
      </c>
      <c r="S1761" s="17" t="b">
        <v>0</v>
      </c>
      <c r="T1761" s="17" t="b">
        <v>0</v>
      </c>
      <c r="U1761" s="17" t="b">
        <v>0</v>
      </c>
      <c r="V1761" s="17" t="b">
        <v>0</v>
      </c>
      <c r="W1761" s="11"/>
      <c r="X1761" s="12"/>
      <c r="Y1761" s="12"/>
      <c r="Z1761" s="13"/>
    </row>
    <row r="1762" spans="1:26" ht="19.95" customHeight="1" x14ac:dyDescent="0.3">
      <c r="A1762" s="6"/>
      <c r="B1762" s="7"/>
      <c r="C1762" s="8"/>
      <c r="D1762" s="8"/>
      <c r="E1762" s="8"/>
      <c r="F1762" s="9"/>
      <c r="G1762" s="9"/>
      <c r="H1762" s="9"/>
      <c r="I1762" s="9" t="s">
        <v>14</v>
      </c>
      <c r="J1762" s="10" t="s">
        <v>14</v>
      </c>
      <c r="K1762" s="15" t="e">
        <f>VLOOKUP(J1762,DADOS!$A$3:$B$101,2,FALSE)</f>
        <v>#N/A</v>
      </c>
      <c r="L1762" s="15"/>
      <c r="M1762" s="18" t="b">
        <v>0</v>
      </c>
      <c r="N1762" s="17" t="b">
        <v>0</v>
      </c>
      <c r="O1762" s="17" t="b">
        <v>0</v>
      </c>
      <c r="P1762" s="17" t="b">
        <v>0</v>
      </c>
      <c r="Q1762" s="17" t="b">
        <v>0</v>
      </c>
      <c r="R1762" s="17" t="b">
        <v>0</v>
      </c>
      <c r="S1762" s="17" t="b">
        <v>0</v>
      </c>
      <c r="T1762" s="17" t="b">
        <v>0</v>
      </c>
      <c r="U1762" s="17" t="b">
        <v>0</v>
      </c>
      <c r="V1762" s="17" t="b">
        <v>0</v>
      </c>
      <c r="W1762" s="11"/>
      <c r="X1762" s="12"/>
      <c r="Y1762" s="12"/>
      <c r="Z1762" s="13"/>
    </row>
    <row r="1763" spans="1:26" ht="19.95" customHeight="1" x14ac:dyDescent="0.3">
      <c r="A1763" s="6"/>
      <c r="B1763" s="7"/>
      <c r="C1763" s="8"/>
      <c r="D1763" s="8"/>
      <c r="E1763" s="8"/>
      <c r="F1763" s="9"/>
      <c r="G1763" s="9"/>
      <c r="H1763" s="9"/>
      <c r="I1763" s="9" t="s">
        <v>14</v>
      </c>
      <c r="J1763" s="10" t="s">
        <v>14</v>
      </c>
      <c r="K1763" s="15" t="e">
        <f>VLOOKUP(J1763,DADOS!$A$3:$B$101,2,FALSE)</f>
        <v>#N/A</v>
      </c>
      <c r="L1763" s="15"/>
      <c r="M1763" s="18" t="b">
        <v>0</v>
      </c>
      <c r="N1763" s="17" t="b">
        <v>0</v>
      </c>
      <c r="O1763" s="17" t="b">
        <v>0</v>
      </c>
      <c r="P1763" s="17" t="b">
        <v>0</v>
      </c>
      <c r="Q1763" s="17" t="b">
        <v>0</v>
      </c>
      <c r="R1763" s="17" t="b">
        <v>0</v>
      </c>
      <c r="S1763" s="17" t="b">
        <v>0</v>
      </c>
      <c r="T1763" s="17" t="b">
        <v>0</v>
      </c>
      <c r="U1763" s="17" t="b">
        <v>0</v>
      </c>
      <c r="V1763" s="17" t="b">
        <v>0</v>
      </c>
      <c r="W1763" s="11"/>
      <c r="X1763" s="12"/>
      <c r="Y1763" s="12"/>
      <c r="Z1763" s="13"/>
    </row>
    <row r="1764" spans="1:26" ht="19.95" customHeight="1" x14ac:dyDescent="0.3">
      <c r="A1764" s="6"/>
      <c r="B1764" s="7"/>
      <c r="C1764" s="8"/>
      <c r="D1764" s="8"/>
      <c r="E1764" s="8"/>
      <c r="F1764" s="9"/>
      <c r="G1764" s="9"/>
      <c r="H1764" s="9"/>
      <c r="I1764" s="9" t="s">
        <v>14</v>
      </c>
      <c r="J1764" s="10" t="s">
        <v>14</v>
      </c>
      <c r="K1764" s="15" t="e">
        <f>VLOOKUP(J1764,DADOS!$A$3:$B$101,2,FALSE)</f>
        <v>#N/A</v>
      </c>
      <c r="L1764" s="15"/>
      <c r="M1764" s="18" t="b">
        <v>0</v>
      </c>
      <c r="N1764" s="17" t="b">
        <v>0</v>
      </c>
      <c r="O1764" s="17" t="b">
        <v>0</v>
      </c>
      <c r="P1764" s="17" t="b">
        <v>0</v>
      </c>
      <c r="Q1764" s="17" t="b">
        <v>0</v>
      </c>
      <c r="R1764" s="17" t="b">
        <v>0</v>
      </c>
      <c r="S1764" s="17" t="b">
        <v>0</v>
      </c>
      <c r="T1764" s="17" t="b">
        <v>0</v>
      </c>
      <c r="U1764" s="17" t="b">
        <v>0</v>
      </c>
      <c r="V1764" s="17" t="b">
        <v>0</v>
      </c>
      <c r="W1764" s="11"/>
      <c r="X1764" s="12"/>
      <c r="Y1764" s="12"/>
      <c r="Z1764" s="13"/>
    </row>
    <row r="1765" spans="1:26" ht="19.95" customHeight="1" x14ac:dyDescent="0.3">
      <c r="A1765" s="6"/>
      <c r="B1765" s="7"/>
      <c r="C1765" s="8"/>
      <c r="D1765" s="8"/>
      <c r="E1765" s="8"/>
      <c r="F1765" s="9"/>
      <c r="G1765" s="9"/>
      <c r="H1765" s="9"/>
      <c r="I1765" s="9" t="s">
        <v>14</v>
      </c>
      <c r="J1765" s="10" t="s">
        <v>14</v>
      </c>
      <c r="K1765" s="15" t="e">
        <f>VLOOKUP(J1765,DADOS!$A$3:$B$101,2,FALSE)</f>
        <v>#N/A</v>
      </c>
      <c r="L1765" s="15"/>
      <c r="M1765" s="18" t="b">
        <v>0</v>
      </c>
      <c r="N1765" s="17" t="b">
        <v>0</v>
      </c>
      <c r="O1765" s="17" t="b">
        <v>0</v>
      </c>
      <c r="P1765" s="17" t="b">
        <v>0</v>
      </c>
      <c r="Q1765" s="17" t="b">
        <v>0</v>
      </c>
      <c r="R1765" s="17" t="b">
        <v>0</v>
      </c>
      <c r="S1765" s="17" t="b">
        <v>0</v>
      </c>
      <c r="T1765" s="17" t="b">
        <v>0</v>
      </c>
      <c r="U1765" s="17" t="b">
        <v>0</v>
      </c>
      <c r="V1765" s="17" t="b">
        <v>0</v>
      </c>
      <c r="W1765" s="11"/>
      <c r="X1765" s="12"/>
      <c r="Y1765" s="12"/>
      <c r="Z1765" s="13"/>
    </row>
    <row r="1766" spans="1:26" ht="19.95" customHeight="1" x14ac:dyDescent="0.3">
      <c r="A1766" s="6"/>
      <c r="B1766" s="7"/>
      <c r="C1766" s="8"/>
      <c r="D1766" s="8"/>
      <c r="E1766" s="8"/>
      <c r="F1766" s="9"/>
      <c r="G1766" s="9"/>
      <c r="H1766" s="9"/>
      <c r="I1766" s="9" t="s">
        <v>14</v>
      </c>
      <c r="J1766" s="10" t="s">
        <v>14</v>
      </c>
      <c r="K1766" s="15" t="e">
        <f>VLOOKUP(J1766,DADOS!$A$3:$B$101,2,FALSE)</f>
        <v>#N/A</v>
      </c>
      <c r="L1766" s="15"/>
      <c r="M1766" s="18" t="b">
        <v>0</v>
      </c>
      <c r="N1766" s="17" t="b">
        <v>0</v>
      </c>
      <c r="O1766" s="17" t="b">
        <v>0</v>
      </c>
      <c r="P1766" s="17" t="b">
        <v>0</v>
      </c>
      <c r="Q1766" s="17" t="b">
        <v>0</v>
      </c>
      <c r="R1766" s="17" t="b">
        <v>0</v>
      </c>
      <c r="S1766" s="17" t="b">
        <v>0</v>
      </c>
      <c r="T1766" s="17" t="b">
        <v>0</v>
      </c>
      <c r="U1766" s="17" t="b">
        <v>0</v>
      </c>
      <c r="V1766" s="17" t="b">
        <v>0</v>
      </c>
      <c r="W1766" s="11"/>
      <c r="X1766" s="12"/>
      <c r="Y1766" s="12"/>
      <c r="Z1766" s="13"/>
    </row>
    <row r="1767" spans="1:26" ht="19.95" customHeight="1" x14ac:dyDescent="0.3">
      <c r="A1767" s="6"/>
      <c r="B1767" s="7"/>
      <c r="C1767" s="8"/>
      <c r="D1767" s="8"/>
      <c r="E1767" s="8"/>
      <c r="F1767" s="9"/>
      <c r="G1767" s="9"/>
      <c r="H1767" s="9"/>
      <c r="I1767" s="9" t="s">
        <v>14</v>
      </c>
      <c r="J1767" s="10" t="s">
        <v>14</v>
      </c>
      <c r="K1767" s="15" t="e">
        <f>VLOOKUP(J1767,DADOS!$A$3:$B$101,2,FALSE)</f>
        <v>#N/A</v>
      </c>
      <c r="L1767" s="15"/>
      <c r="M1767" s="18" t="b">
        <v>0</v>
      </c>
      <c r="N1767" s="17" t="b">
        <v>0</v>
      </c>
      <c r="O1767" s="17" t="b">
        <v>0</v>
      </c>
      <c r="P1767" s="17" t="b">
        <v>0</v>
      </c>
      <c r="Q1767" s="17" t="b">
        <v>0</v>
      </c>
      <c r="R1767" s="17" t="b">
        <v>0</v>
      </c>
      <c r="S1767" s="17" t="b">
        <v>0</v>
      </c>
      <c r="T1767" s="17" t="b">
        <v>0</v>
      </c>
      <c r="U1767" s="17" t="b">
        <v>0</v>
      </c>
      <c r="V1767" s="17" t="b">
        <v>0</v>
      </c>
      <c r="W1767" s="11"/>
      <c r="X1767" s="12"/>
      <c r="Y1767" s="12"/>
      <c r="Z1767" s="13"/>
    </row>
    <row r="1768" spans="1:26" ht="19.95" customHeight="1" x14ac:dyDescent="0.3">
      <c r="A1768" s="6"/>
      <c r="B1768" s="7"/>
      <c r="C1768" s="8"/>
      <c r="D1768" s="8"/>
      <c r="E1768" s="8"/>
      <c r="F1768" s="9"/>
      <c r="G1768" s="9"/>
      <c r="H1768" s="9"/>
      <c r="I1768" s="9" t="s">
        <v>14</v>
      </c>
      <c r="J1768" s="10" t="s">
        <v>14</v>
      </c>
      <c r="K1768" s="15" t="e">
        <f>VLOOKUP(J1768,DADOS!$A$3:$B$101,2,FALSE)</f>
        <v>#N/A</v>
      </c>
      <c r="L1768" s="15"/>
      <c r="M1768" s="18" t="b">
        <v>0</v>
      </c>
      <c r="N1768" s="17" t="b">
        <v>0</v>
      </c>
      <c r="O1768" s="17" t="b">
        <v>0</v>
      </c>
      <c r="P1768" s="17" t="b">
        <v>0</v>
      </c>
      <c r="Q1768" s="17" t="b">
        <v>0</v>
      </c>
      <c r="R1768" s="17" t="b">
        <v>0</v>
      </c>
      <c r="S1768" s="17" t="b">
        <v>0</v>
      </c>
      <c r="T1768" s="17" t="b">
        <v>0</v>
      </c>
      <c r="U1768" s="17" t="b">
        <v>0</v>
      </c>
      <c r="V1768" s="17" t="b">
        <v>0</v>
      </c>
      <c r="W1768" s="11"/>
      <c r="X1768" s="12"/>
      <c r="Y1768" s="12"/>
      <c r="Z1768" s="13"/>
    </row>
    <row r="1769" spans="1:26" ht="19.95" customHeight="1" x14ac:dyDescent="0.3">
      <c r="A1769" s="6"/>
      <c r="B1769" s="7"/>
      <c r="C1769" s="8"/>
      <c r="D1769" s="8"/>
      <c r="E1769" s="8"/>
      <c r="F1769" s="9"/>
      <c r="G1769" s="9"/>
      <c r="H1769" s="9"/>
      <c r="I1769" s="9" t="s">
        <v>14</v>
      </c>
      <c r="J1769" s="10" t="s">
        <v>14</v>
      </c>
      <c r="K1769" s="15" t="e">
        <f>VLOOKUP(J1769,DADOS!$A$3:$B$101,2,FALSE)</f>
        <v>#N/A</v>
      </c>
      <c r="L1769" s="15"/>
      <c r="M1769" s="18" t="b">
        <v>0</v>
      </c>
      <c r="N1769" s="17" t="b">
        <v>0</v>
      </c>
      <c r="O1769" s="17" t="b">
        <v>0</v>
      </c>
      <c r="P1769" s="17" t="b">
        <v>0</v>
      </c>
      <c r="Q1769" s="17" t="b">
        <v>0</v>
      </c>
      <c r="R1769" s="17" t="b">
        <v>0</v>
      </c>
      <c r="S1769" s="17" t="b">
        <v>0</v>
      </c>
      <c r="T1769" s="17" t="b">
        <v>0</v>
      </c>
      <c r="U1769" s="17" t="b">
        <v>0</v>
      </c>
      <c r="V1769" s="17" t="b">
        <v>0</v>
      </c>
      <c r="W1769" s="11"/>
      <c r="X1769" s="12"/>
      <c r="Y1769" s="12"/>
      <c r="Z1769" s="13"/>
    </row>
    <row r="1770" spans="1:26" ht="19.95" customHeight="1" x14ac:dyDescent="0.3">
      <c r="A1770" s="6"/>
      <c r="B1770" s="7"/>
      <c r="C1770" s="8"/>
      <c r="D1770" s="8"/>
      <c r="E1770" s="8"/>
      <c r="F1770" s="9"/>
      <c r="G1770" s="9"/>
      <c r="H1770" s="9"/>
      <c r="I1770" s="9" t="s">
        <v>14</v>
      </c>
      <c r="J1770" s="10" t="s">
        <v>14</v>
      </c>
      <c r="K1770" s="15" t="e">
        <f>VLOOKUP(J1770,DADOS!$A$3:$B$101,2,FALSE)</f>
        <v>#N/A</v>
      </c>
      <c r="L1770" s="15"/>
      <c r="M1770" s="18" t="b">
        <v>0</v>
      </c>
      <c r="N1770" s="17" t="b">
        <v>0</v>
      </c>
      <c r="O1770" s="17" t="b">
        <v>0</v>
      </c>
      <c r="P1770" s="17" t="b">
        <v>0</v>
      </c>
      <c r="Q1770" s="17" t="b">
        <v>0</v>
      </c>
      <c r="R1770" s="17" t="b">
        <v>0</v>
      </c>
      <c r="S1770" s="17" t="b">
        <v>0</v>
      </c>
      <c r="T1770" s="17" t="b">
        <v>0</v>
      </c>
      <c r="U1770" s="17" t="b">
        <v>0</v>
      </c>
      <c r="V1770" s="17" t="b">
        <v>0</v>
      </c>
      <c r="W1770" s="11"/>
      <c r="X1770" s="12"/>
      <c r="Y1770" s="12"/>
      <c r="Z1770" s="13"/>
    </row>
    <row r="1771" spans="1:26" ht="19.95" customHeight="1" x14ac:dyDescent="0.3">
      <c r="A1771" s="6"/>
      <c r="B1771" s="7"/>
      <c r="C1771" s="8"/>
      <c r="D1771" s="8"/>
      <c r="E1771" s="8"/>
      <c r="F1771" s="9"/>
      <c r="G1771" s="9"/>
      <c r="H1771" s="9"/>
      <c r="I1771" s="9" t="s">
        <v>14</v>
      </c>
      <c r="J1771" s="10" t="s">
        <v>14</v>
      </c>
      <c r="K1771" s="15" t="e">
        <f>VLOOKUP(J1771,DADOS!$A$3:$B$101,2,FALSE)</f>
        <v>#N/A</v>
      </c>
      <c r="L1771" s="15"/>
      <c r="M1771" s="18" t="b">
        <v>0</v>
      </c>
      <c r="N1771" s="17" t="b">
        <v>0</v>
      </c>
      <c r="O1771" s="17" t="b">
        <v>0</v>
      </c>
      <c r="P1771" s="17" t="b">
        <v>0</v>
      </c>
      <c r="Q1771" s="17" t="b">
        <v>0</v>
      </c>
      <c r="R1771" s="17" t="b">
        <v>0</v>
      </c>
      <c r="S1771" s="17" t="b">
        <v>0</v>
      </c>
      <c r="T1771" s="17" t="b">
        <v>0</v>
      </c>
      <c r="U1771" s="17" t="b">
        <v>0</v>
      </c>
      <c r="V1771" s="17" t="b">
        <v>0</v>
      </c>
      <c r="W1771" s="11"/>
      <c r="X1771" s="12"/>
      <c r="Y1771" s="12"/>
      <c r="Z1771" s="13"/>
    </row>
    <row r="1772" spans="1:26" ht="19.95" customHeight="1" x14ac:dyDescent="0.3">
      <c r="A1772" s="6"/>
      <c r="B1772" s="7"/>
      <c r="C1772" s="8"/>
      <c r="D1772" s="8"/>
      <c r="E1772" s="8"/>
      <c r="F1772" s="9"/>
      <c r="G1772" s="9"/>
      <c r="H1772" s="9"/>
      <c r="I1772" s="9" t="s">
        <v>14</v>
      </c>
      <c r="J1772" s="10" t="s">
        <v>14</v>
      </c>
      <c r="K1772" s="15" t="e">
        <f>VLOOKUP(J1772,DADOS!$A$3:$B$101,2,FALSE)</f>
        <v>#N/A</v>
      </c>
      <c r="L1772" s="15"/>
      <c r="M1772" s="18" t="b">
        <v>0</v>
      </c>
      <c r="N1772" s="17" t="b">
        <v>0</v>
      </c>
      <c r="O1772" s="17" t="b">
        <v>0</v>
      </c>
      <c r="P1772" s="17" t="b">
        <v>0</v>
      </c>
      <c r="Q1772" s="17" t="b">
        <v>0</v>
      </c>
      <c r="R1772" s="17" t="b">
        <v>0</v>
      </c>
      <c r="S1772" s="17" t="b">
        <v>0</v>
      </c>
      <c r="T1772" s="17" t="b">
        <v>0</v>
      </c>
      <c r="U1772" s="17" t="b">
        <v>0</v>
      </c>
      <c r="V1772" s="17" t="b">
        <v>0</v>
      </c>
      <c r="W1772" s="11"/>
      <c r="X1772" s="12"/>
      <c r="Y1772" s="12"/>
      <c r="Z1772" s="13"/>
    </row>
    <row r="1773" spans="1:26" ht="19.95" customHeight="1" x14ac:dyDescent="0.3">
      <c r="A1773" s="6"/>
      <c r="B1773" s="7"/>
      <c r="C1773" s="8"/>
      <c r="D1773" s="8"/>
      <c r="E1773" s="8"/>
      <c r="F1773" s="9"/>
      <c r="G1773" s="9"/>
      <c r="H1773" s="9"/>
      <c r="I1773" s="9" t="s">
        <v>14</v>
      </c>
      <c r="J1773" s="10" t="s">
        <v>14</v>
      </c>
      <c r="K1773" s="15" t="e">
        <f>VLOOKUP(J1773,DADOS!$A$3:$B$101,2,FALSE)</f>
        <v>#N/A</v>
      </c>
      <c r="L1773" s="15"/>
      <c r="M1773" s="18" t="b">
        <v>0</v>
      </c>
      <c r="N1773" s="17" t="b">
        <v>0</v>
      </c>
      <c r="O1773" s="17" t="b">
        <v>0</v>
      </c>
      <c r="P1773" s="17" t="b">
        <v>0</v>
      </c>
      <c r="Q1773" s="17" t="b">
        <v>0</v>
      </c>
      <c r="R1773" s="17" t="b">
        <v>0</v>
      </c>
      <c r="S1773" s="17" t="b">
        <v>0</v>
      </c>
      <c r="T1773" s="17" t="b">
        <v>0</v>
      </c>
      <c r="U1773" s="17" t="b">
        <v>0</v>
      </c>
      <c r="V1773" s="17" t="b">
        <v>0</v>
      </c>
      <c r="W1773" s="11"/>
      <c r="X1773" s="12"/>
      <c r="Y1773" s="12"/>
      <c r="Z1773" s="13"/>
    </row>
    <row r="1774" spans="1:26" ht="19.95" customHeight="1" x14ac:dyDescent="0.3">
      <c r="A1774" s="6"/>
      <c r="B1774" s="7"/>
      <c r="C1774" s="8"/>
      <c r="D1774" s="8"/>
      <c r="E1774" s="8"/>
      <c r="F1774" s="9"/>
      <c r="G1774" s="9"/>
      <c r="H1774" s="9"/>
      <c r="I1774" s="9" t="s">
        <v>14</v>
      </c>
      <c r="J1774" s="10" t="s">
        <v>14</v>
      </c>
      <c r="K1774" s="15" t="e">
        <f>VLOOKUP(J1774,DADOS!$A$3:$B$101,2,FALSE)</f>
        <v>#N/A</v>
      </c>
      <c r="L1774" s="15"/>
      <c r="M1774" s="18" t="b">
        <v>0</v>
      </c>
      <c r="N1774" s="17" t="b">
        <v>0</v>
      </c>
      <c r="O1774" s="17" t="b">
        <v>0</v>
      </c>
      <c r="P1774" s="17" t="b">
        <v>0</v>
      </c>
      <c r="Q1774" s="17" t="b">
        <v>0</v>
      </c>
      <c r="R1774" s="17" t="b">
        <v>0</v>
      </c>
      <c r="S1774" s="17" t="b">
        <v>0</v>
      </c>
      <c r="T1774" s="17" t="b">
        <v>0</v>
      </c>
      <c r="U1774" s="17" t="b">
        <v>0</v>
      </c>
      <c r="V1774" s="17" t="b">
        <v>0</v>
      </c>
      <c r="W1774" s="11"/>
      <c r="X1774" s="12"/>
      <c r="Y1774" s="12"/>
      <c r="Z1774" s="13"/>
    </row>
    <row r="1775" spans="1:26" ht="19.95" customHeight="1" x14ac:dyDescent="0.3">
      <c r="A1775" s="6"/>
      <c r="B1775" s="7"/>
      <c r="C1775" s="8"/>
      <c r="D1775" s="8"/>
      <c r="E1775" s="8"/>
      <c r="F1775" s="9"/>
      <c r="G1775" s="9"/>
      <c r="H1775" s="9"/>
      <c r="I1775" s="9" t="s">
        <v>14</v>
      </c>
      <c r="J1775" s="10" t="s">
        <v>14</v>
      </c>
      <c r="K1775" s="15" t="e">
        <f>VLOOKUP(J1775,DADOS!$A$3:$B$101,2,FALSE)</f>
        <v>#N/A</v>
      </c>
      <c r="L1775" s="15"/>
      <c r="M1775" s="18" t="b">
        <v>0</v>
      </c>
      <c r="N1775" s="17" t="b">
        <v>0</v>
      </c>
      <c r="O1775" s="17" t="b">
        <v>0</v>
      </c>
      <c r="P1775" s="17" t="b">
        <v>0</v>
      </c>
      <c r="Q1775" s="17" t="b">
        <v>0</v>
      </c>
      <c r="R1775" s="17" t="b">
        <v>0</v>
      </c>
      <c r="S1775" s="17" t="b">
        <v>0</v>
      </c>
      <c r="T1775" s="17" t="b">
        <v>0</v>
      </c>
      <c r="U1775" s="17" t="b">
        <v>0</v>
      </c>
      <c r="V1775" s="17" t="b">
        <v>0</v>
      </c>
      <c r="W1775" s="11"/>
      <c r="X1775" s="12"/>
      <c r="Y1775" s="12"/>
      <c r="Z1775" s="13"/>
    </row>
    <row r="1776" spans="1:26" ht="19.95" customHeight="1" x14ac:dyDescent="0.3">
      <c r="A1776" s="6"/>
      <c r="B1776" s="7"/>
      <c r="C1776" s="8"/>
      <c r="D1776" s="8"/>
      <c r="E1776" s="8"/>
      <c r="F1776" s="9"/>
      <c r="G1776" s="9"/>
      <c r="H1776" s="9"/>
      <c r="I1776" s="9" t="s">
        <v>14</v>
      </c>
      <c r="J1776" s="10" t="s">
        <v>14</v>
      </c>
      <c r="K1776" s="15" t="e">
        <f>VLOOKUP(J1776,DADOS!$A$3:$B$101,2,FALSE)</f>
        <v>#N/A</v>
      </c>
      <c r="L1776" s="15"/>
      <c r="M1776" s="18" t="b">
        <v>0</v>
      </c>
      <c r="N1776" s="17" t="b">
        <v>0</v>
      </c>
      <c r="O1776" s="17" t="b">
        <v>0</v>
      </c>
      <c r="P1776" s="17" t="b">
        <v>0</v>
      </c>
      <c r="Q1776" s="17" t="b">
        <v>0</v>
      </c>
      <c r="R1776" s="17" t="b">
        <v>0</v>
      </c>
      <c r="S1776" s="17" t="b">
        <v>0</v>
      </c>
      <c r="T1776" s="17" t="b">
        <v>0</v>
      </c>
      <c r="U1776" s="17" t="b">
        <v>0</v>
      </c>
      <c r="V1776" s="17" t="b">
        <v>0</v>
      </c>
      <c r="W1776" s="11"/>
      <c r="X1776" s="12"/>
      <c r="Y1776" s="12"/>
      <c r="Z1776" s="13"/>
    </row>
    <row r="1777" spans="1:26" ht="19.95" customHeight="1" x14ac:dyDescent="0.3">
      <c r="A1777" s="6"/>
      <c r="B1777" s="7"/>
      <c r="C1777" s="8"/>
      <c r="D1777" s="8"/>
      <c r="E1777" s="8"/>
      <c r="F1777" s="9"/>
      <c r="G1777" s="9"/>
      <c r="H1777" s="9"/>
      <c r="I1777" s="9" t="s">
        <v>14</v>
      </c>
      <c r="J1777" s="10" t="s">
        <v>14</v>
      </c>
      <c r="K1777" s="15" t="e">
        <f>VLOOKUP(J1777,DADOS!$A$3:$B$101,2,FALSE)</f>
        <v>#N/A</v>
      </c>
      <c r="L1777" s="15"/>
      <c r="M1777" s="18" t="b">
        <v>0</v>
      </c>
      <c r="N1777" s="17" t="b">
        <v>0</v>
      </c>
      <c r="O1777" s="17" t="b">
        <v>0</v>
      </c>
      <c r="P1777" s="17" t="b">
        <v>0</v>
      </c>
      <c r="Q1777" s="17" t="b">
        <v>0</v>
      </c>
      <c r="R1777" s="17" t="b">
        <v>0</v>
      </c>
      <c r="S1777" s="17" t="b">
        <v>0</v>
      </c>
      <c r="T1777" s="17" t="b">
        <v>0</v>
      </c>
      <c r="U1777" s="17" t="b">
        <v>0</v>
      </c>
      <c r="V1777" s="17" t="b">
        <v>0</v>
      </c>
      <c r="W1777" s="11"/>
      <c r="X1777" s="12"/>
      <c r="Y1777" s="12"/>
      <c r="Z1777" s="13"/>
    </row>
    <row r="1778" spans="1:26" ht="19.95" customHeight="1" x14ac:dyDescent="0.3">
      <c r="A1778" s="6"/>
      <c r="B1778" s="7"/>
      <c r="C1778" s="8"/>
      <c r="D1778" s="8"/>
      <c r="E1778" s="8"/>
      <c r="F1778" s="9"/>
      <c r="G1778" s="9"/>
      <c r="H1778" s="9"/>
      <c r="I1778" s="9" t="s">
        <v>14</v>
      </c>
      <c r="J1778" s="10" t="s">
        <v>14</v>
      </c>
      <c r="K1778" s="15" t="e">
        <f>VLOOKUP(J1778,DADOS!$A$3:$B$101,2,FALSE)</f>
        <v>#N/A</v>
      </c>
      <c r="L1778" s="15"/>
      <c r="M1778" s="18" t="b">
        <v>0</v>
      </c>
      <c r="N1778" s="17" t="b">
        <v>0</v>
      </c>
      <c r="O1778" s="17" t="b">
        <v>0</v>
      </c>
      <c r="P1778" s="17" t="b">
        <v>0</v>
      </c>
      <c r="Q1778" s="17" t="b">
        <v>0</v>
      </c>
      <c r="R1778" s="17" t="b">
        <v>0</v>
      </c>
      <c r="S1778" s="17" t="b">
        <v>0</v>
      </c>
      <c r="T1778" s="17" t="b">
        <v>0</v>
      </c>
      <c r="U1778" s="17" t="b">
        <v>0</v>
      </c>
      <c r="V1778" s="17" t="b">
        <v>0</v>
      </c>
      <c r="W1778" s="11"/>
      <c r="X1778" s="12"/>
      <c r="Y1778" s="12"/>
      <c r="Z1778" s="13"/>
    </row>
    <row r="1779" spans="1:26" ht="19.95" customHeight="1" x14ac:dyDescent="0.3">
      <c r="A1779" s="6"/>
      <c r="B1779" s="7"/>
      <c r="C1779" s="8"/>
      <c r="D1779" s="8"/>
      <c r="E1779" s="8"/>
      <c r="F1779" s="9"/>
      <c r="G1779" s="9"/>
      <c r="H1779" s="9"/>
      <c r="I1779" s="9" t="s">
        <v>14</v>
      </c>
      <c r="J1779" s="10" t="s">
        <v>14</v>
      </c>
      <c r="K1779" s="15" t="e">
        <f>VLOOKUP(J1779,DADOS!$A$3:$B$101,2,FALSE)</f>
        <v>#N/A</v>
      </c>
      <c r="L1779" s="15"/>
      <c r="M1779" s="18" t="b">
        <v>0</v>
      </c>
      <c r="N1779" s="17" t="b">
        <v>0</v>
      </c>
      <c r="O1779" s="17" t="b">
        <v>0</v>
      </c>
      <c r="P1779" s="17" t="b">
        <v>0</v>
      </c>
      <c r="Q1779" s="17" t="b">
        <v>0</v>
      </c>
      <c r="R1779" s="17" t="b">
        <v>0</v>
      </c>
      <c r="S1779" s="17" t="b">
        <v>0</v>
      </c>
      <c r="T1779" s="17" t="b">
        <v>0</v>
      </c>
      <c r="U1779" s="17" t="b">
        <v>0</v>
      </c>
      <c r="V1779" s="17" t="b">
        <v>0</v>
      </c>
      <c r="W1779" s="11"/>
      <c r="X1779" s="12"/>
      <c r="Y1779" s="12"/>
      <c r="Z1779" s="13"/>
    </row>
    <row r="1780" spans="1:26" ht="19.95" customHeight="1" x14ac:dyDescent="0.3">
      <c r="A1780" s="6"/>
      <c r="B1780" s="7"/>
      <c r="C1780" s="8"/>
      <c r="D1780" s="8"/>
      <c r="E1780" s="8"/>
      <c r="F1780" s="9"/>
      <c r="G1780" s="9"/>
      <c r="H1780" s="9"/>
      <c r="I1780" s="9" t="s">
        <v>14</v>
      </c>
      <c r="J1780" s="10" t="s">
        <v>14</v>
      </c>
      <c r="K1780" s="15" t="e">
        <f>VLOOKUP(J1780,DADOS!$A$3:$B$101,2,FALSE)</f>
        <v>#N/A</v>
      </c>
      <c r="L1780" s="15"/>
      <c r="M1780" s="18" t="b">
        <v>0</v>
      </c>
      <c r="N1780" s="17" t="b">
        <v>0</v>
      </c>
      <c r="O1780" s="17" t="b">
        <v>0</v>
      </c>
      <c r="P1780" s="17" t="b">
        <v>0</v>
      </c>
      <c r="Q1780" s="17" t="b">
        <v>0</v>
      </c>
      <c r="R1780" s="17" t="b">
        <v>0</v>
      </c>
      <c r="S1780" s="17" t="b">
        <v>0</v>
      </c>
      <c r="T1780" s="17" t="b">
        <v>0</v>
      </c>
      <c r="U1780" s="17" t="b">
        <v>0</v>
      </c>
      <c r="V1780" s="17" t="b">
        <v>0</v>
      </c>
      <c r="W1780" s="11"/>
      <c r="X1780" s="12"/>
      <c r="Y1780" s="12"/>
      <c r="Z1780" s="13"/>
    </row>
    <row r="1781" spans="1:26" ht="19.95" customHeight="1" x14ac:dyDescent="0.3">
      <c r="A1781" s="6"/>
      <c r="B1781" s="7"/>
      <c r="C1781" s="8"/>
      <c r="D1781" s="8"/>
      <c r="E1781" s="8"/>
      <c r="F1781" s="9"/>
      <c r="G1781" s="9"/>
      <c r="H1781" s="9"/>
      <c r="I1781" s="9" t="s">
        <v>14</v>
      </c>
      <c r="J1781" s="10" t="s">
        <v>14</v>
      </c>
      <c r="K1781" s="15" t="e">
        <f>VLOOKUP(J1781,DADOS!$A$3:$B$101,2,FALSE)</f>
        <v>#N/A</v>
      </c>
      <c r="L1781" s="15"/>
      <c r="M1781" s="18" t="b">
        <v>0</v>
      </c>
      <c r="N1781" s="17" t="b">
        <v>0</v>
      </c>
      <c r="O1781" s="17" t="b">
        <v>0</v>
      </c>
      <c r="P1781" s="17" t="b">
        <v>0</v>
      </c>
      <c r="Q1781" s="17" t="b">
        <v>0</v>
      </c>
      <c r="R1781" s="17" t="b">
        <v>0</v>
      </c>
      <c r="S1781" s="17" t="b">
        <v>0</v>
      </c>
      <c r="T1781" s="17" t="b">
        <v>0</v>
      </c>
      <c r="U1781" s="17" t="b">
        <v>0</v>
      </c>
      <c r="V1781" s="17" t="b">
        <v>0</v>
      </c>
      <c r="W1781" s="11"/>
      <c r="X1781" s="12"/>
      <c r="Y1781" s="12"/>
      <c r="Z1781" s="13"/>
    </row>
    <row r="1782" spans="1:26" ht="19.95" customHeight="1" x14ac:dyDescent="0.3">
      <c r="A1782" s="6"/>
      <c r="B1782" s="7"/>
      <c r="C1782" s="8"/>
      <c r="D1782" s="8"/>
      <c r="E1782" s="8"/>
      <c r="F1782" s="9"/>
      <c r="G1782" s="9"/>
      <c r="H1782" s="9"/>
      <c r="I1782" s="9" t="s">
        <v>14</v>
      </c>
      <c r="J1782" s="10" t="s">
        <v>14</v>
      </c>
      <c r="K1782" s="15" t="e">
        <f>VLOOKUP(J1782,DADOS!$A$3:$B$101,2,FALSE)</f>
        <v>#N/A</v>
      </c>
      <c r="L1782" s="15"/>
      <c r="M1782" s="18" t="b">
        <v>0</v>
      </c>
      <c r="N1782" s="17" t="b">
        <v>0</v>
      </c>
      <c r="O1782" s="17" t="b">
        <v>0</v>
      </c>
      <c r="P1782" s="17" t="b">
        <v>0</v>
      </c>
      <c r="Q1782" s="17" t="b">
        <v>0</v>
      </c>
      <c r="R1782" s="17" t="b">
        <v>0</v>
      </c>
      <c r="S1782" s="17" t="b">
        <v>0</v>
      </c>
      <c r="T1782" s="17" t="b">
        <v>0</v>
      </c>
      <c r="U1782" s="17" t="b">
        <v>0</v>
      </c>
      <c r="V1782" s="17" t="b">
        <v>0</v>
      </c>
      <c r="W1782" s="11"/>
      <c r="X1782" s="12"/>
      <c r="Y1782" s="12"/>
      <c r="Z1782" s="13"/>
    </row>
    <row r="1783" spans="1:26" ht="19.95" customHeight="1" x14ac:dyDescent="0.3">
      <c r="A1783" s="6"/>
      <c r="B1783" s="7"/>
      <c r="C1783" s="8"/>
      <c r="D1783" s="8"/>
      <c r="E1783" s="8"/>
      <c r="F1783" s="9"/>
      <c r="G1783" s="9"/>
      <c r="H1783" s="9"/>
      <c r="I1783" s="9" t="s">
        <v>14</v>
      </c>
      <c r="J1783" s="10" t="s">
        <v>14</v>
      </c>
      <c r="K1783" s="15" t="e">
        <f>VLOOKUP(J1783,DADOS!$A$3:$B$101,2,FALSE)</f>
        <v>#N/A</v>
      </c>
      <c r="L1783" s="15"/>
      <c r="M1783" s="18" t="b">
        <v>0</v>
      </c>
      <c r="N1783" s="17" t="b">
        <v>0</v>
      </c>
      <c r="O1783" s="17" t="b">
        <v>0</v>
      </c>
      <c r="P1783" s="17" t="b">
        <v>0</v>
      </c>
      <c r="Q1783" s="17" t="b">
        <v>0</v>
      </c>
      <c r="R1783" s="17" t="b">
        <v>0</v>
      </c>
      <c r="S1783" s="17" t="b">
        <v>0</v>
      </c>
      <c r="T1783" s="17" t="b">
        <v>0</v>
      </c>
      <c r="U1783" s="17" t="b">
        <v>0</v>
      </c>
      <c r="V1783" s="17" t="b">
        <v>0</v>
      </c>
      <c r="W1783" s="11"/>
      <c r="X1783" s="12"/>
      <c r="Y1783" s="12"/>
      <c r="Z1783" s="13"/>
    </row>
    <row r="1784" spans="1:26" ht="19.95" customHeight="1" x14ac:dyDescent="0.3">
      <c r="A1784" s="6"/>
      <c r="B1784" s="7"/>
      <c r="C1784" s="8"/>
      <c r="D1784" s="8"/>
      <c r="E1784" s="8"/>
      <c r="F1784" s="9"/>
      <c r="G1784" s="9"/>
      <c r="H1784" s="9"/>
      <c r="I1784" s="9" t="s">
        <v>14</v>
      </c>
      <c r="J1784" s="10" t="s">
        <v>14</v>
      </c>
      <c r="K1784" s="15" t="e">
        <f>VLOOKUP(J1784,DADOS!$A$3:$B$101,2,FALSE)</f>
        <v>#N/A</v>
      </c>
      <c r="L1784" s="15"/>
      <c r="M1784" s="18" t="b">
        <v>0</v>
      </c>
      <c r="N1784" s="17" t="b">
        <v>0</v>
      </c>
      <c r="O1784" s="17" t="b">
        <v>0</v>
      </c>
      <c r="P1784" s="17" t="b">
        <v>0</v>
      </c>
      <c r="Q1784" s="17" t="b">
        <v>0</v>
      </c>
      <c r="R1784" s="17" t="b">
        <v>0</v>
      </c>
      <c r="S1784" s="17" t="b">
        <v>0</v>
      </c>
      <c r="T1784" s="17" t="b">
        <v>0</v>
      </c>
      <c r="U1784" s="17" t="b">
        <v>0</v>
      </c>
      <c r="V1784" s="17" t="b">
        <v>0</v>
      </c>
      <c r="W1784" s="11"/>
      <c r="X1784" s="12"/>
      <c r="Y1784" s="12"/>
      <c r="Z1784" s="13"/>
    </row>
    <row r="1785" spans="1:26" ht="19.95" customHeight="1" x14ac:dyDescent="0.3">
      <c r="A1785" s="6"/>
      <c r="B1785" s="7"/>
      <c r="C1785" s="8"/>
      <c r="D1785" s="8"/>
      <c r="E1785" s="8"/>
      <c r="F1785" s="9"/>
      <c r="G1785" s="9"/>
      <c r="H1785" s="9"/>
      <c r="I1785" s="9" t="s">
        <v>14</v>
      </c>
      <c r="J1785" s="10" t="s">
        <v>14</v>
      </c>
      <c r="K1785" s="15" t="e">
        <f>VLOOKUP(J1785,DADOS!$A$3:$B$101,2,FALSE)</f>
        <v>#N/A</v>
      </c>
      <c r="L1785" s="15"/>
      <c r="M1785" s="18" t="b">
        <v>0</v>
      </c>
      <c r="N1785" s="17" t="b">
        <v>0</v>
      </c>
      <c r="O1785" s="17" t="b">
        <v>0</v>
      </c>
      <c r="P1785" s="17" t="b">
        <v>0</v>
      </c>
      <c r="Q1785" s="17" t="b">
        <v>0</v>
      </c>
      <c r="R1785" s="17" t="b">
        <v>0</v>
      </c>
      <c r="S1785" s="17" t="b">
        <v>0</v>
      </c>
      <c r="T1785" s="17" t="b">
        <v>0</v>
      </c>
      <c r="U1785" s="17" t="b">
        <v>0</v>
      </c>
      <c r="V1785" s="17" t="b">
        <v>0</v>
      </c>
      <c r="W1785" s="11"/>
      <c r="X1785" s="12"/>
      <c r="Y1785" s="12"/>
      <c r="Z1785" s="13"/>
    </row>
    <row r="1786" spans="1:26" ht="19.95" customHeight="1" x14ac:dyDescent="0.3">
      <c r="A1786" s="6"/>
      <c r="B1786" s="7"/>
      <c r="C1786" s="8"/>
      <c r="D1786" s="8"/>
      <c r="E1786" s="8"/>
      <c r="F1786" s="9"/>
      <c r="G1786" s="9"/>
      <c r="H1786" s="9"/>
      <c r="I1786" s="9" t="s">
        <v>14</v>
      </c>
      <c r="J1786" s="10" t="s">
        <v>14</v>
      </c>
      <c r="K1786" s="15" t="e">
        <f>VLOOKUP(J1786,DADOS!$A$3:$B$101,2,FALSE)</f>
        <v>#N/A</v>
      </c>
      <c r="L1786" s="15"/>
      <c r="M1786" s="18" t="b">
        <v>0</v>
      </c>
      <c r="N1786" s="17" t="b">
        <v>0</v>
      </c>
      <c r="O1786" s="17" t="b">
        <v>0</v>
      </c>
      <c r="P1786" s="17" t="b">
        <v>0</v>
      </c>
      <c r="Q1786" s="17" t="b">
        <v>0</v>
      </c>
      <c r="R1786" s="17" t="b">
        <v>0</v>
      </c>
      <c r="S1786" s="17" t="b">
        <v>0</v>
      </c>
      <c r="T1786" s="17" t="b">
        <v>0</v>
      </c>
      <c r="U1786" s="17" t="b">
        <v>0</v>
      </c>
      <c r="V1786" s="17" t="b">
        <v>0</v>
      </c>
      <c r="W1786" s="11"/>
      <c r="X1786" s="12"/>
      <c r="Y1786" s="12"/>
      <c r="Z1786" s="13"/>
    </row>
    <row r="1787" spans="1:26" ht="19.95" customHeight="1" x14ac:dyDescent="0.3">
      <c r="A1787" s="6"/>
      <c r="B1787" s="7"/>
      <c r="C1787" s="8"/>
      <c r="D1787" s="8"/>
      <c r="E1787" s="8"/>
      <c r="F1787" s="9"/>
      <c r="G1787" s="9"/>
      <c r="H1787" s="9"/>
      <c r="I1787" s="9" t="s">
        <v>14</v>
      </c>
      <c r="J1787" s="10" t="s">
        <v>14</v>
      </c>
      <c r="K1787" s="15" t="e">
        <f>VLOOKUP(J1787,DADOS!$A$3:$B$101,2,FALSE)</f>
        <v>#N/A</v>
      </c>
      <c r="L1787" s="15"/>
      <c r="M1787" s="18" t="b">
        <v>0</v>
      </c>
      <c r="N1787" s="17" t="b">
        <v>0</v>
      </c>
      <c r="O1787" s="17" t="b">
        <v>0</v>
      </c>
      <c r="P1787" s="17" t="b">
        <v>0</v>
      </c>
      <c r="Q1787" s="17" t="b">
        <v>0</v>
      </c>
      <c r="R1787" s="17" t="b">
        <v>0</v>
      </c>
      <c r="S1787" s="17" t="b">
        <v>0</v>
      </c>
      <c r="T1787" s="17" t="b">
        <v>0</v>
      </c>
      <c r="U1787" s="17" t="b">
        <v>0</v>
      </c>
      <c r="V1787" s="17" t="b">
        <v>0</v>
      </c>
      <c r="W1787" s="11"/>
      <c r="X1787" s="12"/>
      <c r="Y1787" s="12"/>
      <c r="Z1787" s="13"/>
    </row>
    <row r="1788" spans="1:26" ht="19.95" customHeight="1" x14ac:dyDescent="0.3">
      <c r="A1788" s="6"/>
      <c r="B1788" s="7"/>
      <c r="C1788" s="8"/>
      <c r="D1788" s="8"/>
      <c r="E1788" s="8"/>
      <c r="F1788" s="9"/>
      <c r="G1788" s="9"/>
      <c r="H1788" s="9"/>
      <c r="I1788" s="9" t="s">
        <v>14</v>
      </c>
      <c r="J1788" s="10" t="s">
        <v>14</v>
      </c>
      <c r="K1788" s="15" t="e">
        <f>VLOOKUP(J1788,DADOS!$A$3:$B$101,2,FALSE)</f>
        <v>#N/A</v>
      </c>
      <c r="L1788" s="15"/>
      <c r="M1788" s="18" t="b">
        <v>0</v>
      </c>
      <c r="N1788" s="17" t="b">
        <v>0</v>
      </c>
      <c r="O1788" s="17" t="b">
        <v>0</v>
      </c>
      <c r="P1788" s="17" t="b">
        <v>0</v>
      </c>
      <c r="Q1788" s="17" t="b">
        <v>0</v>
      </c>
      <c r="R1788" s="17" t="b">
        <v>0</v>
      </c>
      <c r="S1788" s="17" t="b">
        <v>0</v>
      </c>
      <c r="T1788" s="17" t="b">
        <v>0</v>
      </c>
      <c r="U1788" s="17" t="b">
        <v>0</v>
      </c>
      <c r="V1788" s="17" t="b">
        <v>0</v>
      </c>
      <c r="W1788" s="11"/>
      <c r="X1788" s="12"/>
      <c r="Y1788" s="12"/>
      <c r="Z1788" s="13"/>
    </row>
    <row r="1789" spans="1:26" ht="19.95" customHeight="1" x14ac:dyDescent="0.3">
      <c r="A1789" s="6"/>
      <c r="B1789" s="7"/>
      <c r="C1789" s="8"/>
      <c r="D1789" s="8"/>
      <c r="E1789" s="8"/>
      <c r="F1789" s="9"/>
      <c r="G1789" s="9"/>
      <c r="H1789" s="9"/>
      <c r="I1789" s="9" t="s">
        <v>14</v>
      </c>
      <c r="J1789" s="10" t="s">
        <v>14</v>
      </c>
      <c r="K1789" s="15" t="e">
        <f>VLOOKUP(J1789,DADOS!$A$3:$B$101,2,FALSE)</f>
        <v>#N/A</v>
      </c>
      <c r="L1789" s="15"/>
      <c r="M1789" s="18" t="b">
        <v>0</v>
      </c>
      <c r="N1789" s="17" t="b">
        <v>0</v>
      </c>
      <c r="O1789" s="17" t="b">
        <v>0</v>
      </c>
      <c r="P1789" s="17" t="b">
        <v>0</v>
      </c>
      <c r="Q1789" s="17" t="b">
        <v>0</v>
      </c>
      <c r="R1789" s="17" t="b">
        <v>0</v>
      </c>
      <c r="S1789" s="17" t="b">
        <v>0</v>
      </c>
      <c r="T1789" s="17" t="b">
        <v>0</v>
      </c>
      <c r="U1789" s="17" t="b">
        <v>0</v>
      </c>
      <c r="V1789" s="17" t="b">
        <v>0</v>
      </c>
      <c r="W1789" s="11"/>
      <c r="X1789" s="12"/>
      <c r="Y1789" s="12"/>
      <c r="Z1789" s="13"/>
    </row>
    <row r="1790" spans="1:26" ht="19.95" customHeight="1" x14ac:dyDescent="0.3">
      <c r="A1790" s="6"/>
      <c r="B1790" s="7"/>
      <c r="C1790" s="8"/>
      <c r="D1790" s="8"/>
      <c r="E1790" s="8"/>
      <c r="F1790" s="9"/>
      <c r="G1790" s="9"/>
      <c r="H1790" s="9"/>
      <c r="I1790" s="9" t="s">
        <v>14</v>
      </c>
      <c r="J1790" s="10" t="s">
        <v>14</v>
      </c>
      <c r="K1790" s="15" t="e">
        <f>VLOOKUP(J1790,DADOS!$A$3:$B$101,2,FALSE)</f>
        <v>#N/A</v>
      </c>
      <c r="L1790" s="15"/>
      <c r="M1790" s="18" t="b">
        <v>0</v>
      </c>
      <c r="N1790" s="17" t="b">
        <v>0</v>
      </c>
      <c r="O1790" s="17" t="b">
        <v>0</v>
      </c>
      <c r="P1790" s="17" t="b">
        <v>0</v>
      </c>
      <c r="Q1790" s="17" t="b">
        <v>0</v>
      </c>
      <c r="R1790" s="17" t="b">
        <v>0</v>
      </c>
      <c r="S1790" s="17" t="b">
        <v>0</v>
      </c>
      <c r="T1790" s="17" t="b">
        <v>0</v>
      </c>
      <c r="U1790" s="17" t="b">
        <v>0</v>
      </c>
      <c r="V1790" s="17" t="b">
        <v>0</v>
      </c>
      <c r="W1790" s="11"/>
      <c r="X1790" s="12"/>
      <c r="Y1790" s="12"/>
      <c r="Z1790" s="13"/>
    </row>
    <row r="1791" spans="1:26" ht="19.95" customHeight="1" x14ac:dyDescent="0.3">
      <c r="A1791" s="6"/>
      <c r="B1791" s="7"/>
      <c r="C1791" s="8"/>
      <c r="D1791" s="8"/>
      <c r="E1791" s="8"/>
      <c r="F1791" s="9"/>
      <c r="G1791" s="9"/>
      <c r="H1791" s="9"/>
      <c r="I1791" s="9" t="s">
        <v>14</v>
      </c>
      <c r="J1791" s="10" t="s">
        <v>14</v>
      </c>
      <c r="K1791" s="15" t="e">
        <f>VLOOKUP(J1791,DADOS!$A$3:$B$101,2,FALSE)</f>
        <v>#N/A</v>
      </c>
      <c r="L1791" s="15"/>
      <c r="M1791" s="18" t="b">
        <v>0</v>
      </c>
      <c r="N1791" s="17" t="b">
        <v>0</v>
      </c>
      <c r="O1791" s="17" t="b">
        <v>0</v>
      </c>
      <c r="P1791" s="17" t="b">
        <v>0</v>
      </c>
      <c r="Q1791" s="17" t="b">
        <v>0</v>
      </c>
      <c r="R1791" s="17" t="b">
        <v>0</v>
      </c>
      <c r="S1791" s="17" t="b">
        <v>0</v>
      </c>
      <c r="T1791" s="17" t="b">
        <v>0</v>
      </c>
      <c r="U1791" s="17" t="b">
        <v>0</v>
      </c>
      <c r="V1791" s="17" t="b">
        <v>0</v>
      </c>
      <c r="W1791" s="11"/>
      <c r="X1791" s="12"/>
      <c r="Y1791" s="12"/>
      <c r="Z1791" s="13"/>
    </row>
    <row r="1792" spans="1:26" ht="19.95" customHeight="1" x14ac:dyDescent="0.3">
      <c r="A1792" s="6"/>
      <c r="B1792" s="7"/>
      <c r="C1792" s="8"/>
      <c r="D1792" s="8"/>
      <c r="E1792" s="8"/>
      <c r="F1792" s="9"/>
      <c r="G1792" s="9"/>
      <c r="H1792" s="9"/>
      <c r="I1792" s="9" t="s">
        <v>14</v>
      </c>
      <c r="J1792" s="10" t="s">
        <v>14</v>
      </c>
      <c r="K1792" s="15" t="e">
        <f>VLOOKUP(J1792,DADOS!$A$3:$B$101,2,FALSE)</f>
        <v>#N/A</v>
      </c>
      <c r="L1792" s="15"/>
      <c r="M1792" s="18" t="b">
        <v>0</v>
      </c>
      <c r="N1792" s="17" t="b">
        <v>0</v>
      </c>
      <c r="O1792" s="17" t="b">
        <v>0</v>
      </c>
      <c r="P1792" s="17" t="b">
        <v>0</v>
      </c>
      <c r="Q1792" s="17" t="b">
        <v>0</v>
      </c>
      <c r="R1792" s="17" t="b">
        <v>0</v>
      </c>
      <c r="S1792" s="17" t="b">
        <v>0</v>
      </c>
      <c r="T1792" s="17" t="b">
        <v>0</v>
      </c>
      <c r="U1792" s="17" t="b">
        <v>0</v>
      </c>
      <c r="V1792" s="17" t="b">
        <v>0</v>
      </c>
      <c r="W1792" s="11"/>
      <c r="X1792" s="12"/>
      <c r="Y1792" s="12"/>
      <c r="Z1792" s="13"/>
    </row>
    <row r="1793" spans="1:26" ht="19.95" customHeight="1" x14ac:dyDescent="0.3">
      <c r="A1793" s="6"/>
      <c r="B1793" s="7"/>
      <c r="C1793" s="8"/>
      <c r="D1793" s="8"/>
      <c r="E1793" s="8"/>
      <c r="F1793" s="9"/>
      <c r="G1793" s="9"/>
      <c r="H1793" s="9"/>
      <c r="I1793" s="9" t="s">
        <v>14</v>
      </c>
      <c r="J1793" s="10" t="s">
        <v>14</v>
      </c>
      <c r="K1793" s="15" t="e">
        <f>VLOOKUP(J1793,DADOS!$A$3:$B$101,2,FALSE)</f>
        <v>#N/A</v>
      </c>
      <c r="L1793" s="15"/>
      <c r="M1793" s="18" t="b">
        <v>0</v>
      </c>
      <c r="N1793" s="17" t="b">
        <v>0</v>
      </c>
      <c r="O1793" s="17" t="b">
        <v>0</v>
      </c>
      <c r="P1793" s="17" t="b">
        <v>0</v>
      </c>
      <c r="Q1793" s="17" t="b">
        <v>0</v>
      </c>
      <c r="R1793" s="17" t="b">
        <v>0</v>
      </c>
      <c r="S1793" s="17" t="b">
        <v>0</v>
      </c>
      <c r="T1793" s="17" t="b">
        <v>0</v>
      </c>
      <c r="U1793" s="17" t="b">
        <v>0</v>
      </c>
      <c r="V1793" s="17" t="b">
        <v>0</v>
      </c>
      <c r="W1793" s="11"/>
      <c r="X1793" s="12"/>
      <c r="Y1793" s="12"/>
      <c r="Z1793" s="13"/>
    </row>
    <row r="1794" spans="1:26" ht="19.95" customHeight="1" x14ac:dyDescent="0.3">
      <c r="A1794" s="6"/>
      <c r="B1794" s="7"/>
      <c r="C1794" s="8"/>
      <c r="D1794" s="8"/>
      <c r="E1794" s="8"/>
      <c r="F1794" s="9"/>
      <c r="G1794" s="9"/>
      <c r="H1794" s="9"/>
      <c r="I1794" s="9" t="s">
        <v>14</v>
      </c>
      <c r="J1794" s="10" t="s">
        <v>14</v>
      </c>
      <c r="K1794" s="15" t="e">
        <f>VLOOKUP(J1794,DADOS!$A$3:$B$101,2,FALSE)</f>
        <v>#N/A</v>
      </c>
      <c r="L1794" s="15"/>
      <c r="M1794" s="18" t="b">
        <v>0</v>
      </c>
      <c r="N1794" s="17" t="b">
        <v>0</v>
      </c>
      <c r="O1794" s="17" t="b">
        <v>0</v>
      </c>
      <c r="P1794" s="17" t="b">
        <v>0</v>
      </c>
      <c r="Q1794" s="17" t="b">
        <v>0</v>
      </c>
      <c r="R1794" s="17" t="b">
        <v>0</v>
      </c>
      <c r="S1794" s="17" t="b">
        <v>0</v>
      </c>
      <c r="T1794" s="17" t="b">
        <v>0</v>
      </c>
      <c r="U1794" s="17" t="b">
        <v>0</v>
      </c>
      <c r="V1794" s="17" t="b">
        <v>0</v>
      </c>
      <c r="W1794" s="11"/>
      <c r="X1794" s="12"/>
      <c r="Y1794" s="12"/>
      <c r="Z1794" s="13"/>
    </row>
    <row r="1795" spans="1:26" ht="19.95" customHeight="1" x14ac:dyDescent="0.3">
      <c r="A1795" s="6"/>
      <c r="B1795" s="7"/>
      <c r="C1795" s="8"/>
      <c r="D1795" s="8"/>
      <c r="E1795" s="8"/>
      <c r="F1795" s="9"/>
      <c r="G1795" s="9"/>
      <c r="H1795" s="9"/>
      <c r="I1795" s="9" t="s">
        <v>14</v>
      </c>
      <c r="J1795" s="10" t="s">
        <v>14</v>
      </c>
      <c r="K1795" s="15" t="e">
        <f>VLOOKUP(J1795,DADOS!$A$3:$B$101,2,FALSE)</f>
        <v>#N/A</v>
      </c>
      <c r="L1795" s="15"/>
      <c r="M1795" s="18" t="b">
        <v>0</v>
      </c>
      <c r="N1795" s="17" t="b">
        <v>0</v>
      </c>
      <c r="O1795" s="17" t="b">
        <v>0</v>
      </c>
      <c r="P1795" s="17" t="b">
        <v>0</v>
      </c>
      <c r="Q1795" s="17" t="b">
        <v>0</v>
      </c>
      <c r="R1795" s="17" t="b">
        <v>0</v>
      </c>
      <c r="S1795" s="17" t="b">
        <v>0</v>
      </c>
      <c r="T1795" s="17" t="b">
        <v>0</v>
      </c>
      <c r="U1795" s="17" t="b">
        <v>0</v>
      </c>
      <c r="V1795" s="17" t="b">
        <v>0</v>
      </c>
      <c r="W1795" s="11"/>
      <c r="X1795" s="12"/>
      <c r="Y1795" s="12"/>
      <c r="Z1795" s="13"/>
    </row>
    <row r="1796" spans="1:26" ht="19.95" customHeight="1" x14ac:dyDescent="0.3">
      <c r="A1796" s="6"/>
      <c r="B1796" s="7"/>
      <c r="C1796" s="8"/>
      <c r="D1796" s="8"/>
      <c r="E1796" s="8"/>
      <c r="F1796" s="9"/>
      <c r="G1796" s="9"/>
      <c r="H1796" s="9"/>
      <c r="I1796" s="9" t="s">
        <v>14</v>
      </c>
      <c r="J1796" s="10" t="s">
        <v>14</v>
      </c>
      <c r="K1796" s="15" t="e">
        <f>VLOOKUP(J1796,DADOS!$A$3:$B$101,2,FALSE)</f>
        <v>#N/A</v>
      </c>
      <c r="L1796" s="15"/>
      <c r="M1796" s="18" t="b">
        <v>0</v>
      </c>
      <c r="N1796" s="17" t="b">
        <v>0</v>
      </c>
      <c r="O1796" s="17" t="b">
        <v>0</v>
      </c>
      <c r="P1796" s="17" t="b">
        <v>0</v>
      </c>
      <c r="Q1796" s="17" t="b">
        <v>0</v>
      </c>
      <c r="R1796" s="17" t="b">
        <v>0</v>
      </c>
      <c r="S1796" s="17" t="b">
        <v>0</v>
      </c>
      <c r="T1796" s="17" t="b">
        <v>0</v>
      </c>
      <c r="U1796" s="17" t="b">
        <v>0</v>
      </c>
      <c r="V1796" s="17" t="b">
        <v>0</v>
      </c>
      <c r="W1796" s="11"/>
      <c r="X1796" s="12"/>
      <c r="Y1796" s="12"/>
      <c r="Z1796" s="13"/>
    </row>
    <row r="1797" spans="1:26" ht="19.95" customHeight="1" x14ac:dyDescent="0.3">
      <c r="A1797" s="6"/>
      <c r="B1797" s="7"/>
      <c r="C1797" s="8"/>
      <c r="D1797" s="8"/>
      <c r="E1797" s="8"/>
      <c r="F1797" s="9"/>
      <c r="G1797" s="9"/>
      <c r="H1797" s="9"/>
      <c r="I1797" s="9" t="s">
        <v>14</v>
      </c>
      <c r="J1797" s="10" t="s">
        <v>14</v>
      </c>
      <c r="K1797" s="15" t="e">
        <f>VLOOKUP(J1797,DADOS!$A$3:$B$101,2,FALSE)</f>
        <v>#N/A</v>
      </c>
      <c r="L1797" s="15"/>
      <c r="M1797" s="18" t="b">
        <v>0</v>
      </c>
      <c r="N1797" s="17" t="b">
        <v>0</v>
      </c>
      <c r="O1797" s="17" t="b">
        <v>0</v>
      </c>
      <c r="P1797" s="17" t="b">
        <v>0</v>
      </c>
      <c r="Q1797" s="17" t="b">
        <v>0</v>
      </c>
      <c r="R1797" s="17" t="b">
        <v>0</v>
      </c>
      <c r="S1797" s="17" t="b">
        <v>0</v>
      </c>
      <c r="T1797" s="17" t="b">
        <v>0</v>
      </c>
      <c r="U1797" s="17" t="b">
        <v>0</v>
      </c>
      <c r="V1797" s="17" t="b">
        <v>0</v>
      </c>
      <c r="W1797" s="11"/>
      <c r="X1797" s="12"/>
      <c r="Y1797" s="12"/>
      <c r="Z1797" s="13"/>
    </row>
    <row r="1798" spans="1:26" ht="19.95" customHeight="1" x14ac:dyDescent="0.3">
      <c r="A1798" s="6"/>
      <c r="B1798" s="7"/>
      <c r="C1798" s="8"/>
      <c r="D1798" s="8"/>
      <c r="E1798" s="8"/>
      <c r="F1798" s="9"/>
      <c r="G1798" s="9"/>
      <c r="H1798" s="9"/>
      <c r="I1798" s="9" t="s">
        <v>14</v>
      </c>
      <c r="J1798" s="10" t="s">
        <v>14</v>
      </c>
      <c r="K1798" s="15" t="e">
        <f>VLOOKUP(J1798,DADOS!$A$3:$B$101,2,FALSE)</f>
        <v>#N/A</v>
      </c>
      <c r="L1798" s="15"/>
      <c r="M1798" s="18" t="b">
        <v>0</v>
      </c>
      <c r="N1798" s="17" t="b">
        <v>0</v>
      </c>
      <c r="O1798" s="17" t="b">
        <v>0</v>
      </c>
      <c r="P1798" s="17" t="b">
        <v>0</v>
      </c>
      <c r="Q1798" s="17" t="b">
        <v>0</v>
      </c>
      <c r="R1798" s="17" t="b">
        <v>0</v>
      </c>
      <c r="S1798" s="17" t="b">
        <v>0</v>
      </c>
      <c r="T1798" s="17" t="b">
        <v>0</v>
      </c>
      <c r="U1798" s="17" t="b">
        <v>0</v>
      </c>
      <c r="V1798" s="17" t="b">
        <v>0</v>
      </c>
      <c r="W1798" s="11"/>
      <c r="X1798" s="12"/>
      <c r="Y1798" s="12"/>
      <c r="Z1798" s="13"/>
    </row>
    <row r="1799" spans="1:26" ht="19.95" customHeight="1" x14ac:dyDescent="0.3">
      <c r="A1799" s="6"/>
      <c r="B1799" s="7"/>
      <c r="C1799" s="8"/>
      <c r="D1799" s="8"/>
      <c r="E1799" s="8"/>
      <c r="F1799" s="9"/>
      <c r="G1799" s="9"/>
      <c r="H1799" s="9"/>
      <c r="I1799" s="9" t="s">
        <v>14</v>
      </c>
      <c r="J1799" s="10" t="s">
        <v>14</v>
      </c>
      <c r="K1799" s="15" t="e">
        <f>VLOOKUP(J1799,DADOS!$A$3:$B$101,2,FALSE)</f>
        <v>#N/A</v>
      </c>
      <c r="L1799" s="15"/>
      <c r="M1799" s="18" t="b">
        <v>0</v>
      </c>
      <c r="N1799" s="17" t="b">
        <v>0</v>
      </c>
      <c r="O1799" s="17" t="b">
        <v>0</v>
      </c>
      <c r="P1799" s="17" t="b">
        <v>0</v>
      </c>
      <c r="Q1799" s="17" t="b">
        <v>0</v>
      </c>
      <c r="R1799" s="17" t="b">
        <v>0</v>
      </c>
      <c r="S1799" s="17" t="b">
        <v>0</v>
      </c>
      <c r="T1799" s="17" t="b">
        <v>0</v>
      </c>
      <c r="U1799" s="17" t="b">
        <v>0</v>
      </c>
      <c r="V1799" s="17" t="b">
        <v>0</v>
      </c>
      <c r="W1799" s="11"/>
      <c r="X1799" s="12"/>
      <c r="Y1799" s="12"/>
      <c r="Z1799" s="13"/>
    </row>
    <row r="1800" spans="1:26" ht="19.95" customHeight="1" x14ac:dyDescent="0.3">
      <c r="A1800" s="6"/>
      <c r="B1800" s="7"/>
      <c r="C1800" s="8"/>
      <c r="D1800" s="8"/>
      <c r="E1800" s="8"/>
      <c r="F1800" s="9"/>
      <c r="G1800" s="9"/>
      <c r="H1800" s="9"/>
      <c r="I1800" s="9" t="s">
        <v>14</v>
      </c>
      <c r="J1800" s="10" t="s">
        <v>14</v>
      </c>
      <c r="K1800" s="15" t="e">
        <f>VLOOKUP(J1800,DADOS!$A$3:$B$101,2,FALSE)</f>
        <v>#N/A</v>
      </c>
      <c r="L1800" s="15"/>
      <c r="M1800" s="18" t="b">
        <v>0</v>
      </c>
      <c r="N1800" s="17" t="b">
        <v>0</v>
      </c>
      <c r="O1800" s="17" t="b">
        <v>0</v>
      </c>
      <c r="P1800" s="17" t="b">
        <v>0</v>
      </c>
      <c r="Q1800" s="17" t="b">
        <v>0</v>
      </c>
      <c r="R1800" s="17" t="b">
        <v>0</v>
      </c>
      <c r="S1800" s="17" t="b">
        <v>0</v>
      </c>
      <c r="T1800" s="17" t="b">
        <v>0</v>
      </c>
      <c r="U1800" s="17" t="b">
        <v>0</v>
      </c>
      <c r="V1800" s="17" t="b">
        <v>0</v>
      </c>
      <c r="W1800" s="11"/>
      <c r="X1800" s="12"/>
      <c r="Y1800" s="12"/>
      <c r="Z1800" s="13"/>
    </row>
    <row r="1801" spans="1:26" ht="19.95" customHeight="1" x14ac:dyDescent="0.3">
      <c r="A1801" s="6"/>
      <c r="B1801" s="7"/>
      <c r="C1801" s="8"/>
      <c r="D1801" s="8"/>
      <c r="E1801" s="8"/>
      <c r="F1801" s="9"/>
      <c r="G1801" s="9"/>
      <c r="H1801" s="9"/>
      <c r="I1801" s="9" t="s">
        <v>14</v>
      </c>
      <c r="J1801" s="10" t="s">
        <v>14</v>
      </c>
      <c r="K1801" s="15" t="e">
        <f>VLOOKUP(J1801,DADOS!$A$3:$B$101,2,FALSE)</f>
        <v>#N/A</v>
      </c>
      <c r="L1801" s="15"/>
      <c r="M1801" s="18" t="b">
        <v>0</v>
      </c>
      <c r="N1801" s="17" t="b">
        <v>0</v>
      </c>
      <c r="O1801" s="17" t="b">
        <v>0</v>
      </c>
      <c r="P1801" s="17" t="b">
        <v>0</v>
      </c>
      <c r="Q1801" s="17" t="b">
        <v>0</v>
      </c>
      <c r="R1801" s="17" t="b">
        <v>0</v>
      </c>
      <c r="S1801" s="17" t="b">
        <v>0</v>
      </c>
      <c r="T1801" s="17" t="b">
        <v>0</v>
      </c>
      <c r="U1801" s="17" t="b">
        <v>0</v>
      </c>
      <c r="V1801" s="17" t="b">
        <v>0</v>
      </c>
      <c r="W1801" s="11"/>
      <c r="X1801" s="12"/>
      <c r="Y1801" s="12"/>
      <c r="Z1801" s="13"/>
    </row>
    <row r="1802" spans="1:26" ht="19.95" customHeight="1" x14ac:dyDescent="0.3">
      <c r="A1802" s="6"/>
      <c r="B1802" s="7"/>
      <c r="C1802" s="8"/>
      <c r="D1802" s="8"/>
      <c r="E1802" s="8"/>
      <c r="F1802" s="9"/>
      <c r="G1802" s="9"/>
      <c r="H1802" s="9"/>
      <c r="I1802" s="9" t="s">
        <v>14</v>
      </c>
      <c r="J1802" s="10" t="s">
        <v>14</v>
      </c>
      <c r="K1802" s="15" t="e">
        <f>VLOOKUP(J1802,DADOS!$A$3:$B$101,2,FALSE)</f>
        <v>#N/A</v>
      </c>
      <c r="L1802" s="15"/>
      <c r="M1802" s="18" t="b">
        <v>0</v>
      </c>
      <c r="N1802" s="17" t="b">
        <v>0</v>
      </c>
      <c r="O1802" s="17" t="b">
        <v>0</v>
      </c>
      <c r="P1802" s="17" t="b">
        <v>0</v>
      </c>
      <c r="Q1802" s="17" t="b">
        <v>0</v>
      </c>
      <c r="R1802" s="17" t="b">
        <v>0</v>
      </c>
      <c r="S1802" s="17" t="b">
        <v>0</v>
      </c>
      <c r="T1802" s="17" t="b">
        <v>0</v>
      </c>
      <c r="U1802" s="17" t="b">
        <v>0</v>
      </c>
      <c r="V1802" s="17" t="b">
        <v>0</v>
      </c>
      <c r="W1802" s="11"/>
      <c r="X1802" s="12"/>
      <c r="Y1802" s="12"/>
      <c r="Z1802" s="13"/>
    </row>
    <row r="1803" spans="1:26" ht="19.95" customHeight="1" x14ac:dyDescent="0.3">
      <c r="A1803" s="6"/>
      <c r="B1803" s="7"/>
      <c r="C1803" s="8"/>
      <c r="D1803" s="8"/>
      <c r="E1803" s="8"/>
      <c r="F1803" s="9"/>
      <c r="G1803" s="9"/>
      <c r="H1803" s="9"/>
      <c r="I1803" s="9" t="s">
        <v>14</v>
      </c>
      <c r="J1803" s="10" t="s">
        <v>14</v>
      </c>
      <c r="K1803" s="15" t="e">
        <f>VLOOKUP(J1803,DADOS!$A$3:$B$101,2,FALSE)</f>
        <v>#N/A</v>
      </c>
      <c r="L1803" s="15"/>
      <c r="M1803" s="18" t="b">
        <v>0</v>
      </c>
      <c r="N1803" s="17" t="b">
        <v>0</v>
      </c>
      <c r="O1803" s="17" t="b">
        <v>0</v>
      </c>
      <c r="P1803" s="17" t="b">
        <v>0</v>
      </c>
      <c r="Q1803" s="17" t="b">
        <v>0</v>
      </c>
      <c r="R1803" s="17" t="b">
        <v>0</v>
      </c>
      <c r="S1803" s="17" t="b">
        <v>0</v>
      </c>
      <c r="T1803" s="17" t="b">
        <v>0</v>
      </c>
      <c r="U1803" s="17" t="b">
        <v>0</v>
      </c>
      <c r="V1803" s="17" t="b">
        <v>0</v>
      </c>
      <c r="W1803" s="11"/>
      <c r="X1803" s="12"/>
      <c r="Y1803" s="12"/>
      <c r="Z1803" s="13"/>
    </row>
    <row r="1804" spans="1:26" ht="19.95" customHeight="1" x14ac:dyDescent="0.3">
      <c r="A1804" s="6"/>
      <c r="B1804" s="7"/>
      <c r="C1804" s="8"/>
      <c r="D1804" s="8"/>
      <c r="E1804" s="8"/>
      <c r="F1804" s="9"/>
      <c r="G1804" s="9"/>
      <c r="H1804" s="9"/>
      <c r="I1804" s="9" t="s">
        <v>14</v>
      </c>
      <c r="J1804" s="10" t="s">
        <v>14</v>
      </c>
      <c r="K1804" s="15" t="e">
        <f>VLOOKUP(J1804,DADOS!$A$3:$B$101,2,FALSE)</f>
        <v>#N/A</v>
      </c>
      <c r="L1804" s="15"/>
      <c r="M1804" s="18" t="b">
        <v>0</v>
      </c>
      <c r="N1804" s="17" t="b">
        <v>0</v>
      </c>
      <c r="O1804" s="17" t="b">
        <v>0</v>
      </c>
      <c r="P1804" s="17" t="b">
        <v>0</v>
      </c>
      <c r="Q1804" s="17" t="b">
        <v>0</v>
      </c>
      <c r="R1804" s="17" t="b">
        <v>0</v>
      </c>
      <c r="S1804" s="17" t="b">
        <v>0</v>
      </c>
      <c r="T1804" s="17" t="b">
        <v>0</v>
      </c>
      <c r="U1804" s="17" t="b">
        <v>0</v>
      </c>
      <c r="V1804" s="17" t="b">
        <v>0</v>
      </c>
      <c r="W1804" s="11"/>
      <c r="X1804" s="12"/>
      <c r="Y1804" s="12"/>
      <c r="Z1804" s="13"/>
    </row>
    <row r="1805" spans="1:26" ht="19.95" customHeight="1" x14ac:dyDescent="0.3">
      <c r="A1805" s="6"/>
      <c r="B1805" s="7"/>
      <c r="C1805" s="8"/>
      <c r="D1805" s="8"/>
      <c r="E1805" s="8"/>
      <c r="F1805" s="9"/>
      <c r="G1805" s="9"/>
      <c r="H1805" s="9"/>
      <c r="I1805" s="9" t="s">
        <v>14</v>
      </c>
      <c r="J1805" s="10" t="s">
        <v>14</v>
      </c>
      <c r="K1805" s="15" t="e">
        <f>VLOOKUP(J1805,DADOS!$A$3:$B$101,2,FALSE)</f>
        <v>#N/A</v>
      </c>
      <c r="L1805" s="15"/>
      <c r="M1805" s="18" t="b">
        <v>0</v>
      </c>
      <c r="N1805" s="17" t="b">
        <v>0</v>
      </c>
      <c r="O1805" s="17" t="b">
        <v>0</v>
      </c>
      <c r="P1805" s="17" t="b">
        <v>0</v>
      </c>
      <c r="Q1805" s="17" t="b">
        <v>0</v>
      </c>
      <c r="R1805" s="17" t="b">
        <v>0</v>
      </c>
      <c r="S1805" s="17" t="b">
        <v>0</v>
      </c>
      <c r="T1805" s="17" t="b">
        <v>0</v>
      </c>
      <c r="U1805" s="17" t="b">
        <v>0</v>
      </c>
      <c r="V1805" s="17" t="b">
        <v>0</v>
      </c>
      <c r="W1805" s="11"/>
      <c r="X1805" s="12"/>
      <c r="Y1805" s="12"/>
      <c r="Z1805" s="13"/>
    </row>
    <row r="1806" spans="1:26" ht="19.95" customHeight="1" x14ac:dyDescent="0.3">
      <c r="A1806" s="6"/>
      <c r="B1806" s="7"/>
      <c r="C1806" s="8"/>
      <c r="D1806" s="8"/>
      <c r="E1806" s="8"/>
      <c r="F1806" s="9"/>
      <c r="G1806" s="9"/>
      <c r="H1806" s="9"/>
      <c r="I1806" s="9" t="s">
        <v>14</v>
      </c>
      <c r="J1806" s="10" t="s">
        <v>14</v>
      </c>
      <c r="K1806" s="15" t="e">
        <f>VLOOKUP(J1806,DADOS!$A$3:$B$101,2,FALSE)</f>
        <v>#N/A</v>
      </c>
      <c r="L1806" s="15"/>
      <c r="M1806" s="18" t="b">
        <v>0</v>
      </c>
      <c r="N1806" s="17" t="b">
        <v>0</v>
      </c>
      <c r="O1806" s="17" t="b">
        <v>0</v>
      </c>
      <c r="P1806" s="17" t="b">
        <v>0</v>
      </c>
      <c r="Q1806" s="17" t="b">
        <v>0</v>
      </c>
      <c r="R1806" s="17" t="b">
        <v>0</v>
      </c>
      <c r="S1806" s="17" t="b">
        <v>0</v>
      </c>
      <c r="T1806" s="17" t="b">
        <v>0</v>
      </c>
      <c r="U1806" s="17" t="b">
        <v>0</v>
      </c>
      <c r="V1806" s="17" t="b">
        <v>0</v>
      </c>
      <c r="W1806" s="11"/>
      <c r="X1806" s="12"/>
      <c r="Y1806" s="12"/>
      <c r="Z1806" s="13"/>
    </row>
    <row r="1807" spans="1:26" ht="19.95" customHeight="1" x14ac:dyDescent="0.3">
      <c r="A1807" s="6"/>
      <c r="B1807" s="7"/>
      <c r="C1807" s="8"/>
      <c r="D1807" s="8"/>
      <c r="E1807" s="8"/>
      <c r="F1807" s="9"/>
      <c r="G1807" s="9"/>
      <c r="H1807" s="9"/>
      <c r="I1807" s="9" t="s">
        <v>14</v>
      </c>
      <c r="J1807" s="10" t="s">
        <v>14</v>
      </c>
      <c r="K1807" s="15" t="e">
        <f>VLOOKUP(J1807,DADOS!$A$3:$B$101,2,FALSE)</f>
        <v>#N/A</v>
      </c>
      <c r="L1807" s="15"/>
      <c r="M1807" s="18" t="b">
        <v>0</v>
      </c>
      <c r="N1807" s="17" t="b">
        <v>0</v>
      </c>
      <c r="O1807" s="17" t="b">
        <v>0</v>
      </c>
      <c r="P1807" s="17" t="b">
        <v>0</v>
      </c>
      <c r="Q1807" s="17" t="b">
        <v>0</v>
      </c>
      <c r="R1807" s="17" t="b">
        <v>0</v>
      </c>
      <c r="S1807" s="17" t="b">
        <v>0</v>
      </c>
      <c r="T1807" s="17" t="b">
        <v>0</v>
      </c>
      <c r="U1807" s="17" t="b">
        <v>0</v>
      </c>
      <c r="V1807" s="17" t="b">
        <v>0</v>
      </c>
      <c r="W1807" s="11"/>
      <c r="X1807" s="12"/>
      <c r="Y1807" s="12"/>
      <c r="Z1807" s="13"/>
    </row>
    <row r="1808" spans="1:26" ht="19.95" customHeight="1" x14ac:dyDescent="0.3">
      <c r="A1808" s="6"/>
      <c r="B1808" s="7"/>
      <c r="C1808" s="8"/>
      <c r="D1808" s="8"/>
      <c r="E1808" s="8"/>
      <c r="F1808" s="9"/>
      <c r="G1808" s="9"/>
      <c r="H1808" s="9"/>
      <c r="I1808" s="9" t="s">
        <v>14</v>
      </c>
      <c r="J1808" s="10" t="s">
        <v>14</v>
      </c>
      <c r="K1808" s="15" t="e">
        <f>VLOOKUP(J1808,DADOS!$A$3:$B$101,2,FALSE)</f>
        <v>#N/A</v>
      </c>
      <c r="L1808" s="15"/>
      <c r="M1808" s="18" t="b">
        <v>0</v>
      </c>
      <c r="N1808" s="17" t="b">
        <v>0</v>
      </c>
      <c r="O1808" s="17" t="b">
        <v>0</v>
      </c>
      <c r="P1808" s="17" t="b">
        <v>0</v>
      </c>
      <c r="Q1808" s="17" t="b">
        <v>0</v>
      </c>
      <c r="R1808" s="17" t="b">
        <v>0</v>
      </c>
      <c r="S1808" s="17" t="b">
        <v>0</v>
      </c>
      <c r="T1808" s="17" t="b">
        <v>0</v>
      </c>
      <c r="U1808" s="17" t="b">
        <v>0</v>
      </c>
      <c r="V1808" s="17" t="b">
        <v>0</v>
      </c>
      <c r="W1808" s="11"/>
      <c r="X1808" s="12"/>
      <c r="Y1808" s="12"/>
      <c r="Z1808" s="13"/>
    </row>
    <row r="1809" spans="1:26" ht="19.95" customHeight="1" x14ac:dyDescent="0.3">
      <c r="A1809" s="6"/>
      <c r="B1809" s="7"/>
      <c r="C1809" s="8"/>
      <c r="D1809" s="8"/>
      <c r="E1809" s="8"/>
      <c r="F1809" s="9"/>
      <c r="G1809" s="9"/>
      <c r="H1809" s="9"/>
      <c r="I1809" s="9" t="s">
        <v>14</v>
      </c>
      <c r="J1809" s="10" t="s">
        <v>14</v>
      </c>
      <c r="K1809" s="15" t="e">
        <f>VLOOKUP(J1809,DADOS!$A$3:$B$101,2,FALSE)</f>
        <v>#N/A</v>
      </c>
      <c r="L1809" s="15"/>
      <c r="M1809" s="18" t="b">
        <v>0</v>
      </c>
      <c r="N1809" s="17" t="b">
        <v>0</v>
      </c>
      <c r="O1809" s="17" t="b">
        <v>0</v>
      </c>
      <c r="P1809" s="17" t="b">
        <v>0</v>
      </c>
      <c r="Q1809" s="17" t="b">
        <v>0</v>
      </c>
      <c r="R1809" s="17" t="b">
        <v>0</v>
      </c>
      <c r="S1809" s="17" t="b">
        <v>0</v>
      </c>
      <c r="T1809" s="17" t="b">
        <v>0</v>
      </c>
      <c r="U1809" s="17" t="b">
        <v>0</v>
      </c>
      <c r="V1809" s="17" t="b">
        <v>0</v>
      </c>
      <c r="W1809" s="11"/>
      <c r="X1809" s="12"/>
      <c r="Y1809" s="12"/>
      <c r="Z1809" s="13"/>
    </row>
    <row r="1810" spans="1:26" ht="19.95" customHeight="1" x14ac:dyDescent="0.3">
      <c r="A1810" s="6"/>
      <c r="B1810" s="7"/>
      <c r="C1810" s="8"/>
      <c r="D1810" s="8"/>
      <c r="E1810" s="8"/>
      <c r="F1810" s="9"/>
      <c r="G1810" s="9"/>
      <c r="H1810" s="9"/>
      <c r="I1810" s="9" t="s">
        <v>14</v>
      </c>
      <c r="J1810" s="10" t="s">
        <v>14</v>
      </c>
      <c r="K1810" s="15" t="e">
        <f>VLOOKUP(J1810,DADOS!$A$3:$B$101,2,FALSE)</f>
        <v>#N/A</v>
      </c>
      <c r="L1810" s="15"/>
      <c r="M1810" s="18" t="b">
        <v>0</v>
      </c>
      <c r="N1810" s="17" t="b">
        <v>0</v>
      </c>
      <c r="O1810" s="17" t="b">
        <v>0</v>
      </c>
      <c r="P1810" s="17" t="b">
        <v>0</v>
      </c>
      <c r="Q1810" s="17" t="b">
        <v>0</v>
      </c>
      <c r="R1810" s="17" t="b">
        <v>0</v>
      </c>
      <c r="S1810" s="17" t="b">
        <v>0</v>
      </c>
      <c r="T1810" s="17" t="b">
        <v>0</v>
      </c>
      <c r="U1810" s="17" t="b">
        <v>0</v>
      </c>
      <c r="V1810" s="17" t="b">
        <v>0</v>
      </c>
      <c r="W1810" s="11"/>
      <c r="X1810" s="12"/>
      <c r="Y1810" s="12"/>
      <c r="Z1810" s="13"/>
    </row>
    <row r="1811" spans="1:26" ht="19.95" customHeight="1" x14ac:dyDescent="0.3">
      <c r="A1811" s="6"/>
      <c r="B1811" s="7"/>
      <c r="C1811" s="8"/>
      <c r="D1811" s="8"/>
      <c r="E1811" s="8"/>
      <c r="F1811" s="9"/>
      <c r="G1811" s="9"/>
      <c r="H1811" s="9"/>
      <c r="I1811" s="9" t="s">
        <v>14</v>
      </c>
      <c r="J1811" s="10" t="s">
        <v>14</v>
      </c>
      <c r="K1811" s="15" t="e">
        <f>VLOOKUP(J1811,DADOS!$A$3:$B$101,2,FALSE)</f>
        <v>#N/A</v>
      </c>
      <c r="L1811" s="15"/>
      <c r="M1811" s="18" t="b">
        <v>0</v>
      </c>
      <c r="N1811" s="17" t="b">
        <v>0</v>
      </c>
      <c r="O1811" s="17" t="b">
        <v>0</v>
      </c>
      <c r="P1811" s="17" t="b">
        <v>0</v>
      </c>
      <c r="Q1811" s="17" t="b">
        <v>0</v>
      </c>
      <c r="R1811" s="17" t="b">
        <v>0</v>
      </c>
      <c r="S1811" s="17" t="b">
        <v>0</v>
      </c>
      <c r="T1811" s="17" t="b">
        <v>0</v>
      </c>
      <c r="U1811" s="17" t="b">
        <v>0</v>
      </c>
      <c r="V1811" s="17" t="b">
        <v>0</v>
      </c>
      <c r="W1811" s="11"/>
      <c r="X1811" s="12"/>
      <c r="Y1811" s="12"/>
      <c r="Z1811" s="13"/>
    </row>
    <row r="1812" spans="1:26" ht="19.95" customHeight="1" x14ac:dyDescent="0.3">
      <c r="A1812" s="6"/>
      <c r="B1812" s="7"/>
      <c r="C1812" s="8"/>
      <c r="D1812" s="8"/>
      <c r="E1812" s="8"/>
      <c r="F1812" s="9"/>
      <c r="G1812" s="9"/>
      <c r="H1812" s="9"/>
      <c r="I1812" s="9" t="s">
        <v>14</v>
      </c>
      <c r="J1812" s="10" t="s">
        <v>14</v>
      </c>
      <c r="K1812" s="15" t="e">
        <f>VLOOKUP(J1812,DADOS!$A$3:$B$101,2,FALSE)</f>
        <v>#N/A</v>
      </c>
      <c r="L1812" s="15"/>
      <c r="M1812" s="18" t="b">
        <v>0</v>
      </c>
      <c r="N1812" s="17" t="b">
        <v>0</v>
      </c>
      <c r="O1812" s="17" t="b">
        <v>0</v>
      </c>
      <c r="P1812" s="17" t="b">
        <v>0</v>
      </c>
      <c r="Q1812" s="17" t="b">
        <v>0</v>
      </c>
      <c r="R1812" s="17" t="b">
        <v>0</v>
      </c>
      <c r="S1812" s="17" t="b">
        <v>0</v>
      </c>
      <c r="T1812" s="17" t="b">
        <v>0</v>
      </c>
      <c r="U1812" s="17" t="b">
        <v>0</v>
      </c>
      <c r="V1812" s="17" t="b">
        <v>0</v>
      </c>
      <c r="W1812" s="11"/>
      <c r="X1812" s="12"/>
      <c r="Y1812" s="12"/>
      <c r="Z1812" s="13"/>
    </row>
    <row r="1813" spans="1:26" ht="19.95" customHeight="1" x14ac:dyDescent="0.3">
      <c r="A1813" s="6"/>
      <c r="B1813" s="7"/>
      <c r="C1813" s="8"/>
      <c r="D1813" s="8"/>
      <c r="E1813" s="8"/>
      <c r="F1813" s="9"/>
      <c r="G1813" s="9"/>
      <c r="H1813" s="9"/>
      <c r="I1813" s="9" t="s">
        <v>14</v>
      </c>
      <c r="J1813" s="10" t="s">
        <v>14</v>
      </c>
      <c r="K1813" s="15" t="e">
        <f>VLOOKUP(J1813,DADOS!$A$3:$B$101,2,FALSE)</f>
        <v>#N/A</v>
      </c>
      <c r="L1813" s="15"/>
      <c r="M1813" s="18" t="b">
        <v>0</v>
      </c>
      <c r="N1813" s="17" t="b">
        <v>0</v>
      </c>
      <c r="O1813" s="17" t="b">
        <v>0</v>
      </c>
      <c r="P1813" s="17" t="b">
        <v>0</v>
      </c>
      <c r="Q1813" s="17" t="b">
        <v>0</v>
      </c>
      <c r="R1813" s="17" t="b">
        <v>0</v>
      </c>
      <c r="S1813" s="17" t="b">
        <v>0</v>
      </c>
      <c r="T1813" s="17" t="b">
        <v>0</v>
      </c>
      <c r="U1813" s="17" t="b">
        <v>0</v>
      </c>
      <c r="V1813" s="17" t="b">
        <v>0</v>
      </c>
      <c r="W1813" s="11"/>
      <c r="X1813" s="12"/>
      <c r="Y1813" s="12"/>
      <c r="Z1813" s="13"/>
    </row>
    <row r="1814" spans="1:26" ht="19.95" customHeight="1" x14ac:dyDescent="0.3">
      <c r="A1814" s="6"/>
      <c r="B1814" s="7"/>
      <c r="C1814" s="8"/>
      <c r="D1814" s="8"/>
      <c r="E1814" s="8"/>
      <c r="F1814" s="9"/>
      <c r="G1814" s="9"/>
      <c r="H1814" s="9"/>
      <c r="I1814" s="9" t="s">
        <v>14</v>
      </c>
      <c r="J1814" s="10" t="s">
        <v>14</v>
      </c>
      <c r="K1814" s="15" t="e">
        <f>VLOOKUP(J1814,DADOS!$A$3:$B$101,2,FALSE)</f>
        <v>#N/A</v>
      </c>
      <c r="L1814" s="15"/>
      <c r="M1814" s="18" t="b">
        <v>0</v>
      </c>
      <c r="N1814" s="17" t="b">
        <v>0</v>
      </c>
      <c r="O1814" s="17" t="b">
        <v>0</v>
      </c>
      <c r="P1814" s="17" t="b">
        <v>0</v>
      </c>
      <c r="Q1814" s="17" t="b">
        <v>0</v>
      </c>
      <c r="R1814" s="17" t="b">
        <v>0</v>
      </c>
      <c r="S1814" s="17" t="b">
        <v>0</v>
      </c>
      <c r="T1814" s="17" t="b">
        <v>0</v>
      </c>
      <c r="U1814" s="17" t="b">
        <v>0</v>
      </c>
      <c r="V1814" s="17" t="b">
        <v>0</v>
      </c>
      <c r="W1814" s="11"/>
      <c r="X1814" s="12"/>
      <c r="Y1814" s="12"/>
      <c r="Z1814" s="13"/>
    </row>
    <row r="1815" spans="1:26" ht="19.95" customHeight="1" x14ac:dyDescent="0.3">
      <c r="A1815" s="6"/>
      <c r="B1815" s="7"/>
      <c r="C1815" s="8"/>
      <c r="D1815" s="8"/>
      <c r="E1815" s="8"/>
      <c r="F1815" s="9"/>
      <c r="G1815" s="9"/>
      <c r="H1815" s="9"/>
      <c r="I1815" s="9" t="s">
        <v>14</v>
      </c>
      <c r="J1815" s="10" t="s">
        <v>14</v>
      </c>
      <c r="K1815" s="15" t="e">
        <f>VLOOKUP(J1815,DADOS!$A$3:$B$101,2,FALSE)</f>
        <v>#N/A</v>
      </c>
      <c r="L1815" s="15"/>
      <c r="M1815" s="18" t="b">
        <v>0</v>
      </c>
      <c r="N1815" s="17" t="b">
        <v>0</v>
      </c>
      <c r="O1815" s="17" t="b">
        <v>0</v>
      </c>
      <c r="P1815" s="17" t="b">
        <v>0</v>
      </c>
      <c r="Q1815" s="17" t="b">
        <v>0</v>
      </c>
      <c r="R1815" s="17" t="b">
        <v>0</v>
      </c>
      <c r="S1815" s="17" t="b">
        <v>0</v>
      </c>
      <c r="T1815" s="17" t="b">
        <v>0</v>
      </c>
      <c r="U1815" s="17" t="b">
        <v>0</v>
      </c>
      <c r="V1815" s="17" t="b">
        <v>0</v>
      </c>
      <c r="W1815" s="11"/>
      <c r="X1815" s="12"/>
      <c r="Y1815" s="12"/>
      <c r="Z1815" s="13"/>
    </row>
    <row r="1816" spans="1:26" ht="19.95" customHeight="1" x14ac:dyDescent="0.3">
      <c r="A1816" s="6"/>
      <c r="B1816" s="7"/>
      <c r="C1816" s="8"/>
      <c r="D1816" s="8"/>
      <c r="E1816" s="8"/>
      <c r="F1816" s="9"/>
      <c r="G1816" s="9"/>
      <c r="H1816" s="9"/>
      <c r="I1816" s="9" t="s">
        <v>14</v>
      </c>
      <c r="J1816" s="10" t="s">
        <v>14</v>
      </c>
      <c r="K1816" s="15" t="e">
        <f>VLOOKUP(J1816,DADOS!$A$3:$B$101,2,FALSE)</f>
        <v>#N/A</v>
      </c>
      <c r="L1816" s="15"/>
      <c r="M1816" s="18" t="b">
        <v>0</v>
      </c>
      <c r="N1816" s="17" t="b">
        <v>0</v>
      </c>
      <c r="O1816" s="17" t="b">
        <v>0</v>
      </c>
      <c r="P1816" s="17" t="b">
        <v>0</v>
      </c>
      <c r="Q1816" s="17" t="b">
        <v>0</v>
      </c>
      <c r="R1816" s="17" t="b">
        <v>0</v>
      </c>
      <c r="S1816" s="17" t="b">
        <v>0</v>
      </c>
      <c r="T1816" s="17" t="b">
        <v>0</v>
      </c>
      <c r="U1816" s="17" t="b">
        <v>0</v>
      </c>
      <c r="V1816" s="17" t="b">
        <v>0</v>
      </c>
      <c r="W1816" s="11"/>
      <c r="X1816" s="12"/>
      <c r="Y1816" s="12"/>
      <c r="Z1816" s="13"/>
    </row>
    <row r="1817" spans="1:26" ht="19.95" customHeight="1" x14ac:dyDescent="0.3">
      <c r="A1817" s="6"/>
      <c r="B1817" s="7"/>
      <c r="C1817" s="8"/>
      <c r="D1817" s="8"/>
      <c r="E1817" s="8"/>
      <c r="F1817" s="9"/>
      <c r="G1817" s="9"/>
      <c r="H1817" s="9"/>
      <c r="I1817" s="9" t="s">
        <v>14</v>
      </c>
      <c r="J1817" s="10" t="s">
        <v>14</v>
      </c>
      <c r="K1817" s="15" t="e">
        <f>VLOOKUP(J1817,DADOS!$A$3:$B$101,2,FALSE)</f>
        <v>#N/A</v>
      </c>
      <c r="L1817" s="15"/>
      <c r="M1817" s="18" t="b">
        <v>0</v>
      </c>
      <c r="N1817" s="17" t="b">
        <v>0</v>
      </c>
      <c r="O1817" s="17" t="b">
        <v>0</v>
      </c>
      <c r="P1817" s="17" t="b">
        <v>0</v>
      </c>
      <c r="Q1817" s="17" t="b">
        <v>0</v>
      </c>
      <c r="R1817" s="17" t="b">
        <v>0</v>
      </c>
      <c r="S1817" s="17" t="b">
        <v>0</v>
      </c>
      <c r="T1817" s="17" t="b">
        <v>0</v>
      </c>
      <c r="U1817" s="17" t="b">
        <v>0</v>
      </c>
      <c r="V1817" s="17" t="b">
        <v>0</v>
      </c>
      <c r="W1817" s="11"/>
      <c r="X1817" s="12"/>
      <c r="Y1817" s="12"/>
      <c r="Z1817" s="13"/>
    </row>
    <row r="1818" spans="1:26" ht="19.95" customHeight="1" x14ac:dyDescent="0.3">
      <c r="A1818" s="6"/>
      <c r="B1818" s="7"/>
      <c r="C1818" s="8"/>
      <c r="D1818" s="8"/>
      <c r="E1818" s="8"/>
      <c r="F1818" s="9"/>
      <c r="G1818" s="9"/>
      <c r="H1818" s="9"/>
      <c r="I1818" s="9" t="s">
        <v>14</v>
      </c>
      <c r="J1818" s="10" t="s">
        <v>14</v>
      </c>
      <c r="K1818" s="15" t="e">
        <f>VLOOKUP(J1818,DADOS!$A$3:$B$101,2,FALSE)</f>
        <v>#N/A</v>
      </c>
      <c r="L1818" s="15"/>
      <c r="M1818" s="18" t="b">
        <v>0</v>
      </c>
      <c r="N1818" s="17" t="b">
        <v>0</v>
      </c>
      <c r="O1818" s="17" t="b">
        <v>0</v>
      </c>
      <c r="P1818" s="17" t="b">
        <v>0</v>
      </c>
      <c r="Q1818" s="17" t="b">
        <v>0</v>
      </c>
      <c r="R1818" s="17" t="b">
        <v>0</v>
      </c>
      <c r="S1818" s="17" t="b">
        <v>0</v>
      </c>
      <c r="T1818" s="17" t="b">
        <v>0</v>
      </c>
      <c r="U1818" s="17" t="b">
        <v>0</v>
      </c>
      <c r="V1818" s="17" t="b">
        <v>0</v>
      </c>
      <c r="W1818" s="11"/>
      <c r="X1818" s="12"/>
      <c r="Y1818" s="12"/>
      <c r="Z1818" s="13"/>
    </row>
    <row r="1819" spans="1:26" ht="19.95" customHeight="1" x14ac:dyDescent="0.3">
      <c r="A1819" s="6"/>
      <c r="B1819" s="7"/>
      <c r="C1819" s="8"/>
      <c r="D1819" s="8"/>
      <c r="E1819" s="8"/>
      <c r="F1819" s="9"/>
      <c r="G1819" s="9"/>
      <c r="H1819" s="9"/>
      <c r="I1819" s="9" t="s">
        <v>14</v>
      </c>
      <c r="J1819" s="10" t="s">
        <v>14</v>
      </c>
      <c r="K1819" s="15" t="e">
        <f>VLOOKUP(J1819,DADOS!$A$3:$B$101,2,FALSE)</f>
        <v>#N/A</v>
      </c>
      <c r="L1819" s="15"/>
      <c r="M1819" s="18" t="b">
        <v>0</v>
      </c>
      <c r="N1819" s="17" t="b">
        <v>0</v>
      </c>
      <c r="O1819" s="17" t="b">
        <v>0</v>
      </c>
      <c r="P1819" s="17" t="b">
        <v>0</v>
      </c>
      <c r="Q1819" s="17" t="b">
        <v>0</v>
      </c>
      <c r="R1819" s="17" t="b">
        <v>0</v>
      </c>
      <c r="S1819" s="17" t="b">
        <v>0</v>
      </c>
      <c r="T1819" s="17" t="b">
        <v>0</v>
      </c>
      <c r="U1819" s="17" t="b">
        <v>0</v>
      </c>
      <c r="V1819" s="17" t="b">
        <v>0</v>
      </c>
      <c r="W1819" s="11"/>
      <c r="X1819" s="12"/>
      <c r="Y1819" s="12"/>
      <c r="Z1819" s="13"/>
    </row>
    <row r="1820" spans="1:26" ht="19.95" customHeight="1" x14ac:dyDescent="0.3">
      <c r="A1820" s="6"/>
      <c r="B1820" s="7"/>
      <c r="C1820" s="8"/>
      <c r="D1820" s="8"/>
      <c r="E1820" s="8"/>
      <c r="F1820" s="9"/>
      <c r="G1820" s="9"/>
      <c r="H1820" s="9"/>
      <c r="I1820" s="9" t="s">
        <v>14</v>
      </c>
      <c r="J1820" s="10" t="s">
        <v>14</v>
      </c>
      <c r="K1820" s="15" t="e">
        <f>VLOOKUP(J1820,DADOS!$A$3:$B$101,2,FALSE)</f>
        <v>#N/A</v>
      </c>
      <c r="L1820" s="15"/>
      <c r="M1820" s="18" t="b">
        <v>0</v>
      </c>
      <c r="N1820" s="17" t="b">
        <v>0</v>
      </c>
      <c r="O1820" s="17" t="b">
        <v>0</v>
      </c>
      <c r="P1820" s="17" t="b">
        <v>0</v>
      </c>
      <c r="Q1820" s="17" t="b">
        <v>0</v>
      </c>
      <c r="R1820" s="17" t="b">
        <v>0</v>
      </c>
      <c r="S1820" s="17" t="b">
        <v>0</v>
      </c>
      <c r="T1820" s="17" t="b">
        <v>0</v>
      </c>
      <c r="U1820" s="17" t="b">
        <v>0</v>
      </c>
      <c r="V1820" s="17" t="b">
        <v>0</v>
      </c>
      <c r="W1820" s="11"/>
      <c r="X1820" s="12"/>
      <c r="Y1820" s="12"/>
      <c r="Z1820" s="13"/>
    </row>
    <row r="1821" spans="1:26" ht="19.95" customHeight="1" x14ac:dyDescent="0.3">
      <c r="A1821" s="6"/>
      <c r="B1821" s="7"/>
      <c r="C1821" s="8"/>
      <c r="D1821" s="8"/>
      <c r="E1821" s="8"/>
      <c r="F1821" s="9"/>
      <c r="G1821" s="9"/>
      <c r="H1821" s="9"/>
      <c r="I1821" s="9" t="s">
        <v>14</v>
      </c>
      <c r="J1821" s="10" t="s">
        <v>14</v>
      </c>
      <c r="K1821" s="15" t="e">
        <f>VLOOKUP(J1821,DADOS!$A$3:$B$101,2,FALSE)</f>
        <v>#N/A</v>
      </c>
      <c r="L1821" s="15"/>
      <c r="M1821" s="18" t="b">
        <v>0</v>
      </c>
      <c r="N1821" s="17" t="b">
        <v>0</v>
      </c>
      <c r="O1821" s="17" t="b">
        <v>0</v>
      </c>
      <c r="P1821" s="17" t="b">
        <v>0</v>
      </c>
      <c r="Q1821" s="17" t="b">
        <v>0</v>
      </c>
      <c r="R1821" s="17" t="b">
        <v>0</v>
      </c>
      <c r="S1821" s="17" t="b">
        <v>0</v>
      </c>
      <c r="T1821" s="17" t="b">
        <v>0</v>
      </c>
      <c r="U1821" s="17" t="b">
        <v>0</v>
      </c>
      <c r="V1821" s="17" t="b">
        <v>0</v>
      </c>
      <c r="W1821" s="11"/>
      <c r="X1821" s="12"/>
      <c r="Y1821" s="12"/>
      <c r="Z1821" s="13"/>
    </row>
    <row r="1822" spans="1:26" ht="19.95" customHeight="1" x14ac:dyDescent="0.3">
      <c r="A1822" s="6"/>
      <c r="B1822" s="7"/>
      <c r="C1822" s="8"/>
      <c r="D1822" s="8"/>
      <c r="E1822" s="8"/>
      <c r="F1822" s="9"/>
      <c r="G1822" s="9"/>
      <c r="H1822" s="9"/>
      <c r="I1822" s="9" t="s">
        <v>14</v>
      </c>
      <c r="J1822" s="10" t="s">
        <v>14</v>
      </c>
      <c r="K1822" s="15" t="e">
        <f>VLOOKUP(J1822,DADOS!$A$3:$B$101,2,FALSE)</f>
        <v>#N/A</v>
      </c>
      <c r="L1822" s="15"/>
      <c r="M1822" s="18" t="b">
        <v>0</v>
      </c>
      <c r="N1822" s="17" t="b">
        <v>0</v>
      </c>
      <c r="O1822" s="17" t="b">
        <v>0</v>
      </c>
      <c r="P1822" s="17" t="b">
        <v>0</v>
      </c>
      <c r="Q1822" s="17" t="b">
        <v>0</v>
      </c>
      <c r="R1822" s="17" t="b">
        <v>0</v>
      </c>
      <c r="S1822" s="17" t="b">
        <v>0</v>
      </c>
      <c r="T1822" s="17" t="b">
        <v>0</v>
      </c>
      <c r="U1822" s="17" t="b">
        <v>0</v>
      </c>
      <c r="V1822" s="17" t="b">
        <v>0</v>
      </c>
      <c r="W1822" s="11"/>
      <c r="X1822" s="12"/>
      <c r="Y1822" s="12"/>
      <c r="Z1822" s="13"/>
    </row>
    <row r="1823" spans="1:26" ht="19.95" customHeight="1" x14ac:dyDescent="0.3">
      <c r="A1823" s="6"/>
      <c r="B1823" s="7"/>
      <c r="C1823" s="8"/>
      <c r="D1823" s="8"/>
      <c r="E1823" s="8"/>
      <c r="F1823" s="9"/>
      <c r="G1823" s="9"/>
      <c r="H1823" s="9"/>
      <c r="I1823" s="9" t="s">
        <v>14</v>
      </c>
      <c r="J1823" s="10" t="s">
        <v>14</v>
      </c>
      <c r="K1823" s="15" t="e">
        <f>VLOOKUP(J1823,DADOS!$A$3:$B$101,2,FALSE)</f>
        <v>#N/A</v>
      </c>
      <c r="L1823" s="15"/>
      <c r="M1823" s="18" t="b">
        <v>0</v>
      </c>
      <c r="N1823" s="17" t="b">
        <v>0</v>
      </c>
      <c r="O1823" s="17" t="b">
        <v>0</v>
      </c>
      <c r="P1823" s="17" t="b">
        <v>0</v>
      </c>
      <c r="Q1823" s="17" t="b">
        <v>0</v>
      </c>
      <c r="R1823" s="17" t="b">
        <v>0</v>
      </c>
      <c r="S1823" s="17" t="b">
        <v>0</v>
      </c>
      <c r="T1823" s="17" t="b">
        <v>0</v>
      </c>
      <c r="U1823" s="17" t="b">
        <v>0</v>
      </c>
      <c r="V1823" s="17" t="b">
        <v>0</v>
      </c>
      <c r="W1823" s="11"/>
      <c r="X1823" s="12"/>
      <c r="Y1823" s="12"/>
      <c r="Z1823" s="13"/>
    </row>
    <row r="1824" spans="1:26" ht="19.95" customHeight="1" x14ac:dyDescent="0.3">
      <c r="A1824" s="6"/>
      <c r="B1824" s="7"/>
      <c r="C1824" s="8"/>
      <c r="D1824" s="8"/>
      <c r="E1824" s="8"/>
      <c r="F1824" s="9"/>
      <c r="G1824" s="9"/>
      <c r="H1824" s="9"/>
      <c r="I1824" s="9" t="s">
        <v>14</v>
      </c>
      <c r="J1824" s="10" t="s">
        <v>14</v>
      </c>
      <c r="K1824" s="15" t="e">
        <f>VLOOKUP(J1824,DADOS!$A$3:$B$101,2,FALSE)</f>
        <v>#N/A</v>
      </c>
      <c r="L1824" s="15"/>
      <c r="M1824" s="18" t="b">
        <v>0</v>
      </c>
      <c r="N1824" s="17" t="b">
        <v>0</v>
      </c>
      <c r="O1824" s="17" t="b">
        <v>0</v>
      </c>
      <c r="P1824" s="17" t="b">
        <v>0</v>
      </c>
      <c r="Q1824" s="17" t="b">
        <v>0</v>
      </c>
      <c r="R1824" s="17" t="b">
        <v>0</v>
      </c>
      <c r="S1824" s="17" t="b">
        <v>0</v>
      </c>
      <c r="T1824" s="17" t="b">
        <v>0</v>
      </c>
      <c r="U1824" s="17" t="b">
        <v>0</v>
      </c>
      <c r="V1824" s="17" t="b">
        <v>0</v>
      </c>
      <c r="W1824" s="11"/>
      <c r="X1824" s="12"/>
      <c r="Y1824" s="12"/>
      <c r="Z1824" s="13"/>
    </row>
    <row r="1825" spans="1:26" ht="19.95" customHeight="1" x14ac:dyDescent="0.3">
      <c r="A1825" s="6"/>
      <c r="B1825" s="7"/>
      <c r="C1825" s="8"/>
      <c r="D1825" s="8"/>
      <c r="E1825" s="8"/>
      <c r="F1825" s="9"/>
      <c r="G1825" s="9"/>
      <c r="H1825" s="9"/>
      <c r="I1825" s="9" t="s">
        <v>14</v>
      </c>
      <c r="J1825" s="10" t="s">
        <v>14</v>
      </c>
      <c r="K1825" s="15" t="e">
        <f>VLOOKUP(J1825,DADOS!$A$3:$B$101,2,FALSE)</f>
        <v>#N/A</v>
      </c>
      <c r="L1825" s="15"/>
      <c r="M1825" s="18" t="b">
        <v>0</v>
      </c>
      <c r="N1825" s="17" t="b">
        <v>0</v>
      </c>
      <c r="O1825" s="17" t="b">
        <v>0</v>
      </c>
      <c r="P1825" s="17" t="b">
        <v>0</v>
      </c>
      <c r="Q1825" s="17" t="b">
        <v>0</v>
      </c>
      <c r="R1825" s="17" t="b">
        <v>0</v>
      </c>
      <c r="S1825" s="17" t="b">
        <v>0</v>
      </c>
      <c r="T1825" s="17" t="b">
        <v>0</v>
      </c>
      <c r="U1825" s="17" t="b">
        <v>0</v>
      </c>
      <c r="V1825" s="17" t="b">
        <v>0</v>
      </c>
      <c r="W1825" s="11"/>
      <c r="X1825" s="12"/>
      <c r="Y1825" s="12"/>
      <c r="Z1825" s="13"/>
    </row>
    <row r="1826" spans="1:26" ht="19.95" customHeight="1" x14ac:dyDescent="0.3">
      <c r="A1826" s="6"/>
      <c r="B1826" s="7"/>
      <c r="C1826" s="8"/>
      <c r="D1826" s="8"/>
      <c r="E1826" s="8"/>
      <c r="F1826" s="9"/>
      <c r="G1826" s="9"/>
      <c r="H1826" s="9"/>
      <c r="I1826" s="9" t="s">
        <v>14</v>
      </c>
      <c r="J1826" s="10" t="s">
        <v>14</v>
      </c>
      <c r="K1826" s="15" t="e">
        <f>VLOOKUP(J1826,DADOS!$A$3:$B$101,2,FALSE)</f>
        <v>#N/A</v>
      </c>
      <c r="L1826" s="15"/>
      <c r="M1826" s="18" t="b">
        <v>0</v>
      </c>
      <c r="N1826" s="17" t="b">
        <v>0</v>
      </c>
      <c r="O1826" s="17" t="b">
        <v>0</v>
      </c>
      <c r="P1826" s="17" t="b">
        <v>0</v>
      </c>
      <c r="Q1826" s="17" t="b">
        <v>0</v>
      </c>
      <c r="R1826" s="17" t="b">
        <v>0</v>
      </c>
      <c r="S1826" s="17" t="b">
        <v>0</v>
      </c>
      <c r="T1826" s="17" t="b">
        <v>0</v>
      </c>
      <c r="U1826" s="17" t="b">
        <v>0</v>
      </c>
      <c r="V1826" s="17" t="b">
        <v>0</v>
      </c>
      <c r="W1826" s="11"/>
      <c r="X1826" s="12"/>
      <c r="Y1826" s="12"/>
      <c r="Z1826" s="13"/>
    </row>
    <row r="1827" spans="1:26" ht="19.95" customHeight="1" x14ac:dyDescent="0.3">
      <c r="A1827" s="6"/>
      <c r="B1827" s="7"/>
      <c r="C1827" s="8"/>
      <c r="D1827" s="8"/>
      <c r="E1827" s="8"/>
      <c r="F1827" s="9"/>
      <c r="G1827" s="9"/>
      <c r="H1827" s="9"/>
      <c r="I1827" s="9" t="s">
        <v>14</v>
      </c>
      <c r="J1827" s="10" t="s">
        <v>14</v>
      </c>
      <c r="K1827" s="15" t="e">
        <f>VLOOKUP(J1827,DADOS!$A$3:$B$101,2,FALSE)</f>
        <v>#N/A</v>
      </c>
      <c r="L1827" s="15"/>
      <c r="M1827" s="18" t="b">
        <v>0</v>
      </c>
      <c r="N1827" s="17" t="b">
        <v>0</v>
      </c>
      <c r="O1827" s="17" t="b">
        <v>0</v>
      </c>
      <c r="P1827" s="17" t="b">
        <v>0</v>
      </c>
      <c r="Q1827" s="17" t="b">
        <v>0</v>
      </c>
      <c r="R1827" s="17" t="b">
        <v>0</v>
      </c>
      <c r="S1827" s="17" t="b">
        <v>0</v>
      </c>
      <c r="T1827" s="17" t="b">
        <v>0</v>
      </c>
      <c r="U1827" s="17" t="b">
        <v>0</v>
      </c>
      <c r="V1827" s="17" t="b">
        <v>0</v>
      </c>
      <c r="W1827" s="11"/>
      <c r="X1827" s="12"/>
      <c r="Y1827" s="12"/>
      <c r="Z1827" s="13"/>
    </row>
    <row r="1828" spans="1:26" ht="19.95" customHeight="1" x14ac:dyDescent="0.3">
      <c r="A1828" s="6"/>
      <c r="B1828" s="7"/>
      <c r="C1828" s="8"/>
      <c r="D1828" s="8"/>
      <c r="E1828" s="8"/>
      <c r="F1828" s="9"/>
      <c r="G1828" s="9"/>
      <c r="H1828" s="9"/>
      <c r="I1828" s="9" t="s">
        <v>14</v>
      </c>
      <c r="J1828" s="10" t="s">
        <v>14</v>
      </c>
      <c r="K1828" s="15" t="e">
        <f>VLOOKUP(J1828,DADOS!$A$3:$B$101,2,FALSE)</f>
        <v>#N/A</v>
      </c>
      <c r="L1828" s="15"/>
      <c r="M1828" s="18" t="b">
        <v>0</v>
      </c>
      <c r="N1828" s="17" t="b">
        <v>0</v>
      </c>
      <c r="O1828" s="17" t="b">
        <v>0</v>
      </c>
      <c r="P1828" s="17" t="b">
        <v>0</v>
      </c>
      <c r="Q1828" s="17" t="b">
        <v>0</v>
      </c>
      <c r="R1828" s="17" t="b">
        <v>0</v>
      </c>
      <c r="S1828" s="17" t="b">
        <v>0</v>
      </c>
      <c r="T1828" s="17" t="b">
        <v>0</v>
      </c>
      <c r="U1828" s="17" t="b">
        <v>0</v>
      </c>
      <c r="V1828" s="17" t="b">
        <v>0</v>
      </c>
      <c r="W1828" s="11"/>
      <c r="X1828" s="12"/>
      <c r="Y1828" s="12"/>
      <c r="Z1828" s="13"/>
    </row>
    <row r="1829" spans="1:26" ht="19.95" customHeight="1" x14ac:dyDescent="0.3">
      <c r="A1829" s="6"/>
      <c r="B1829" s="7"/>
      <c r="C1829" s="8"/>
      <c r="D1829" s="8"/>
      <c r="E1829" s="8"/>
      <c r="F1829" s="9"/>
      <c r="G1829" s="9"/>
      <c r="H1829" s="9"/>
      <c r="I1829" s="9" t="s">
        <v>14</v>
      </c>
      <c r="J1829" s="10" t="s">
        <v>14</v>
      </c>
      <c r="K1829" s="15" t="e">
        <f>VLOOKUP(J1829,DADOS!$A$3:$B$101,2,FALSE)</f>
        <v>#N/A</v>
      </c>
      <c r="L1829" s="15"/>
      <c r="M1829" s="18" t="b">
        <v>0</v>
      </c>
      <c r="N1829" s="17" t="b">
        <v>0</v>
      </c>
      <c r="O1829" s="17" t="b">
        <v>0</v>
      </c>
      <c r="P1829" s="17" t="b">
        <v>0</v>
      </c>
      <c r="Q1829" s="17" t="b">
        <v>0</v>
      </c>
      <c r="R1829" s="17" t="b">
        <v>0</v>
      </c>
      <c r="S1829" s="17" t="b">
        <v>0</v>
      </c>
      <c r="T1829" s="17" t="b">
        <v>0</v>
      </c>
      <c r="U1829" s="17" t="b">
        <v>0</v>
      </c>
      <c r="V1829" s="17" t="b">
        <v>0</v>
      </c>
      <c r="W1829" s="11"/>
      <c r="X1829" s="12"/>
      <c r="Y1829" s="12"/>
      <c r="Z1829" s="13"/>
    </row>
    <row r="1830" spans="1:26" ht="19.95" customHeight="1" x14ac:dyDescent="0.3">
      <c r="A1830" s="6"/>
      <c r="B1830" s="7"/>
      <c r="C1830" s="8"/>
      <c r="D1830" s="8"/>
      <c r="E1830" s="8"/>
      <c r="F1830" s="9"/>
      <c r="G1830" s="9"/>
      <c r="H1830" s="9"/>
      <c r="I1830" s="9" t="s">
        <v>14</v>
      </c>
      <c r="J1830" s="10" t="s">
        <v>14</v>
      </c>
      <c r="K1830" s="15" t="e">
        <f>VLOOKUP(J1830,DADOS!$A$3:$B$101,2,FALSE)</f>
        <v>#N/A</v>
      </c>
      <c r="L1830" s="15"/>
      <c r="M1830" s="18" t="b">
        <v>0</v>
      </c>
      <c r="N1830" s="17" t="b">
        <v>0</v>
      </c>
      <c r="O1830" s="17" t="b">
        <v>0</v>
      </c>
      <c r="P1830" s="17" t="b">
        <v>0</v>
      </c>
      <c r="Q1830" s="17" t="b">
        <v>0</v>
      </c>
      <c r="R1830" s="17" t="b">
        <v>0</v>
      </c>
      <c r="S1830" s="17" t="b">
        <v>0</v>
      </c>
      <c r="T1830" s="17" t="b">
        <v>0</v>
      </c>
      <c r="U1830" s="17" t="b">
        <v>0</v>
      </c>
      <c r="V1830" s="17" t="b">
        <v>0</v>
      </c>
      <c r="W1830" s="11"/>
      <c r="X1830" s="12"/>
      <c r="Y1830" s="12"/>
      <c r="Z1830" s="13"/>
    </row>
    <row r="1831" spans="1:26" ht="19.95" customHeight="1" x14ac:dyDescent="0.3">
      <c r="A1831" s="6"/>
      <c r="B1831" s="7"/>
      <c r="C1831" s="8"/>
      <c r="D1831" s="8"/>
      <c r="E1831" s="8"/>
      <c r="F1831" s="9"/>
      <c r="G1831" s="9"/>
      <c r="H1831" s="9"/>
      <c r="I1831" s="9" t="s">
        <v>14</v>
      </c>
      <c r="J1831" s="10" t="s">
        <v>14</v>
      </c>
      <c r="K1831" s="15" t="e">
        <f>VLOOKUP(J1831,DADOS!$A$3:$B$101,2,FALSE)</f>
        <v>#N/A</v>
      </c>
      <c r="L1831" s="15"/>
      <c r="M1831" s="18" t="b">
        <v>0</v>
      </c>
      <c r="N1831" s="17" t="b">
        <v>0</v>
      </c>
      <c r="O1831" s="17" t="b">
        <v>0</v>
      </c>
      <c r="P1831" s="17" t="b">
        <v>0</v>
      </c>
      <c r="Q1831" s="17" t="b">
        <v>0</v>
      </c>
      <c r="R1831" s="17" t="b">
        <v>0</v>
      </c>
      <c r="S1831" s="17" t="b">
        <v>0</v>
      </c>
      <c r="T1831" s="17" t="b">
        <v>0</v>
      </c>
      <c r="U1831" s="17" t="b">
        <v>0</v>
      </c>
      <c r="V1831" s="17" t="b">
        <v>0</v>
      </c>
      <c r="W1831" s="11"/>
      <c r="X1831" s="12"/>
      <c r="Y1831" s="12"/>
      <c r="Z1831" s="13"/>
    </row>
    <row r="1832" spans="1:26" ht="19.95" customHeight="1" x14ac:dyDescent="0.3">
      <c r="A1832" s="6"/>
      <c r="B1832" s="7"/>
      <c r="C1832" s="8"/>
      <c r="D1832" s="8"/>
      <c r="E1832" s="8"/>
      <c r="F1832" s="9"/>
      <c r="G1832" s="9"/>
      <c r="H1832" s="9"/>
      <c r="I1832" s="9" t="s">
        <v>14</v>
      </c>
      <c r="J1832" s="10" t="s">
        <v>14</v>
      </c>
      <c r="K1832" s="15" t="e">
        <f>VLOOKUP(J1832,DADOS!$A$3:$B$101,2,FALSE)</f>
        <v>#N/A</v>
      </c>
      <c r="L1832" s="15"/>
      <c r="M1832" s="18" t="b">
        <v>0</v>
      </c>
      <c r="N1832" s="17" t="b">
        <v>0</v>
      </c>
      <c r="O1832" s="17" t="b">
        <v>0</v>
      </c>
      <c r="P1832" s="17" t="b">
        <v>0</v>
      </c>
      <c r="Q1832" s="17" t="b">
        <v>0</v>
      </c>
      <c r="R1832" s="17" t="b">
        <v>0</v>
      </c>
      <c r="S1832" s="17" t="b">
        <v>0</v>
      </c>
      <c r="T1832" s="17" t="b">
        <v>0</v>
      </c>
      <c r="U1832" s="17" t="b">
        <v>0</v>
      </c>
      <c r="V1832" s="17" t="b">
        <v>0</v>
      </c>
      <c r="W1832" s="11"/>
      <c r="X1832" s="12"/>
      <c r="Y1832" s="12"/>
      <c r="Z1832" s="13"/>
    </row>
    <row r="1833" spans="1:26" ht="19.95" customHeight="1" x14ac:dyDescent="0.3">
      <c r="A1833" s="6"/>
      <c r="B1833" s="7"/>
      <c r="C1833" s="8"/>
      <c r="D1833" s="8"/>
      <c r="E1833" s="8"/>
      <c r="F1833" s="9"/>
      <c r="G1833" s="9"/>
      <c r="H1833" s="9"/>
      <c r="I1833" s="9" t="s">
        <v>14</v>
      </c>
      <c r="J1833" s="10" t="s">
        <v>14</v>
      </c>
      <c r="K1833" s="15" t="e">
        <f>VLOOKUP(J1833,DADOS!$A$3:$B$101,2,FALSE)</f>
        <v>#N/A</v>
      </c>
      <c r="L1833" s="15"/>
      <c r="M1833" s="18" t="b">
        <v>0</v>
      </c>
      <c r="N1833" s="17" t="b">
        <v>0</v>
      </c>
      <c r="O1833" s="17" t="b">
        <v>0</v>
      </c>
      <c r="P1833" s="17" t="b">
        <v>0</v>
      </c>
      <c r="Q1833" s="17" t="b">
        <v>0</v>
      </c>
      <c r="R1833" s="17" t="b">
        <v>0</v>
      </c>
      <c r="S1833" s="17" t="b">
        <v>0</v>
      </c>
      <c r="T1833" s="17" t="b">
        <v>0</v>
      </c>
      <c r="U1833" s="17" t="b">
        <v>0</v>
      </c>
      <c r="V1833" s="17" t="b">
        <v>0</v>
      </c>
      <c r="W1833" s="11"/>
      <c r="X1833" s="12"/>
      <c r="Y1833" s="12"/>
      <c r="Z1833" s="13"/>
    </row>
    <row r="1834" spans="1:26" ht="19.95" customHeight="1" x14ac:dyDescent="0.3">
      <c r="A1834" s="6"/>
      <c r="B1834" s="7"/>
      <c r="C1834" s="8"/>
      <c r="D1834" s="8"/>
      <c r="E1834" s="8"/>
      <c r="F1834" s="9"/>
      <c r="G1834" s="9"/>
      <c r="H1834" s="9"/>
      <c r="I1834" s="9" t="s">
        <v>14</v>
      </c>
      <c r="J1834" s="10" t="s">
        <v>14</v>
      </c>
      <c r="K1834" s="15" t="e">
        <f>VLOOKUP(J1834,DADOS!$A$3:$B$101,2,FALSE)</f>
        <v>#N/A</v>
      </c>
      <c r="L1834" s="15"/>
      <c r="M1834" s="18" t="b">
        <v>0</v>
      </c>
      <c r="N1834" s="17" t="b">
        <v>0</v>
      </c>
      <c r="O1834" s="17" t="b">
        <v>0</v>
      </c>
      <c r="P1834" s="17" t="b">
        <v>0</v>
      </c>
      <c r="Q1834" s="17" t="b">
        <v>0</v>
      </c>
      <c r="R1834" s="17" t="b">
        <v>0</v>
      </c>
      <c r="S1834" s="17" t="b">
        <v>0</v>
      </c>
      <c r="T1834" s="17" t="b">
        <v>0</v>
      </c>
      <c r="U1834" s="17" t="b">
        <v>0</v>
      </c>
      <c r="V1834" s="17" t="b">
        <v>0</v>
      </c>
      <c r="W1834" s="11"/>
      <c r="X1834" s="12"/>
      <c r="Y1834" s="12"/>
      <c r="Z1834" s="13"/>
    </row>
    <row r="1835" spans="1:26" ht="19.95" customHeight="1" x14ac:dyDescent="0.3">
      <c r="A1835" s="6"/>
      <c r="B1835" s="7"/>
      <c r="C1835" s="8"/>
      <c r="D1835" s="8"/>
      <c r="E1835" s="8"/>
      <c r="F1835" s="9"/>
      <c r="G1835" s="9"/>
      <c r="H1835" s="9"/>
      <c r="I1835" s="9" t="s">
        <v>14</v>
      </c>
      <c r="J1835" s="10" t="s">
        <v>14</v>
      </c>
      <c r="K1835" s="15" t="e">
        <f>VLOOKUP(J1835,DADOS!$A$3:$B$101,2,FALSE)</f>
        <v>#N/A</v>
      </c>
      <c r="L1835" s="15"/>
      <c r="M1835" s="18" t="b">
        <v>0</v>
      </c>
      <c r="N1835" s="17" t="b">
        <v>0</v>
      </c>
      <c r="O1835" s="17" t="b">
        <v>0</v>
      </c>
      <c r="P1835" s="17" t="b">
        <v>0</v>
      </c>
      <c r="Q1835" s="17" t="b">
        <v>0</v>
      </c>
      <c r="R1835" s="17" t="b">
        <v>0</v>
      </c>
      <c r="S1835" s="17" t="b">
        <v>0</v>
      </c>
      <c r="T1835" s="17" t="b">
        <v>0</v>
      </c>
      <c r="U1835" s="17" t="b">
        <v>0</v>
      </c>
      <c r="V1835" s="17" t="b">
        <v>0</v>
      </c>
      <c r="W1835" s="11"/>
      <c r="X1835" s="12"/>
      <c r="Y1835" s="12"/>
      <c r="Z1835" s="13"/>
    </row>
    <row r="1836" spans="1:26" ht="19.95" customHeight="1" x14ac:dyDescent="0.3">
      <c r="A1836" s="6"/>
      <c r="B1836" s="7"/>
      <c r="C1836" s="8"/>
      <c r="D1836" s="8"/>
      <c r="E1836" s="8"/>
      <c r="F1836" s="9"/>
      <c r="G1836" s="9"/>
      <c r="H1836" s="9"/>
      <c r="I1836" s="9" t="s">
        <v>14</v>
      </c>
      <c r="J1836" s="10" t="s">
        <v>14</v>
      </c>
      <c r="K1836" s="15" t="e">
        <f>VLOOKUP(J1836,DADOS!$A$3:$B$101,2,FALSE)</f>
        <v>#N/A</v>
      </c>
      <c r="L1836" s="15"/>
      <c r="M1836" s="18" t="b">
        <v>0</v>
      </c>
      <c r="N1836" s="17" t="b">
        <v>0</v>
      </c>
      <c r="O1836" s="17" t="b">
        <v>0</v>
      </c>
      <c r="P1836" s="17" t="b">
        <v>0</v>
      </c>
      <c r="Q1836" s="17" t="b">
        <v>0</v>
      </c>
      <c r="R1836" s="17" t="b">
        <v>0</v>
      </c>
      <c r="S1836" s="17" t="b">
        <v>0</v>
      </c>
      <c r="T1836" s="17" t="b">
        <v>0</v>
      </c>
      <c r="U1836" s="17" t="b">
        <v>0</v>
      </c>
      <c r="V1836" s="17" t="b">
        <v>0</v>
      </c>
      <c r="W1836" s="11"/>
      <c r="X1836" s="12"/>
      <c r="Y1836" s="12"/>
      <c r="Z1836" s="13"/>
    </row>
    <row r="1837" spans="1:26" ht="19.95" customHeight="1" x14ac:dyDescent="0.3">
      <c r="A1837" s="6"/>
      <c r="B1837" s="7"/>
      <c r="C1837" s="8"/>
      <c r="D1837" s="8"/>
      <c r="E1837" s="8"/>
      <c r="F1837" s="9"/>
      <c r="G1837" s="9"/>
      <c r="H1837" s="9"/>
      <c r="I1837" s="9" t="s">
        <v>14</v>
      </c>
      <c r="J1837" s="10" t="s">
        <v>14</v>
      </c>
      <c r="K1837" s="15" t="e">
        <f>VLOOKUP(J1837,DADOS!$A$3:$B$101,2,FALSE)</f>
        <v>#N/A</v>
      </c>
      <c r="L1837" s="15"/>
      <c r="M1837" s="18" t="b">
        <v>0</v>
      </c>
      <c r="N1837" s="17" t="b">
        <v>0</v>
      </c>
      <c r="O1837" s="17" t="b">
        <v>0</v>
      </c>
      <c r="P1837" s="17" t="b">
        <v>0</v>
      </c>
      <c r="Q1837" s="17" t="b">
        <v>0</v>
      </c>
      <c r="R1837" s="17" t="b">
        <v>0</v>
      </c>
      <c r="S1837" s="17" t="b">
        <v>0</v>
      </c>
      <c r="T1837" s="17" t="b">
        <v>0</v>
      </c>
      <c r="U1837" s="17" t="b">
        <v>0</v>
      </c>
      <c r="V1837" s="17" t="b">
        <v>0</v>
      </c>
      <c r="W1837" s="11"/>
      <c r="X1837" s="12"/>
      <c r="Y1837" s="12"/>
      <c r="Z1837" s="13"/>
    </row>
    <row r="1838" spans="1:26" ht="19.95" customHeight="1" x14ac:dyDescent="0.3">
      <c r="A1838" s="6"/>
      <c r="B1838" s="7"/>
      <c r="C1838" s="8"/>
      <c r="D1838" s="8"/>
      <c r="E1838" s="8"/>
      <c r="F1838" s="9"/>
      <c r="G1838" s="9"/>
      <c r="H1838" s="9"/>
      <c r="I1838" s="9" t="s">
        <v>14</v>
      </c>
      <c r="J1838" s="10" t="s">
        <v>14</v>
      </c>
      <c r="K1838" s="15" t="e">
        <f>VLOOKUP(J1838,DADOS!$A$3:$B$101,2,FALSE)</f>
        <v>#N/A</v>
      </c>
      <c r="L1838" s="15"/>
      <c r="M1838" s="18" t="b">
        <v>0</v>
      </c>
      <c r="N1838" s="17" t="b">
        <v>0</v>
      </c>
      <c r="O1838" s="17" t="b">
        <v>0</v>
      </c>
      <c r="P1838" s="17" t="b">
        <v>0</v>
      </c>
      <c r="Q1838" s="17" t="b">
        <v>0</v>
      </c>
      <c r="R1838" s="17" t="b">
        <v>0</v>
      </c>
      <c r="S1838" s="17" t="b">
        <v>0</v>
      </c>
      <c r="T1838" s="17" t="b">
        <v>0</v>
      </c>
      <c r="U1838" s="17" t="b">
        <v>0</v>
      </c>
      <c r="V1838" s="17" t="b">
        <v>0</v>
      </c>
      <c r="W1838" s="11"/>
      <c r="X1838" s="12"/>
      <c r="Y1838" s="12"/>
      <c r="Z1838" s="13"/>
    </row>
    <row r="1839" spans="1:26" ht="19.95" customHeight="1" x14ac:dyDescent="0.3">
      <c r="A1839" s="6"/>
      <c r="B1839" s="7"/>
      <c r="C1839" s="8"/>
      <c r="D1839" s="8"/>
      <c r="E1839" s="8"/>
      <c r="F1839" s="9"/>
      <c r="G1839" s="9"/>
      <c r="H1839" s="9"/>
      <c r="I1839" s="9" t="s">
        <v>14</v>
      </c>
      <c r="J1839" s="10" t="s">
        <v>14</v>
      </c>
      <c r="K1839" s="15" t="e">
        <f>VLOOKUP(J1839,DADOS!$A$3:$B$101,2,FALSE)</f>
        <v>#N/A</v>
      </c>
      <c r="L1839" s="15"/>
      <c r="M1839" s="18" t="b">
        <v>0</v>
      </c>
      <c r="N1839" s="17" t="b">
        <v>0</v>
      </c>
      <c r="O1839" s="17" t="b">
        <v>0</v>
      </c>
      <c r="P1839" s="17" t="b">
        <v>0</v>
      </c>
      <c r="Q1839" s="17" t="b">
        <v>0</v>
      </c>
      <c r="R1839" s="17" t="b">
        <v>0</v>
      </c>
      <c r="S1839" s="17" t="b">
        <v>0</v>
      </c>
      <c r="T1839" s="17" t="b">
        <v>0</v>
      </c>
      <c r="U1839" s="17" t="b">
        <v>0</v>
      </c>
      <c r="V1839" s="17" t="b">
        <v>0</v>
      </c>
      <c r="W1839" s="11"/>
      <c r="X1839" s="12"/>
      <c r="Y1839" s="12"/>
      <c r="Z1839" s="13"/>
    </row>
    <row r="1840" spans="1:26" ht="19.95" customHeight="1" x14ac:dyDescent="0.3">
      <c r="A1840" s="6"/>
      <c r="B1840" s="7"/>
      <c r="C1840" s="8"/>
      <c r="D1840" s="8"/>
      <c r="E1840" s="8"/>
      <c r="F1840" s="9"/>
      <c r="G1840" s="9"/>
      <c r="H1840" s="9"/>
      <c r="I1840" s="9" t="s">
        <v>14</v>
      </c>
      <c r="J1840" s="10" t="s">
        <v>14</v>
      </c>
      <c r="K1840" s="15" t="e">
        <f>VLOOKUP(J1840,DADOS!$A$3:$B$101,2,FALSE)</f>
        <v>#N/A</v>
      </c>
      <c r="L1840" s="15"/>
      <c r="M1840" s="18" t="b">
        <v>0</v>
      </c>
      <c r="N1840" s="17" t="b">
        <v>0</v>
      </c>
      <c r="O1840" s="17" t="b">
        <v>0</v>
      </c>
      <c r="P1840" s="17" t="b">
        <v>0</v>
      </c>
      <c r="Q1840" s="17" t="b">
        <v>0</v>
      </c>
      <c r="R1840" s="17" t="b">
        <v>0</v>
      </c>
      <c r="S1840" s="17" t="b">
        <v>0</v>
      </c>
      <c r="T1840" s="17" t="b">
        <v>0</v>
      </c>
      <c r="U1840" s="17" t="b">
        <v>0</v>
      </c>
      <c r="V1840" s="17" t="b">
        <v>0</v>
      </c>
      <c r="W1840" s="11"/>
      <c r="X1840" s="12"/>
      <c r="Y1840" s="12"/>
      <c r="Z1840" s="13"/>
    </row>
    <row r="1841" spans="1:26" ht="19.95" customHeight="1" x14ac:dyDescent="0.3">
      <c r="A1841" s="6"/>
      <c r="B1841" s="7"/>
      <c r="C1841" s="8"/>
      <c r="D1841" s="8"/>
      <c r="E1841" s="8"/>
      <c r="F1841" s="9"/>
      <c r="G1841" s="9"/>
      <c r="H1841" s="9"/>
      <c r="I1841" s="9" t="s">
        <v>14</v>
      </c>
      <c r="J1841" s="10" t="s">
        <v>14</v>
      </c>
      <c r="K1841" s="15" t="e">
        <f>VLOOKUP(J1841,DADOS!$A$3:$B$101,2,FALSE)</f>
        <v>#N/A</v>
      </c>
      <c r="L1841" s="15"/>
      <c r="M1841" s="18" t="b">
        <v>0</v>
      </c>
      <c r="N1841" s="17" t="b">
        <v>0</v>
      </c>
      <c r="O1841" s="17" t="b">
        <v>0</v>
      </c>
      <c r="P1841" s="17" t="b">
        <v>0</v>
      </c>
      <c r="Q1841" s="17" t="b">
        <v>0</v>
      </c>
      <c r="R1841" s="17" t="b">
        <v>0</v>
      </c>
      <c r="S1841" s="17" t="b">
        <v>0</v>
      </c>
      <c r="T1841" s="17" t="b">
        <v>0</v>
      </c>
      <c r="U1841" s="17" t="b">
        <v>0</v>
      </c>
      <c r="V1841" s="17" t="b">
        <v>0</v>
      </c>
      <c r="W1841" s="11"/>
      <c r="X1841" s="12"/>
      <c r="Y1841" s="12"/>
      <c r="Z1841" s="13"/>
    </row>
    <row r="1842" spans="1:26" ht="19.95" customHeight="1" x14ac:dyDescent="0.3">
      <c r="A1842" s="6"/>
      <c r="B1842" s="7"/>
      <c r="C1842" s="8"/>
      <c r="D1842" s="8"/>
      <c r="E1842" s="8"/>
      <c r="F1842" s="9"/>
      <c r="G1842" s="9"/>
      <c r="H1842" s="9"/>
      <c r="I1842" s="9" t="s">
        <v>14</v>
      </c>
      <c r="J1842" s="10" t="s">
        <v>14</v>
      </c>
      <c r="K1842" s="15" t="e">
        <f>VLOOKUP(J1842,DADOS!$A$3:$B$101,2,FALSE)</f>
        <v>#N/A</v>
      </c>
      <c r="L1842" s="15"/>
      <c r="M1842" s="18" t="b">
        <v>0</v>
      </c>
      <c r="N1842" s="17" t="b">
        <v>0</v>
      </c>
      <c r="O1842" s="17" t="b">
        <v>0</v>
      </c>
      <c r="P1842" s="17" t="b">
        <v>0</v>
      </c>
      <c r="Q1842" s="17" t="b">
        <v>0</v>
      </c>
      <c r="R1842" s="17" t="b">
        <v>0</v>
      </c>
      <c r="S1842" s="17" t="b">
        <v>0</v>
      </c>
      <c r="T1842" s="17" t="b">
        <v>0</v>
      </c>
      <c r="U1842" s="17" t="b">
        <v>0</v>
      </c>
      <c r="V1842" s="17" t="b">
        <v>0</v>
      </c>
      <c r="W1842" s="11"/>
      <c r="X1842" s="12"/>
      <c r="Y1842" s="12"/>
      <c r="Z1842" s="13"/>
    </row>
    <row r="1843" spans="1:26" ht="19.95" customHeight="1" x14ac:dyDescent="0.3">
      <c r="A1843" s="6"/>
      <c r="B1843" s="7"/>
      <c r="C1843" s="8"/>
      <c r="D1843" s="8"/>
      <c r="E1843" s="8"/>
      <c r="F1843" s="9"/>
      <c r="G1843" s="9"/>
      <c r="H1843" s="9"/>
      <c r="I1843" s="9" t="s">
        <v>14</v>
      </c>
      <c r="J1843" s="10" t="s">
        <v>14</v>
      </c>
      <c r="K1843" s="15" t="e">
        <f>VLOOKUP(J1843,DADOS!$A$3:$B$101,2,FALSE)</f>
        <v>#N/A</v>
      </c>
      <c r="L1843" s="15"/>
      <c r="M1843" s="18" t="b">
        <v>0</v>
      </c>
      <c r="N1843" s="17" t="b">
        <v>0</v>
      </c>
      <c r="O1843" s="17" t="b">
        <v>0</v>
      </c>
      <c r="P1843" s="17" t="b">
        <v>0</v>
      </c>
      <c r="Q1843" s="17" t="b">
        <v>0</v>
      </c>
      <c r="R1843" s="17" t="b">
        <v>0</v>
      </c>
      <c r="S1843" s="17" t="b">
        <v>0</v>
      </c>
      <c r="T1843" s="17" t="b">
        <v>0</v>
      </c>
      <c r="U1843" s="17" t="b">
        <v>0</v>
      </c>
      <c r="V1843" s="17" t="b">
        <v>0</v>
      </c>
      <c r="W1843" s="11"/>
      <c r="X1843" s="12"/>
      <c r="Y1843" s="12"/>
      <c r="Z1843" s="13"/>
    </row>
    <row r="1844" spans="1:26" ht="19.95" customHeight="1" x14ac:dyDescent="0.3">
      <c r="A1844" s="6"/>
      <c r="B1844" s="7"/>
      <c r="C1844" s="8"/>
      <c r="D1844" s="8"/>
      <c r="E1844" s="8"/>
      <c r="F1844" s="9"/>
      <c r="G1844" s="9"/>
      <c r="H1844" s="9"/>
      <c r="I1844" s="9" t="s">
        <v>14</v>
      </c>
      <c r="J1844" s="10" t="s">
        <v>14</v>
      </c>
      <c r="K1844" s="15" t="e">
        <f>VLOOKUP(J1844,DADOS!$A$3:$B$101,2,FALSE)</f>
        <v>#N/A</v>
      </c>
      <c r="L1844" s="15"/>
      <c r="M1844" s="18" t="b">
        <v>0</v>
      </c>
      <c r="N1844" s="17" t="b">
        <v>0</v>
      </c>
      <c r="O1844" s="17" t="b">
        <v>0</v>
      </c>
      <c r="P1844" s="17" t="b">
        <v>0</v>
      </c>
      <c r="Q1844" s="17" t="b">
        <v>0</v>
      </c>
      <c r="R1844" s="17" t="b">
        <v>0</v>
      </c>
      <c r="S1844" s="17" t="b">
        <v>0</v>
      </c>
      <c r="T1844" s="17" t="b">
        <v>0</v>
      </c>
      <c r="U1844" s="17" t="b">
        <v>0</v>
      </c>
      <c r="V1844" s="17" t="b">
        <v>0</v>
      </c>
      <c r="W1844" s="11"/>
      <c r="X1844" s="12"/>
      <c r="Y1844" s="12"/>
      <c r="Z1844" s="13"/>
    </row>
    <row r="1845" spans="1:26" ht="19.95" customHeight="1" x14ac:dyDescent="0.3">
      <c r="A1845" s="6"/>
      <c r="B1845" s="7"/>
      <c r="C1845" s="8"/>
      <c r="D1845" s="8"/>
      <c r="E1845" s="8"/>
      <c r="F1845" s="9"/>
      <c r="G1845" s="9"/>
      <c r="H1845" s="9"/>
      <c r="I1845" s="9" t="s">
        <v>14</v>
      </c>
      <c r="J1845" s="10" t="s">
        <v>14</v>
      </c>
      <c r="K1845" s="15" t="e">
        <f>VLOOKUP(J1845,DADOS!$A$3:$B$101,2,FALSE)</f>
        <v>#N/A</v>
      </c>
      <c r="L1845" s="15"/>
      <c r="M1845" s="18" t="b">
        <v>0</v>
      </c>
      <c r="N1845" s="17" t="b">
        <v>0</v>
      </c>
      <c r="O1845" s="17" t="b">
        <v>0</v>
      </c>
      <c r="P1845" s="17" t="b">
        <v>0</v>
      </c>
      <c r="Q1845" s="17" t="b">
        <v>0</v>
      </c>
      <c r="R1845" s="17" t="b">
        <v>0</v>
      </c>
      <c r="S1845" s="17" t="b">
        <v>0</v>
      </c>
      <c r="T1845" s="17" t="b">
        <v>0</v>
      </c>
      <c r="U1845" s="17" t="b">
        <v>0</v>
      </c>
      <c r="V1845" s="17" t="b">
        <v>0</v>
      </c>
      <c r="W1845" s="11"/>
      <c r="X1845" s="12"/>
      <c r="Y1845" s="12"/>
      <c r="Z1845" s="13"/>
    </row>
    <row r="1846" spans="1:26" ht="19.95" customHeight="1" x14ac:dyDescent="0.3">
      <c r="A1846" s="6"/>
      <c r="B1846" s="7"/>
      <c r="C1846" s="8"/>
      <c r="D1846" s="8"/>
      <c r="E1846" s="8"/>
      <c r="F1846" s="9"/>
      <c r="G1846" s="9"/>
      <c r="H1846" s="9"/>
      <c r="I1846" s="9" t="s">
        <v>14</v>
      </c>
      <c r="J1846" s="10" t="s">
        <v>14</v>
      </c>
      <c r="K1846" s="15" t="e">
        <f>VLOOKUP(J1846,DADOS!$A$3:$B$101,2,FALSE)</f>
        <v>#N/A</v>
      </c>
      <c r="L1846" s="15"/>
      <c r="M1846" s="18" t="b">
        <v>0</v>
      </c>
      <c r="N1846" s="17" t="b">
        <v>0</v>
      </c>
      <c r="O1846" s="17" t="b">
        <v>0</v>
      </c>
      <c r="P1846" s="17" t="b">
        <v>0</v>
      </c>
      <c r="Q1846" s="17" t="b">
        <v>0</v>
      </c>
      <c r="R1846" s="17" t="b">
        <v>0</v>
      </c>
      <c r="S1846" s="17" t="b">
        <v>0</v>
      </c>
      <c r="T1846" s="17" t="b">
        <v>0</v>
      </c>
      <c r="U1846" s="17" t="b">
        <v>0</v>
      </c>
      <c r="V1846" s="17" t="b">
        <v>0</v>
      </c>
      <c r="W1846" s="11"/>
      <c r="X1846" s="12"/>
      <c r="Y1846" s="12"/>
      <c r="Z1846" s="13"/>
    </row>
    <row r="1847" spans="1:26" ht="19.95" customHeight="1" x14ac:dyDescent="0.3">
      <c r="A1847" s="6"/>
      <c r="B1847" s="7"/>
      <c r="C1847" s="8"/>
      <c r="D1847" s="8"/>
      <c r="E1847" s="8"/>
      <c r="F1847" s="9"/>
      <c r="G1847" s="9"/>
      <c r="H1847" s="9"/>
      <c r="I1847" s="9" t="s">
        <v>14</v>
      </c>
      <c r="J1847" s="10" t="s">
        <v>14</v>
      </c>
      <c r="K1847" s="15" t="e">
        <f>VLOOKUP(J1847,DADOS!$A$3:$B$101,2,FALSE)</f>
        <v>#N/A</v>
      </c>
      <c r="L1847" s="15"/>
      <c r="M1847" s="18" t="b">
        <v>0</v>
      </c>
      <c r="N1847" s="17" t="b">
        <v>0</v>
      </c>
      <c r="O1847" s="17" t="b">
        <v>0</v>
      </c>
      <c r="P1847" s="17" t="b">
        <v>0</v>
      </c>
      <c r="Q1847" s="17" t="b">
        <v>0</v>
      </c>
      <c r="R1847" s="17" t="b">
        <v>0</v>
      </c>
      <c r="S1847" s="17" t="b">
        <v>0</v>
      </c>
      <c r="T1847" s="17" t="b">
        <v>0</v>
      </c>
      <c r="U1847" s="17" t="b">
        <v>0</v>
      </c>
      <c r="V1847" s="17" t="b">
        <v>0</v>
      </c>
      <c r="W1847" s="11"/>
      <c r="X1847" s="12"/>
      <c r="Y1847" s="12"/>
      <c r="Z1847" s="13"/>
    </row>
    <row r="1848" spans="1:26" ht="19.95" customHeight="1" x14ac:dyDescent="0.3">
      <c r="A1848" s="6"/>
      <c r="B1848" s="7"/>
      <c r="C1848" s="8"/>
      <c r="D1848" s="8"/>
      <c r="E1848" s="8"/>
      <c r="F1848" s="9"/>
      <c r="G1848" s="9"/>
      <c r="H1848" s="9"/>
      <c r="I1848" s="9" t="s">
        <v>14</v>
      </c>
      <c r="J1848" s="10" t="s">
        <v>14</v>
      </c>
      <c r="K1848" s="15" t="e">
        <f>VLOOKUP(J1848,DADOS!$A$3:$B$101,2,FALSE)</f>
        <v>#N/A</v>
      </c>
      <c r="L1848" s="15"/>
      <c r="M1848" s="18" t="b">
        <v>0</v>
      </c>
      <c r="N1848" s="17" t="b">
        <v>0</v>
      </c>
      <c r="O1848" s="17" t="b">
        <v>0</v>
      </c>
      <c r="P1848" s="17" t="b">
        <v>0</v>
      </c>
      <c r="Q1848" s="17" t="b">
        <v>0</v>
      </c>
      <c r="R1848" s="17" t="b">
        <v>0</v>
      </c>
      <c r="S1848" s="17" t="b">
        <v>0</v>
      </c>
      <c r="T1848" s="17" t="b">
        <v>0</v>
      </c>
      <c r="U1848" s="17" t="b">
        <v>0</v>
      </c>
      <c r="V1848" s="17" t="b">
        <v>0</v>
      </c>
      <c r="W1848" s="11"/>
      <c r="X1848" s="12"/>
      <c r="Y1848" s="12"/>
      <c r="Z1848" s="13"/>
    </row>
    <row r="1849" spans="1:26" ht="19.95" customHeight="1" x14ac:dyDescent="0.3">
      <c r="A1849" s="6"/>
      <c r="B1849" s="7"/>
      <c r="C1849" s="8"/>
      <c r="D1849" s="8"/>
      <c r="E1849" s="8"/>
      <c r="F1849" s="9"/>
      <c r="G1849" s="9"/>
      <c r="H1849" s="9"/>
      <c r="I1849" s="9" t="s">
        <v>14</v>
      </c>
      <c r="J1849" s="10" t="s">
        <v>14</v>
      </c>
      <c r="K1849" s="15" t="e">
        <f>VLOOKUP(J1849,DADOS!$A$3:$B$101,2,FALSE)</f>
        <v>#N/A</v>
      </c>
      <c r="L1849" s="15"/>
      <c r="M1849" s="18" t="b">
        <v>0</v>
      </c>
      <c r="N1849" s="17" t="b">
        <v>0</v>
      </c>
      <c r="O1849" s="17" t="b">
        <v>0</v>
      </c>
      <c r="P1849" s="17" t="b">
        <v>0</v>
      </c>
      <c r="Q1849" s="17" t="b">
        <v>0</v>
      </c>
      <c r="R1849" s="17" t="b">
        <v>0</v>
      </c>
      <c r="S1849" s="17" t="b">
        <v>0</v>
      </c>
      <c r="T1849" s="17" t="b">
        <v>0</v>
      </c>
      <c r="U1849" s="17" t="b">
        <v>0</v>
      </c>
      <c r="V1849" s="17" t="b">
        <v>0</v>
      </c>
      <c r="W1849" s="11"/>
      <c r="X1849" s="12"/>
      <c r="Y1849" s="12"/>
      <c r="Z1849" s="13"/>
    </row>
    <row r="1850" spans="1:26" ht="19.95" customHeight="1" x14ac:dyDescent="0.3">
      <c r="A1850" s="6"/>
      <c r="B1850" s="7"/>
      <c r="C1850" s="8"/>
      <c r="D1850" s="8"/>
      <c r="E1850" s="8"/>
      <c r="F1850" s="9"/>
      <c r="G1850" s="9"/>
      <c r="H1850" s="9"/>
      <c r="I1850" s="9" t="s">
        <v>14</v>
      </c>
      <c r="J1850" s="10" t="s">
        <v>14</v>
      </c>
      <c r="K1850" s="15" t="e">
        <f>VLOOKUP(J1850,DADOS!$A$3:$B$101,2,FALSE)</f>
        <v>#N/A</v>
      </c>
      <c r="L1850" s="15"/>
      <c r="M1850" s="18" t="b">
        <v>0</v>
      </c>
      <c r="N1850" s="17" t="b">
        <v>0</v>
      </c>
      <c r="O1850" s="17" t="b">
        <v>0</v>
      </c>
      <c r="P1850" s="17" t="b">
        <v>0</v>
      </c>
      <c r="Q1850" s="17" t="b">
        <v>0</v>
      </c>
      <c r="R1850" s="17" t="b">
        <v>0</v>
      </c>
      <c r="S1850" s="17" t="b">
        <v>0</v>
      </c>
      <c r="T1850" s="17" t="b">
        <v>0</v>
      </c>
      <c r="U1850" s="17" t="b">
        <v>0</v>
      </c>
      <c r="V1850" s="17" t="b">
        <v>0</v>
      </c>
      <c r="W1850" s="11"/>
      <c r="X1850" s="12"/>
      <c r="Y1850" s="12"/>
      <c r="Z1850" s="13"/>
    </row>
    <row r="1851" spans="1:26" ht="19.95" customHeight="1" x14ac:dyDescent="0.3">
      <c r="A1851" s="6"/>
      <c r="B1851" s="7"/>
      <c r="C1851" s="8"/>
      <c r="D1851" s="8"/>
      <c r="E1851" s="8"/>
      <c r="F1851" s="9"/>
      <c r="G1851" s="9"/>
      <c r="H1851" s="9"/>
      <c r="I1851" s="9" t="s">
        <v>14</v>
      </c>
      <c r="J1851" s="10" t="s">
        <v>14</v>
      </c>
      <c r="K1851" s="15" t="e">
        <f>VLOOKUP(J1851,DADOS!$A$3:$B$101,2,FALSE)</f>
        <v>#N/A</v>
      </c>
      <c r="L1851" s="15"/>
      <c r="M1851" s="18" t="b">
        <v>0</v>
      </c>
      <c r="N1851" s="17" t="b">
        <v>0</v>
      </c>
      <c r="O1851" s="17" t="b">
        <v>0</v>
      </c>
      <c r="P1851" s="17" t="b">
        <v>0</v>
      </c>
      <c r="Q1851" s="17" t="b">
        <v>0</v>
      </c>
      <c r="R1851" s="17" t="b">
        <v>0</v>
      </c>
      <c r="S1851" s="17" t="b">
        <v>0</v>
      </c>
      <c r="T1851" s="17" t="b">
        <v>0</v>
      </c>
      <c r="U1851" s="17" t="b">
        <v>0</v>
      </c>
      <c r="V1851" s="17" t="b">
        <v>0</v>
      </c>
      <c r="W1851" s="11"/>
      <c r="X1851" s="12"/>
      <c r="Y1851" s="12"/>
      <c r="Z1851" s="13"/>
    </row>
    <row r="1852" spans="1:26" ht="19.95" customHeight="1" x14ac:dyDescent="0.3">
      <c r="A1852" s="6"/>
      <c r="B1852" s="7"/>
      <c r="C1852" s="8"/>
      <c r="D1852" s="8"/>
      <c r="E1852" s="8"/>
      <c r="F1852" s="9"/>
      <c r="G1852" s="9"/>
      <c r="H1852" s="9"/>
      <c r="I1852" s="9" t="s">
        <v>14</v>
      </c>
      <c r="J1852" s="10" t="s">
        <v>14</v>
      </c>
      <c r="K1852" s="15" t="e">
        <f>VLOOKUP(J1852,DADOS!$A$3:$B$101,2,FALSE)</f>
        <v>#N/A</v>
      </c>
      <c r="L1852" s="15"/>
      <c r="M1852" s="18" t="b">
        <v>0</v>
      </c>
      <c r="N1852" s="17" t="b">
        <v>0</v>
      </c>
      <c r="O1852" s="17" t="b">
        <v>0</v>
      </c>
      <c r="P1852" s="17" t="b">
        <v>0</v>
      </c>
      <c r="Q1852" s="17" t="b">
        <v>0</v>
      </c>
      <c r="R1852" s="17" t="b">
        <v>0</v>
      </c>
      <c r="S1852" s="17" t="b">
        <v>0</v>
      </c>
      <c r="T1852" s="17" t="b">
        <v>0</v>
      </c>
      <c r="U1852" s="17" t="b">
        <v>0</v>
      </c>
      <c r="V1852" s="17" t="b">
        <v>0</v>
      </c>
      <c r="W1852" s="11"/>
      <c r="X1852" s="12"/>
      <c r="Y1852" s="12"/>
      <c r="Z1852" s="13"/>
    </row>
    <row r="1853" spans="1:26" ht="19.95" customHeight="1" x14ac:dyDescent="0.3">
      <c r="A1853" s="6"/>
      <c r="B1853" s="7"/>
      <c r="C1853" s="8"/>
      <c r="D1853" s="8"/>
      <c r="E1853" s="8"/>
      <c r="F1853" s="9"/>
      <c r="G1853" s="9"/>
      <c r="H1853" s="9"/>
      <c r="I1853" s="9" t="s">
        <v>14</v>
      </c>
      <c r="J1853" s="10" t="s">
        <v>14</v>
      </c>
      <c r="K1853" s="15" t="e">
        <f>VLOOKUP(J1853,DADOS!$A$3:$B$101,2,FALSE)</f>
        <v>#N/A</v>
      </c>
      <c r="L1853" s="15"/>
      <c r="M1853" s="18" t="b">
        <v>0</v>
      </c>
      <c r="N1853" s="17" t="b">
        <v>0</v>
      </c>
      <c r="O1853" s="17" t="b">
        <v>0</v>
      </c>
      <c r="P1853" s="17" t="b">
        <v>0</v>
      </c>
      <c r="Q1853" s="17" t="b">
        <v>0</v>
      </c>
      <c r="R1853" s="17" t="b">
        <v>0</v>
      </c>
      <c r="S1853" s="17" t="b">
        <v>0</v>
      </c>
      <c r="T1853" s="17" t="b">
        <v>0</v>
      </c>
      <c r="U1853" s="17" t="b">
        <v>0</v>
      </c>
      <c r="V1853" s="17" t="b">
        <v>0</v>
      </c>
      <c r="W1853" s="11"/>
      <c r="X1853" s="12"/>
      <c r="Y1853" s="12"/>
      <c r="Z1853" s="13"/>
    </row>
    <row r="1854" spans="1:26" ht="19.95" customHeight="1" x14ac:dyDescent="0.3">
      <c r="A1854" s="6"/>
      <c r="B1854" s="7"/>
      <c r="C1854" s="8"/>
      <c r="D1854" s="8"/>
      <c r="E1854" s="8"/>
      <c r="F1854" s="9"/>
      <c r="G1854" s="9"/>
      <c r="H1854" s="9"/>
      <c r="I1854" s="9" t="s">
        <v>14</v>
      </c>
      <c r="J1854" s="10" t="s">
        <v>14</v>
      </c>
      <c r="K1854" s="15" t="e">
        <f>VLOOKUP(J1854,DADOS!$A$3:$B$101,2,FALSE)</f>
        <v>#N/A</v>
      </c>
      <c r="L1854" s="15"/>
      <c r="M1854" s="18" t="b">
        <v>0</v>
      </c>
      <c r="N1854" s="17" t="b">
        <v>0</v>
      </c>
      <c r="O1854" s="17" t="b">
        <v>0</v>
      </c>
      <c r="P1854" s="17" t="b">
        <v>0</v>
      </c>
      <c r="Q1854" s="17" t="b">
        <v>0</v>
      </c>
      <c r="R1854" s="17" t="b">
        <v>0</v>
      </c>
      <c r="S1854" s="17" t="b">
        <v>0</v>
      </c>
      <c r="T1854" s="17" t="b">
        <v>0</v>
      </c>
      <c r="U1854" s="17" t="b">
        <v>0</v>
      </c>
      <c r="V1854" s="17" t="b">
        <v>0</v>
      </c>
      <c r="W1854" s="11"/>
      <c r="X1854" s="12"/>
      <c r="Y1854" s="12"/>
      <c r="Z1854" s="13"/>
    </row>
    <row r="1855" spans="1:26" ht="19.95" customHeight="1" x14ac:dyDescent="0.3">
      <c r="A1855" s="6"/>
      <c r="B1855" s="7"/>
      <c r="C1855" s="8"/>
      <c r="D1855" s="8"/>
      <c r="E1855" s="8"/>
      <c r="F1855" s="9"/>
      <c r="G1855" s="9"/>
      <c r="H1855" s="9"/>
      <c r="I1855" s="9" t="s">
        <v>14</v>
      </c>
      <c r="J1855" s="10" t="s">
        <v>14</v>
      </c>
      <c r="K1855" s="15" t="e">
        <f>VLOOKUP(J1855,DADOS!$A$3:$B$101,2,FALSE)</f>
        <v>#N/A</v>
      </c>
      <c r="L1855" s="15"/>
      <c r="M1855" s="18" t="b">
        <v>0</v>
      </c>
      <c r="N1855" s="17" t="b">
        <v>0</v>
      </c>
      <c r="O1855" s="17" t="b">
        <v>0</v>
      </c>
      <c r="P1855" s="17" t="b">
        <v>0</v>
      </c>
      <c r="Q1855" s="17" t="b">
        <v>0</v>
      </c>
      <c r="R1855" s="17" t="b">
        <v>0</v>
      </c>
      <c r="S1855" s="17" t="b">
        <v>0</v>
      </c>
      <c r="T1855" s="17" t="b">
        <v>0</v>
      </c>
      <c r="U1855" s="17" t="b">
        <v>0</v>
      </c>
      <c r="V1855" s="17" t="b">
        <v>0</v>
      </c>
      <c r="W1855" s="11"/>
      <c r="X1855" s="12"/>
      <c r="Y1855" s="12"/>
      <c r="Z1855" s="13"/>
    </row>
    <row r="1856" spans="1:26" ht="19.95" customHeight="1" x14ac:dyDescent="0.3">
      <c r="A1856" s="6"/>
      <c r="B1856" s="7"/>
      <c r="C1856" s="8"/>
      <c r="D1856" s="8"/>
      <c r="E1856" s="8"/>
      <c r="F1856" s="9"/>
      <c r="G1856" s="9"/>
      <c r="H1856" s="9"/>
      <c r="I1856" s="9" t="s">
        <v>14</v>
      </c>
      <c r="J1856" s="10" t="s">
        <v>14</v>
      </c>
      <c r="K1856" s="15" t="e">
        <f>VLOOKUP(J1856,DADOS!$A$3:$B$101,2,FALSE)</f>
        <v>#N/A</v>
      </c>
      <c r="L1856" s="15"/>
      <c r="M1856" s="18" t="b">
        <v>0</v>
      </c>
      <c r="N1856" s="17" t="b">
        <v>0</v>
      </c>
      <c r="O1856" s="17" t="b">
        <v>0</v>
      </c>
      <c r="P1856" s="17" t="b">
        <v>0</v>
      </c>
      <c r="Q1856" s="17" t="b">
        <v>0</v>
      </c>
      <c r="R1856" s="17" t="b">
        <v>0</v>
      </c>
      <c r="S1856" s="17" t="b">
        <v>0</v>
      </c>
      <c r="T1856" s="17" t="b">
        <v>0</v>
      </c>
      <c r="U1856" s="17" t="b">
        <v>0</v>
      </c>
      <c r="V1856" s="17" t="b">
        <v>0</v>
      </c>
      <c r="W1856" s="11"/>
      <c r="X1856" s="12"/>
      <c r="Y1856" s="12"/>
      <c r="Z1856" s="13"/>
    </row>
    <row r="1857" spans="1:26" ht="19.95" customHeight="1" x14ac:dyDescent="0.3">
      <c r="A1857" s="6"/>
      <c r="B1857" s="7"/>
      <c r="C1857" s="8"/>
      <c r="D1857" s="8"/>
      <c r="E1857" s="8"/>
      <c r="F1857" s="9"/>
      <c r="G1857" s="9"/>
      <c r="H1857" s="9"/>
      <c r="I1857" s="9" t="s">
        <v>14</v>
      </c>
      <c r="J1857" s="10" t="s">
        <v>14</v>
      </c>
      <c r="K1857" s="15" t="e">
        <f>VLOOKUP(J1857,DADOS!$A$3:$B$101,2,FALSE)</f>
        <v>#N/A</v>
      </c>
      <c r="L1857" s="15"/>
      <c r="M1857" s="18" t="b">
        <v>0</v>
      </c>
      <c r="N1857" s="17" t="b">
        <v>0</v>
      </c>
      <c r="O1857" s="17" t="b">
        <v>0</v>
      </c>
      <c r="P1857" s="17" t="b">
        <v>0</v>
      </c>
      <c r="Q1857" s="17" t="b">
        <v>0</v>
      </c>
      <c r="R1857" s="17" t="b">
        <v>0</v>
      </c>
      <c r="S1857" s="17" t="b">
        <v>0</v>
      </c>
      <c r="T1857" s="17" t="b">
        <v>0</v>
      </c>
      <c r="U1857" s="17" t="b">
        <v>0</v>
      </c>
      <c r="V1857" s="17" t="b">
        <v>0</v>
      </c>
      <c r="W1857" s="11"/>
      <c r="X1857" s="12"/>
      <c r="Y1857" s="12"/>
      <c r="Z1857" s="13"/>
    </row>
    <row r="1858" spans="1:26" ht="19.95" customHeight="1" x14ac:dyDescent="0.3">
      <c r="A1858" s="6"/>
      <c r="B1858" s="7"/>
      <c r="C1858" s="8"/>
      <c r="D1858" s="8"/>
      <c r="E1858" s="8"/>
      <c r="F1858" s="9"/>
      <c r="G1858" s="9"/>
      <c r="H1858" s="9"/>
      <c r="I1858" s="9" t="s">
        <v>14</v>
      </c>
      <c r="J1858" s="10" t="s">
        <v>14</v>
      </c>
      <c r="K1858" s="15" t="e">
        <f>VLOOKUP(J1858,DADOS!$A$3:$B$101,2,FALSE)</f>
        <v>#N/A</v>
      </c>
      <c r="L1858" s="15"/>
      <c r="M1858" s="18" t="b">
        <v>0</v>
      </c>
      <c r="N1858" s="17" t="b">
        <v>0</v>
      </c>
      <c r="O1858" s="17" t="b">
        <v>0</v>
      </c>
      <c r="P1858" s="17" t="b">
        <v>0</v>
      </c>
      <c r="Q1858" s="17" t="b">
        <v>0</v>
      </c>
      <c r="R1858" s="17" t="b">
        <v>0</v>
      </c>
      <c r="S1858" s="17" t="b">
        <v>0</v>
      </c>
      <c r="T1858" s="17" t="b">
        <v>0</v>
      </c>
      <c r="U1858" s="17" t="b">
        <v>0</v>
      </c>
      <c r="V1858" s="17" t="b">
        <v>0</v>
      </c>
      <c r="W1858" s="11"/>
      <c r="X1858" s="12"/>
      <c r="Y1858" s="12"/>
      <c r="Z1858" s="13"/>
    </row>
    <row r="1859" spans="1:26" ht="19.95" customHeight="1" x14ac:dyDescent="0.3">
      <c r="A1859" s="6"/>
      <c r="B1859" s="7"/>
      <c r="C1859" s="8"/>
      <c r="D1859" s="8"/>
      <c r="E1859" s="8"/>
      <c r="F1859" s="9"/>
      <c r="G1859" s="9"/>
      <c r="H1859" s="9"/>
      <c r="I1859" s="9" t="s">
        <v>14</v>
      </c>
      <c r="J1859" s="10" t="s">
        <v>14</v>
      </c>
      <c r="K1859" s="15" t="e">
        <f>VLOOKUP(J1859,DADOS!$A$3:$B$101,2,FALSE)</f>
        <v>#N/A</v>
      </c>
      <c r="L1859" s="15"/>
      <c r="M1859" s="18" t="b">
        <v>0</v>
      </c>
      <c r="N1859" s="17" t="b">
        <v>0</v>
      </c>
      <c r="O1859" s="17" t="b">
        <v>0</v>
      </c>
      <c r="P1859" s="17" t="b">
        <v>0</v>
      </c>
      <c r="Q1859" s="17" t="b">
        <v>0</v>
      </c>
      <c r="R1859" s="17" t="b">
        <v>0</v>
      </c>
      <c r="S1859" s="17" t="b">
        <v>0</v>
      </c>
      <c r="T1859" s="17" t="b">
        <v>0</v>
      </c>
      <c r="U1859" s="17" t="b">
        <v>0</v>
      </c>
      <c r="V1859" s="17" t="b">
        <v>0</v>
      </c>
      <c r="W1859" s="11"/>
      <c r="X1859" s="12"/>
      <c r="Y1859" s="12"/>
      <c r="Z1859" s="13"/>
    </row>
    <row r="1860" spans="1:26" ht="19.95" customHeight="1" x14ac:dyDescent="0.3">
      <c r="A1860" s="6"/>
      <c r="B1860" s="7"/>
      <c r="C1860" s="8"/>
      <c r="D1860" s="8"/>
      <c r="E1860" s="8"/>
      <c r="F1860" s="9"/>
      <c r="G1860" s="9"/>
      <c r="H1860" s="9"/>
      <c r="I1860" s="9" t="s">
        <v>14</v>
      </c>
      <c r="J1860" s="10" t="s">
        <v>14</v>
      </c>
      <c r="K1860" s="15" t="e">
        <f>VLOOKUP(J1860,DADOS!$A$3:$B$101,2,FALSE)</f>
        <v>#N/A</v>
      </c>
      <c r="L1860" s="15"/>
      <c r="M1860" s="18" t="b">
        <v>0</v>
      </c>
      <c r="N1860" s="17" t="b">
        <v>0</v>
      </c>
      <c r="O1860" s="17" t="b">
        <v>0</v>
      </c>
      <c r="P1860" s="17" t="b">
        <v>0</v>
      </c>
      <c r="Q1860" s="17" t="b">
        <v>0</v>
      </c>
      <c r="R1860" s="17" t="b">
        <v>0</v>
      </c>
      <c r="S1860" s="17" t="b">
        <v>0</v>
      </c>
      <c r="T1860" s="17" t="b">
        <v>0</v>
      </c>
      <c r="U1860" s="17" t="b">
        <v>0</v>
      </c>
      <c r="V1860" s="17" t="b">
        <v>0</v>
      </c>
      <c r="W1860" s="11"/>
      <c r="X1860" s="12"/>
      <c r="Y1860" s="12"/>
      <c r="Z1860" s="13"/>
    </row>
    <row r="1861" spans="1:26" ht="19.95" customHeight="1" x14ac:dyDescent="0.3">
      <c r="A1861" s="6"/>
      <c r="B1861" s="7"/>
      <c r="C1861" s="8"/>
      <c r="D1861" s="8"/>
      <c r="E1861" s="8"/>
      <c r="F1861" s="9"/>
      <c r="G1861" s="9"/>
      <c r="H1861" s="9"/>
      <c r="I1861" s="9" t="s">
        <v>14</v>
      </c>
      <c r="J1861" s="10" t="s">
        <v>14</v>
      </c>
      <c r="K1861" s="15" t="e">
        <f>VLOOKUP(J1861,DADOS!$A$3:$B$101,2,FALSE)</f>
        <v>#N/A</v>
      </c>
      <c r="L1861" s="15"/>
      <c r="M1861" s="18" t="b">
        <v>0</v>
      </c>
      <c r="N1861" s="17" t="b">
        <v>0</v>
      </c>
      <c r="O1861" s="17" t="b">
        <v>0</v>
      </c>
      <c r="P1861" s="17" t="b">
        <v>0</v>
      </c>
      <c r="Q1861" s="17" t="b">
        <v>0</v>
      </c>
      <c r="R1861" s="17" t="b">
        <v>0</v>
      </c>
      <c r="S1861" s="17" t="b">
        <v>0</v>
      </c>
      <c r="T1861" s="17" t="b">
        <v>0</v>
      </c>
      <c r="U1861" s="17" t="b">
        <v>0</v>
      </c>
      <c r="V1861" s="17" t="b">
        <v>0</v>
      </c>
      <c r="W1861" s="11"/>
      <c r="X1861" s="12"/>
      <c r="Y1861" s="12"/>
      <c r="Z1861" s="13"/>
    </row>
    <row r="1862" spans="1:26" ht="19.95" customHeight="1" x14ac:dyDescent="0.3">
      <c r="A1862" s="6"/>
      <c r="B1862" s="7"/>
      <c r="C1862" s="8"/>
      <c r="D1862" s="8"/>
      <c r="E1862" s="8"/>
      <c r="F1862" s="9"/>
      <c r="G1862" s="9"/>
      <c r="H1862" s="9"/>
      <c r="I1862" s="9" t="s">
        <v>14</v>
      </c>
      <c r="J1862" s="10" t="s">
        <v>14</v>
      </c>
      <c r="K1862" s="15" t="e">
        <f>VLOOKUP(J1862,DADOS!$A$3:$B$101,2,FALSE)</f>
        <v>#N/A</v>
      </c>
      <c r="L1862" s="15"/>
      <c r="M1862" s="18" t="b">
        <v>0</v>
      </c>
      <c r="N1862" s="17" t="b">
        <v>0</v>
      </c>
      <c r="O1862" s="17" t="b">
        <v>0</v>
      </c>
      <c r="P1862" s="17" t="b">
        <v>0</v>
      </c>
      <c r="Q1862" s="17" t="b">
        <v>0</v>
      </c>
      <c r="R1862" s="17" t="b">
        <v>0</v>
      </c>
      <c r="S1862" s="17" t="b">
        <v>0</v>
      </c>
      <c r="T1862" s="17" t="b">
        <v>0</v>
      </c>
      <c r="U1862" s="17" t="b">
        <v>0</v>
      </c>
      <c r="V1862" s="17" t="b">
        <v>0</v>
      </c>
      <c r="W1862" s="11"/>
      <c r="X1862" s="12"/>
      <c r="Y1862" s="12"/>
      <c r="Z1862" s="13"/>
    </row>
    <row r="1863" spans="1:26" ht="19.95" customHeight="1" x14ac:dyDescent="0.3">
      <c r="A1863" s="6"/>
      <c r="B1863" s="7"/>
      <c r="C1863" s="8"/>
      <c r="D1863" s="8"/>
      <c r="E1863" s="8"/>
      <c r="F1863" s="9"/>
      <c r="G1863" s="9"/>
      <c r="H1863" s="9"/>
      <c r="I1863" s="9" t="s">
        <v>14</v>
      </c>
      <c r="J1863" s="10" t="s">
        <v>14</v>
      </c>
      <c r="K1863" s="15" t="e">
        <f>VLOOKUP(J1863,DADOS!$A$3:$B$101,2,FALSE)</f>
        <v>#N/A</v>
      </c>
      <c r="L1863" s="15"/>
      <c r="M1863" s="18" t="b">
        <v>0</v>
      </c>
      <c r="N1863" s="17" t="b">
        <v>0</v>
      </c>
      <c r="O1863" s="17" t="b">
        <v>0</v>
      </c>
      <c r="P1863" s="17" t="b">
        <v>0</v>
      </c>
      <c r="Q1863" s="17" t="b">
        <v>0</v>
      </c>
      <c r="R1863" s="17" t="b">
        <v>0</v>
      </c>
      <c r="S1863" s="17" t="b">
        <v>0</v>
      </c>
      <c r="T1863" s="17" t="b">
        <v>0</v>
      </c>
      <c r="U1863" s="17" t="b">
        <v>0</v>
      </c>
      <c r="V1863" s="17" t="b">
        <v>0</v>
      </c>
      <c r="W1863" s="11"/>
      <c r="X1863" s="12"/>
      <c r="Y1863" s="12"/>
      <c r="Z1863" s="13"/>
    </row>
    <row r="1864" spans="1:26" ht="19.95" customHeight="1" x14ac:dyDescent="0.3">
      <c r="A1864" s="6"/>
      <c r="B1864" s="7"/>
      <c r="C1864" s="8"/>
      <c r="D1864" s="8"/>
      <c r="E1864" s="8"/>
      <c r="F1864" s="9"/>
      <c r="G1864" s="9"/>
      <c r="H1864" s="9"/>
      <c r="I1864" s="9" t="s">
        <v>14</v>
      </c>
      <c r="J1864" s="10" t="s">
        <v>14</v>
      </c>
      <c r="K1864" s="15" t="e">
        <f>VLOOKUP(J1864,DADOS!$A$3:$B$101,2,FALSE)</f>
        <v>#N/A</v>
      </c>
      <c r="L1864" s="15"/>
      <c r="M1864" s="18" t="b">
        <v>0</v>
      </c>
      <c r="N1864" s="17" t="b">
        <v>0</v>
      </c>
      <c r="O1864" s="17" t="b">
        <v>0</v>
      </c>
      <c r="P1864" s="17" t="b">
        <v>0</v>
      </c>
      <c r="Q1864" s="17" t="b">
        <v>0</v>
      </c>
      <c r="R1864" s="17" t="b">
        <v>0</v>
      </c>
      <c r="S1864" s="17" t="b">
        <v>0</v>
      </c>
      <c r="T1864" s="17" t="b">
        <v>0</v>
      </c>
      <c r="U1864" s="17" t="b">
        <v>0</v>
      </c>
      <c r="V1864" s="17" t="b">
        <v>0</v>
      </c>
      <c r="W1864" s="11"/>
      <c r="X1864" s="12"/>
      <c r="Y1864" s="12"/>
      <c r="Z1864" s="13"/>
    </row>
    <row r="1865" spans="1:26" ht="19.95" customHeight="1" x14ac:dyDescent="0.3">
      <c r="A1865" s="6"/>
      <c r="B1865" s="7"/>
      <c r="C1865" s="8"/>
      <c r="D1865" s="8"/>
      <c r="E1865" s="8"/>
      <c r="F1865" s="9"/>
      <c r="G1865" s="9"/>
      <c r="H1865" s="9"/>
      <c r="I1865" s="9" t="s">
        <v>14</v>
      </c>
      <c r="J1865" s="10" t="s">
        <v>14</v>
      </c>
      <c r="K1865" s="15" t="e">
        <f>VLOOKUP(J1865,DADOS!$A$3:$B$101,2,FALSE)</f>
        <v>#N/A</v>
      </c>
      <c r="L1865" s="15"/>
      <c r="M1865" s="18" t="b">
        <v>0</v>
      </c>
      <c r="N1865" s="17" t="b">
        <v>0</v>
      </c>
      <c r="O1865" s="17" t="b">
        <v>0</v>
      </c>
      <c r="P1865" s="17" t="b">
        <v>0</v>
      </c>
      <c r="Q1865" s="17" t="b">
        <v>0</v>
      </c>
      <c r="R1865" s="17" t="b">
        <v>0</v>
      </c>
      <c r="S1865" s="17" t="b">
        <v>0</v>
      </c>
      <c r="T1865" s="17" t="b">
        <v>0</v>
      </c>
      <c r="U1865" s="17" t="b">
        <v>0</v>
      </c>
      <c r="V1865" s="17" t="b">
        <v>0</v>
      </c>
      <c r="W1865" s="11"/>
      <c r="X1865" s="12"/>
      <c r="Y1865" s="12"/>
      <c r="Z1865" s="13"/>
    </row>
    <row r="1866" spans="1:26" ht="19.95" customHeight="1" x14ac:dyDescent="0.3">
      <c r="A1866" s="6"/>
      <c r="B1866" s="7"/>
      <c r="C1866" s="8"/>
      <c r="D1866" s="8"/>
      <c r="E1866" s="8"/>
      <c r="F1866" s="9"/>
      <c r="G1866" s="9"/>
      <c r="H1866" s="9"/>
      <c r="I1866" s="9" t="s">
        <v>14</v>
      </c>
      <c r="J1866" s="10" t="s">
        <v>14</v>
      </c>
      <c r="K1866" s="15" t="e">
        <f>VLOOKUP(J1866,DADOS!$A$3:$B$101,2,FALSE)</f>
        <v>#N/A</v>
      </c>
      <c r="L1866" s="15"/>
      <c r="M1866" s="18" t="b">
        <v>0</v>
      </c>
      <c r="N1866" s="17" t="b">
        <v>0</v>
      </c>
      <c r="O1866" s="17" t="b">
        <v>0</v>
      </c>
      <c r="P1866" s="17" t="b">
        <v>0</v>
      </c>
      <c r="Q1866" s="17" t="b">
        <v>0</v>
      </c>
      <c r="R1866" s="17" t="b">
        <v>0</v>
      </c>
      <c r="S1866" s="17" t="b">
        <v>0</v>
      </c>
      <c r="T1866" s="17" t="b">
        <v>0</v>
      </c>
      <c r="U1866" s="17" t="b">
        <v>0</v>
      </c>
      <c r="V1866" s="17" t="b">
        <v>0</v>
      </c>
      <c r="W1866" s="11"/>
      <c r="X1866" s="12"/>
      <c r="Y1866" s="12"/>
      <c r="Z1866" s="13"/>
    </row>
    <row r="1867" spans="1:26" ht="19.95" customHeight="1" x14ac:dyDescent="0.3">
      <c r="A1867" s="6"/>
      <c r="B1867" s="7"/>
      <c r="C1867" s="8"/>
      <c r="D1867" s="8"/>
      <c r="E1867" s="8"/>
      <c r="F1867" s="9"/>
      <c r="G1867" s="9"/>
      <c r="H1867" s="9"/>
      <c r="I1867" s="9" t="s">
        <v>14</v>
      </c>
      <c r="J1867" s="10" t="s">
        <v>14</v>
      </c>
      <c r="K1867" s="15" t="e">
        <f>VLOOKUP(J1867,DADOS!$A$3:$B$101,2,FALSE)</f>
        <v>#N/A</v>
      </c>
      <c r="L1867" s="15"/>
      <c r="M1867" s="18" t="b">
        <v>0</v>
      </c>
      <c r="N1867" s="17" t="b">
        <v>0</v>
      </c>
      <c r="O1867" s="17" t="b">
        <v>0</v>
      </c>
      <c r="P1867" s="17" t="b">
        <v>0</v>
      </c>
      <c r="Q1867" s="17" t="b">
        <v>0</v>
      </c>
      <c r="R1867" s="17" t="b">
        <v>0</v>
      </c>
      <c r="S1867" s="17" t="b">
        <v>0</v>
      </c>
      <c r="T1867" s="17" t="b">
        <v>0</v>
      </c>
      <c r="U1867" s="17" t="b">
        <v>0</v>
      </c>
      <c r="V1867" s="17" t="b">
        <v>0</v>
      </c>
      <c r="W1867" s="11"/>
      <c r="X1867" s="12"/>
      <c r="Y1867" s="12"/>
      <c r="Z1867" s="13"/>
    </row>
    <row r="1868" spans="1:26" ht="19.95" customHeight="1" x14ac:dyDescent="0.3">
      <c r="A1868" s="6"/>
      <c r="B1868" s="7"/>
      <c r="C1868" s="8"/>
      <c r="D1868" s="8"/>
      <c r="E1868" s="8"/>
      <c r="F1868" s="9"/>
      <c r="G1868" s="9"/>
      <c r="H1868" s="9"/>
      <c r="I1868" s="9" t="s">
        <v>14</v>
      </c>
      <c r="J1868" s="10" t="s">
        <v>14</v>
      </c>
      <c r="K1868" s="15" t="e">
        <f>VLOOKUP(J1868,DADOS!$A$3:$B$101,2,FALSE)</f>
        <v>#N/A</v>
      </c>
      <c r="L1868" s="15"/>
      <c r="M1868" s="18" t="b">
        <v>0</v>
      </c>
      <c r="N1868" s="17" t="b">
        <v>0</v>
      </c>
      <c r="O1868" s="17" t="b">
        <v>0</v>
      </c>
      <c r="P1868" s="17" t="b">
        <v>0</v>
      </c>
      <c r="Q1868" s="17" t="b">
        <v>0</v>
      </c>
      <c r="R1868" s="17" t="b">
        <v>0</v>
      </c>
      <c r="S1868" s="17" t="b">
        <v>0</v>
      </c>
      <c r="T1868" s="17" t="b">
        <v>0</v>
      </c>
      <c r="U1868" s="17" t="b">
        <v>0</v>
      </c>
      <c r="V1868" s="17" t="b">
        <v>0</v>
      </c>
      <c r="W1868" s="11"/>
      <c r="X1868" s="12"/>
      <c r="Y1868" s="12"/>
      <c r="Z1868" s="13"/>
    </row>
    <row r="1869" spans="1:26" x14ac:dyDescent="0.3">
      <c r="A1869" s="6"/>
      <c r="B1869" s="7"/>
      <c r="C1869" s="8"/>
      <c r="D1869" s="8"/>
      <c r="E1869" s="8"/>
      <c r="F1869" s="9"/>
      <c r="G1869" s="9"/>
      <c r="H1869" s="9"/>
      <c r="I1869" s="9" t="s">
        <v>14</v>
      </c>
      <c r="J1869" s="10" t="s">
        <v>14</v>
      </c>
      <c r="K1869" s="15" t="e">
        <f>VLOOKUP(J1869,DADOS!$A$3:$B$101,2,FALSE)</f>
        <v>#N/A</v>
      </c>
      <c r="L1869" s="15"/>
      <c r="M1869" s="18" t="b">
        <v>0</v>
      </c>
      <c r="N1869" s="17" t="b">
        <v>0</v>
      </c>
      <c r="O1869" s="17" t="b">
        <v>0</v>
      </c>
      <c r="P1869" s="17" t="b">
        <v>0</v>
      </c>
      <c r="Q1869" s="17" t="b">
        <v>0</v>
      </c>
      <c r="R1869" s="17" t="b">
        <v>0</v>
      </c>
      <c r="S1869" s="17" t="b">
        <v>0</v>
      </c>
      <c r="T1869" s="17" t="b">
        <v>0</v>
      </c>
      <c r="U1869" s="17" t="b">
        <v>0</v>
      </c>
      <c r="V1869" s="17" t="b">
        <v>0</v>
      </c>
      <c r="W1869" s="11"/>
      <c r="X1869" s="12"/>
      <c r="Y1869" s="12"/>
      <c r="Z1869" s="13"/>
    </row>
    <row r="1870" spans="1:26" x14ac:dyDescent="0.3">
      <c r="A1870" s="6"/>
      <c r="B1870" s="7"/>
      <c r="C1870" s="8"/>
      <c r="D1870" s="8"/>
      <c r="E1870" s="8"/>
      <c r="F1870" s="9"/>
      <c r="G1870" s="9"/>
      <c r="H1870" s="9"/>
      <c r="I1870" s="9" t="s">
        <v>14</v>
      </c>
      <c r="J1870" s="10" t="s">
        <v>14</v>
      </c>
      <c r="K1870" s="15" t="e">
        <f>VLOOKUP(J1870,DADOS!$A$3:$B$101,2,FALSE)</f>
        <v>#N/A</v>
      </c>
      <c r="L1870" s="15"/>
      <c r="M1870" s="18" t="b">
        <v>0</v>
      </c>
      <c r="N1870" s="17" t="b">
        <v>0</v>
      </c>
      <c r="O1870" s="17" t="b">
        <v>0</v>
      </c>
      <c r="P1870" s="17" t="b">
        <v>0</v>
      </c>
      <c r="Q1870" s="17" t="b">
        <v>0</v>
      </c>
      <c r="R1870" s="17" t="b">
        <v>0</v>
      </c>
      <c r="S1870" s="17" t="b">
        <v>0</v>
      </c>
      <c r="T1870" s="17" t="b">
        <v>0</v>
      </c>
      <c r="U1870" s="17" t="b">
        <v>0</v>
      </c>
      <c r="V1870" s="17" t="b">
        <v>0</v>
      </c>
      <c r="W1870" s="11"/>
      <c r="X1870" s="12"/>
      <c r="Y1870" s="12"/>
      <c r="Z1870" s="13"/>
    </row>
  </sheetData>
  <autoFilter ref="A6:Z1870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35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B4F718-3EB5-4410-AD00-DD55FDE036E9}">
          <x14:formula1>
            <xm:f>DADOS!$A$2:$A$101</xm:f>
          </x14:formula1>
          <xm:sqref>J658:J816 J819:J1870 J615:J648</xm:sqref>
        </x14:dataValidation>
        <x14:dataValidation type="list" allowBlank="1" showInputMessage="1" showErrorMessage="1" xr:uid="{0CE43D90-60F7-47FD-96AE-EEBBD24A0F69}">
          <x14:formula1>
            <xm:f>DADOS!$A$2:$A$100</xm:f>
          </x14:formula1>
          <xm:sqref>J616:J622 J410:J614 J7:J176 J184:J407</xm:sqref>
        </x14:dataValidation>
        <x14:dataValidation type="list" allowBlank="1" showInputMessage="1" showErrorMessage="1" xr:uid="{A4A405AA-9F08-4314-8777-B2F4DECD2D78}">
          <x14:formula1>
            <xm:f>DADOS!$D$2:$D$21</xm:f>
          </x14:formula1>
          <xm:sqref>I7:I176 I819:I1870 I659:I816 I410:I648 I184:I407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38" workbookViewId="0">
      <selection activeCell="A61" sqref="A61"/>
    </sheetView>
  </sheetViews>
  <sheetFormatPr defaultRowHeight="14.4" x14ac:dyDescent="0.3"/>
  <cols>
    <col min="1" max="1" width="40.33203125" bestFit="1" customWidth="1"/>
    <col min="2" max="2" width="14.6640625" bestFit="1" customWidth="1"/>
    <col min="4" max="4" width="20.44140625" bestFit="1" customWidth="1"/>
  </cols>
  <sheetData>
    <row r="1" spans="1:4" x14ac:dyDescent="0.3">
      <c r="A1" s="64" t="s">
        <v>88</v>
      </c>
      <c r="B1" s="65"/>
      <c r="D1" s="20" t="s">
        <v>89</v>
      </c>
    </row>
    <row r="2" spans="1:4" x14ac:dyDescent="0.3">
      <c r="A2" s="16" t="s">
        <v>14</v>
      </c>
      <c r="B2" s="16" t="s">
        <v>14</v>
      </c>
      <c r="D2" s="16" t="s">
        <v>14</v>
      </c>
    </row>
    <row r="3" spans="1:4" x14ac:dyDescent="0.3">
      <c r="A3" s="19" t="s">
        <v>176</v>
      </c>
      <c r="B3" s="19" t="s">
        <v>110</v>
      </c>
      <c r="D3" s="19" t="s">
        <v>90</v>
      </c>
    </row>
    <row r="4" spans="1:4" x14ac:dyDescent="0.3">
      <c r="A4" s="19" t="s">
        <v>246</v>
      </c>
      <c r="B4" s="19" t="s">
        <v>133</v>
      </c>
      <c r="D4" s="19" t="s">
        <v>91</v>
      </c>
    </row>
    <row r="5" spans="1:4" x14ac:dyDescent="0.3">
      <c r="A5" s="19" t="s">
        <v>179</v>
      </c>
      <c r="B5" s="19" t="s">
        <v>41</v>
      </c>
      <c r="D5" s="19" t="s">
        <v>92</v>
      </c>
    </row>
    <row r="6" spans="1:4" x14ac:dyDescent="0.3">
      <c r="A6" s="19" t="s">
        <v>181</v>
      </c>
      <c r="B6" s="19" t="s">
        <v>114</v>
      </c>
      <c r="D6" s="19" t="s">
        <v>93</v>
      </c>
    </row>
    <row r="7" spans="1:4" x14ac:dyDescent="0.3">
      <c r="A7" s="19" t="s">
        <v>173</v>
      </c>
      <c r="B7" s="19" t="s">
        <v>107</v>
      </c>
      <c r="D7" s="19" t="s">
        <v>66</v>
      </c>
    </row>
    <row r="8" spans="1:4" x14ac:dyDescent="0.3">
      <c r="A8" s="19" t="s">
        <v>175</v>
      </c>
      <c r="B8" s="19" t="s">
        <v>109</v>
      </c>
      <c r="D8" s="19" t="s">
        <v>68</v>
      </c>
    </row>
    <row r="9" spans="1:4" x14ac:dyDescent="0.3">
      <c r="A9" s="19" t="s">
        <v>180</v>
      </c>
      <c r="B9" s="19" t="s">
        <v>112</v>
      </c>
      <c r="D9" s="19" t="s">
        <v>67</v>
      </c>
    </row>
    <row r="10" spans="1:4" x14ac:dyDescent="0.3">
      <c r="A10" s="19" t="s">
        <v>205</v>
      </c>
      <c r="B10" s="19" t="s">
        <v>134</v>
      </c>
      <c r="D10" s="19" t="s">
        <v>73</v>
      </c>
    </row>
    <row r="11" spans="1:4" x14ac:dyDescent="0.3">
      <c r="A11" s="19" t="s">
        <v>199</v>
      </c>
      <c r="B11" s="19" t="s">
        <v>127</v>
      </c>
      <c r="D11" s="19" t="s">
        <v>94</v>
      </c>
    </row>
    <row r="12" spans="1:4" x14ac:dyDescent="0.3">
      <c r="A12" s="19" t="s">
        <v>174</v>
      </c>
      <c r="B12" s="19" t="s">
        <v>108</v>
      </c>
      <c r="D12" s="19" t="s">
        <v>72</v>
      </c>
    </row>
    <row r="13" spans="1:4" x14ac:dyDescent="0.3">
      <c r="A13" s="19" t="s">
        <v>182</v>
      </c>
      <c r="B13" s="19" t="s">
        <v>115</v>
      </c>
      <c r="D13" s="19" t="s">
        <v>69</v>
      </c>
    </row>
    <row r="14" spans="1:4" x14ac:dyDescent="0.3">
      <c r="A14" s="19" t="s">
        <v>189</v>
      </c>
      <c r="B14" s="19" t="s">
        <v>120</v>
      </c>
      <c r="D14" s="19" t="s">
        <v>95</v>
      </c>
    </row>
    <row r="15" spans="1:4" x14ac:dyDescent="0.3">
      <c r="A15" s="19" t="s">
        <v>191</v>
      </c>
      <c r="B15" s="19" t="s">
        <v>121</v>
      </c>
      <c r="D15" s="19" t="s">
        <v>65</v>
      </c>
    </row>
    <row r="16" spans="1:4" x14ac:dyDescent="0.3">
      <c r="A16" s="19" t="s">
        <v>200</v>
      </c>
      <c r="B16" s="19" t="s">
        <v>128</v>
      </c>
      <c r="D16" s="19" t="s">
        <v>96</v>
      </c>
    </row>
    <row r="17" spans="1:4" x14ac:dyDescent="0.3">
      <c r="A17" s="19" t="s">
        <v>211</v>
      </c>
      <c r="B17" s="19" t="s">
        <v>141</v>
      </c>
      <c r="D17" s="19" t="s">
        <v>71</v>
      </c>
    </row>
    <row r="18" spans="1:4" x14ac:dyDescent="0.3">
      <c r="A18" s="19" t="s">
        <v>194</v>
      </c>
      <c r="B18" s="19" t="s">
        <v>40</v>
      </c>
      <c r="D18" s="19" t="s">
        <v>74</v>
      </c>
    </row>
    <row r="19" spans="1:4" x14ac:dyDescent="0.3">
      <c r="A19" s="19" t="s">
        <v>212</v>
      </c>
      <c r="B19" s="19" t="s">
        <v>142</v>
      </c>
      <c r="D19" s="19" t="s">
        <v>97</v>
      </c>
    </row>
    <row r="20" spans="1:4" x14ac:dyDescent="0.3">
      <c r="A20" s="19" t="s">
        <v>188</v>
      </c>
      <c r="B20" s="19" t="s">
        <v>37</v>
      </c>
      <c r="D20" s="19" t="s">
        <v>64</v>
      </c>
    </row>
    <row r="21" spans="1:4" x14ac:dyDescent="0.3">
      <c r="A21" s="19" t="s">
        <v>190</v>
      </c>
      <c r="B21" s="19" t="s">
        <v>38</v>
      </c>
      <c r="D21" s="19" t="s">
        <v>70</v>
      </c>
    </row>
    <row r="22" spans="1:4" x14ac:dyDescent="0.3">
      <c r="A22" s="19" t="s">
        <v>240</v>
      </c>
      <c r="B22" s="19" t="s">
        <v>49</v>
      </c>
    </row>
    <row r="23" spans="1:4" x14ac:dyDescent="0.3">
      <c r="A23" s="19" t="s">
        <v>238</v>
      </c>
      <c r="B23" s="19" t="s">
        <v>44</v>
      </c>
    </row>
    <row r="24" spans="1:4" x14ac:dyDescent="0.3">
      <c r="A24" s="19" t="s">
        <v>227</v>
      </c>
      <c r="B24" s="19" t="s">
        <v>157</v>
      </c>
    </row>
    <row r="25" spans="1:4" x14ac:dyDescent="0.3">
      <c r="A25" s="19" t="s">
        <v>22</v>
      </c>
      <c r="B25" s="19" t="s">
        <v>35</v>
      </c>
    </row>
    <row r="26" spans="1:4" x14ac:dyDescent="0.3">
      <c r="A26" s="19" t="s">
        <v>185</v>
      </c>
      <c r="B26" s="19" t="s">
        <v>36</v>
      </c>
    </row>
    <row r="27" spans="1:4" x14ac:dyDescent="0.3">
      <c r="A27" s="19" t="s">
        <v>210</v>
      </c>
      <c r="B27" s="19" t="s">
        <v>139</v>
      </c>
    </row>
    <row r="28" spans="1:4" x14ac:dyDescent="0.3">
      <c r="A28" s="19" t="s">
        <v>172</v>
      </c>
      <c r="B28" s="19" t="s">
        <v>106</v>
      </c>
    </row>
    <row r="29" spans="1:4" x14ac:dyDescent="0.3">
      <c r="A29" s="19" t="s">
        <v>178</v>
      </c>
      <c r="B29" s="19" t="s">
        <v>111</v>
      </c>
    </row>
    <row r="30" spans="1:4" x14ac:dyDescent="0.3">
      <c r="A30" s="19" t="s">
        <v>177</v>
      </c>
      <c r="B30" s="19" t="s">
        <v>63</v>
      </c>
    </row>
    <row r="31" spans="1:4" x14ac:dyDescent="0.3">
      <c r="A31" s="19" t="s">
        <v>219</v>
      </c>
      <c r="B31" s="19" t="s">
        <v>149</v>
      </c>
    </row>
    <row r="32" spans="1:4" x14ac:dyDescent="0.3">
      <c r="A32" s="19" t="s">
        <v>16</v>
      </c>
      <c r="B32" s="19" t="s">
        <v>33</v>
      </c>
    </row>
    <row r="33" spans="1:2" x14ac:dyDescent="0.3">
      <c r="A33" s="19" t="s">
        <v>15</v>
      </c>
      <c r="B33" s="19" t="s">
        <v>32</v>
      </c>
    </row>
    <row r="34" spans="1:2" x14ac:dyDescent="0.3">
      <c r="A34" s="19" t="s">
        <v>214</v>
      </c>
      <c r="B34" s="19" t="s">
        <v>144</v>
      </c>
    </row>
    <row r="35" spans="1:2" x14ac:dyDescent="0.3">
      <c r="A35" s="19" t="s">
        <v>216</v>
      </c>
      <c r="B35" s="19" t="s">
        <v>146</v>
      </c>
    </row>
    <row r="36" spans="1:2" x14ac:dyDescent="0.3">
      <c r="A36" s="19" t="s">
        <v>213</v>
      </c>
      <c r="B36" s="19" t="s">
        <v>143</v>
      </c>
    </row>
    <row r="37" spans="1:2" x14ac:dyDescent="0.3">
      <c r="A37" s="19" t="s">
        <v>220</v>
      </c>
      <c r="B37" s="19" t="s">
        <v>150</v>
      </c>
    </row>
    <row r="38" spans="1:2" x14ac:dyDescent="0.3">
      <c r="A38" s="19" t="s">
        <v>221</v>
      </c>
      <c r="B38" s="19" t="s">
        <v>151</v>
      </c>
    </row>
    <row r="39" spans="1:2" x14ac:dyDescent="0.3">
      <c r="A39" s="19" t="s">
        <v>26</v>
      </c>
      <c r="B39" s="19" t="s">
        <v>47</v>
      </c>
    </row>
    <row r="40" spans="1:2" x14ac:dyDescent="0.3">
      <c r="A40" s="19" t="s">
        <v>23</v>
      </c>
      <c r="B40" s="19" t="s">
        <v>39</v>
      </c>
    </row>
    <row r="41" spans="1:2" x14ac:dyDescent="0.3">
      <c r="A41" s="19" t="s">
        <v>226</v>
      </c>
      <c r="B41" s="19" t="s">
        <v>156</v>
      </c>
    </row>
    <row r="42" spans="1:2" x14ac:dyDescent="0.3">
      <c r="A42" s="19" t="s">
        <v>21</v>
      </c>
      <c r="B42" s="19" t="s">
        <v>59</v>
      </c>
    </row>
    <row r="43" spans="1:2" x14ac:dyDescent="0.3">
      <c r="A43" s="19" t="s">
        <v>19</v>
      </c>
      <c r="B43" s="19" t="s">
        <v>54</v>
      </c>
    </row>
    <row r="44" spans="1:2" x14ac:dyDescent="0.3">
      <c r="A44" s="19" t="s">
        <v>234</v>
      </c>
      <c r="B44" s="19" t="s">
        <v>57</v>
      </c>
    </row>
    <row r="45" spans="1:2" x14ac:dyDescent="0.3">
      <c r="A45" s="19" t="s">
        <v>27</v>
      </c>
      <c r="B45" s="19" t="s">
        <v>56</v>
      </c>
    </row>
    <row r="46" spans="1:2" x14ac:dyDescent="0.3">
      <c r="A46" s="19" t="s">
        <v>241</v>
      </c>
      <c r="B46" s="19" t="s">
        <v>55</v>
      </c>
    </row>
    <row r="47" spans="1:2" x14ac:dyDescent="0.3">
      <c r="A47" s="19" t="s">
        <v>203</v>
      </c>
      <c r="B47" s="19" t="s">
        <v>131</v>
      </c>
    </row>
    <row r="48" spans="1:2" x14ac:dyDescent="0.3">
      <c r="A48" s="19" t="s">
        <v>183</v>
      </c>
      <c r="B48" s="19" t="s">
        <v>116</v>
      </c>
    </row>
    <row r="49" spans="1:2" x14ac:dyDescent="0.3">
      <c r="A49" s="19" t="s">
        <v>187</v>
      </c>
      <c r="B49" s="19" t="s">
        <v>119</v>
      </c>
    </row>
    <row r="50" spans="1:2" x14ac:dyDescent="0.3">
      <c r="A50" s="19" t="s">
        <v>186</v>
      </c>
      <c r="B50" s="19" t="s">
        <v>31</v>
      </c>
    </row>
    <row r="51" spans="1:2" x14ac:dyDescent="0.3">
      <c r="A51" s="19" t="s">
        <v>225</v>
      </c>
      <c r="B51" s="19" t="s">
        <v>155</v>
      </c>
    </row>
    <row r="52" spans="1:2" x14ac:dyDescent="0.3">
      <c r="A52" s="19" t="s">
        <v>20</v>
      </c>
      <c r="B52" s="19" t="s">
        <v>58</v>
      </c>
    </row>
    <row r="53" spans="1:2" x14ac:dyDescent="0.3">
      <c r="A53" s="19" t="s">
        <v>243</v>
      </c>
      <c r="B53" s="19" t="s">
        <v>170</v>
      </c>
    </row>
    <row r="54" spans="1:2" x14ac:dyDescent="0.3">
      <c r="A54" s="19" t="s">
        <v>250</v>
      </c>
      <c r="B54" s="19" t="s">
        <v>117</v>
      </c>
    </row>
    <row r="55" spans="1:2" x14ac:dyDescent="0.3">
      <c r="A55" s="19" t="s">
        <v>207</v>
      </c>
      <c r="B55" s="19" t="s">
        <v>136</v>
      </c>
    </row>
    <row r="56" spans="1:2" x14ac:dyDescent="0.3">
      <c r="A56" s="19" t="s">
        <v>251</v>
      </c>
      <c r="B56" s="19" t="s">
        <v>118</v>
      </c>
    </row>
    <row r="57" spans="1:2" x14ac:dyDescent="0.3">
      <c r="A57" s="19" t="s">
        <v>201</v>
      </c>
      <c r="B57" s="19" t="s">
        <v>129</v>
      </c>
    </row>
    <row r="58" spans="1:2" x14ac:dyDescent="0.3">
      <c r="A58" s="19" t="s">
        <v>202</v>
      </c>
      <c r="B58" s="19" t="s">
        <v>130</v>
      </c>
    </row>
    <row r="59" spans="1:2" x14ac:dyDescent="0.3">
      <c r="A59" s="19" t="s">
        <v>233</v>
      </c>
      <c r="B59" s="19" t="s">
        <v>43</v>
      </c>
    </row>
    <row r="60" spans="1:2" x14ac:dyDescent="0.3">
      <c r="A60" s="19" t="s">
        <v>28</v>
      </c>
      <c r="B60" s="19" t="s">
        <v>45</v>
      </c>
    </row>
    <row r="61" spans="1:2" x14ac:dyDescent="0.3">
      <c r="A61" s="39" t="s">
        <v>236</v>
      </c>
      <c r="B61" s="19" t="s">
        <v>46</v>
      </c>
    </row>
    <row r="62" spans="1:2" x14ac:dyDescent="0.3">
      <c r="A62" s="19" t="s">
        <v>239</v>
      </c>
      <c r="B62" s="19" t="s">
        <v>168</v>
      </c>
    </row>
    <row r="63" spans="1:2" x14ac:dyDescent="0.3">
      <c r="A63" s="19" t="s">
        <v>25</v>
      </c>
      <c r="B63" s="19" t="s">
        <v>50</v>
      </c>
    </row>
    <row r="64" spans="1:2" x14ac:dyDescent="0.3">
      <c r="A64" s="19" t="s">
        <v>30</v>
      </c>
      <c r="B64" s="19" t="s">
        <v>51</v>
      </c>
    </row>
    <row r="65" spans="1:2" x14ac:dyDescent="0.3">
      <c r="A65" s="19" t="s">
        <v>223</v>
      </c>
      <c r="B65" s="19" t="s">
        <v>153</v>
      </c>
    </row>
    <row r="66" spans="1:2" x14ac:dyDescent="0.3">
      <c r="A66" s="19" t="s">
        <v>247</v>
      </c>
      <c r="B66" s="19" t="s">
        <v>162</v>
      </c>
    </row>
    <row r="67" spans="1:2" x14ac:dyDescent="0.3">
      <c r="A67" s="19" t="s">
        <v>222</v>
      </c>
      <c r="B67" s="19" t="s">
        <v>154</v>
      </c>
    </row>
    <row r="68" spans="1:2" x14ac:dyDescent="0.3">
      <c r="A68" s="19" t="s">
        <v>229</v>
      </c>
      <c r="B68" s="19" t="s">
        <v>164</v>
      </c>
    </row>
    <row r="69" spans="1:2" x14ac:dyDescent="0.3">
      <c r="A69" s="19" t="s">
        <v>248</v>
      </c>
      <c r="B69" s="19" t="s">
        <v>159</v>
      </c>
    </row>
    <row r="70" spans="1:2" x14ac:dyDescent="0.3">
      <c r="A70" s="19" t="s">
        <v>249</v>
      </c>
      <c r="B70" s="19" t="s">
        <v>158</v>
      </c>
    </row>
    <row r="71" spans="1:2" x14ac:dyDescent="0.3">
      <c r="A71" s="19" t="s">
        <v>228</v>
      </c>
      <c r="B71" s="19" t="s">
        <v>160</v>
      </c>
    </row>
    <row r="72" spans="1:2" x14ac:dyDescent="0.3">
      <c r="A72" s="19" t="s">
        <v>224</v>
      </c>
      <c r="B72" s="19" t="s">
        <v>152</v>
      </c>
    </row>
    <row r="73" spans="1:2" x14ac:dyDescent="0.3">
      <c r="A73" s="19" t="s">
        <v>245</v>
      </c>
      <c r="B73" s="19" t="s">
        <v>163</v>
      </c>
    </row>
    <row r="74" spans="1:2" x14ac:dyDescent="0.3">
      <c r="A74" s="19" t="s">
        <v>29</v>
      </c>
      <c r="B74" s="19" t="s">
        <v>48</v>
      </c>
    </row>
    <row r="75" spans="1:2" x14ac:dyDescent="0.3">
      <c r="A75" s="19" t="s">
        <v>24</v>
      </c>
      <c r="B75" s="19" t="s">
        <v>138</v>
      </c>
    </row>
    <row r="76" spans="1:2" x14ac:dyDescent="0.3">
      <c r="A76" s="19" t="s">
        <v>24</v>
      </c>
      <c r="B76" s="19" t="s">
        <v>169</v>
      </c>
    </row>
    <row r="77" spans="1:2" x14ac:dyDescent="0.3">
      <c r="A77" s="19" t="s">
        <v>184</v>
      </c>
      <c r="B77" s="19" t="s">
        <v>62</v>
      </c>
    </row>
    <row r="78" spans="1:2" x14ac:dyDescent="0.3">
      <c r="A78" s="19" t="s">
        <v>218</v>
      </c>
      <c r="B78" s="19" t="s">
        <v>148</v>
      </c>
    </row>
    <row r="79" spans="1:2" x14ac:dyDescent="0.3">
      <c r="A79" s="19" t="s">
        <v>204</v>
      </c>
      <c r="B79" s="19" t="s">
        <v>132</v>
      </c>
    </row>
    <row r="80" spans="1:2" x14ac:dyDescent="0.3">
      <c r="A80" s="19" t="s">
        <v>206</v>
      </c>
      <c r="B80" s="19" t="s">
        <v>135</v>
      </c>
    </row>
    <row r="81" spans="1:2" x14ac:dyDescent="0.3">
      <c r="A81" s="19" t="s">
        <v>197</v>
      </c>
      <c r="B81" s="19" t="s">
        <v>113</v>
      </c>
    </row>
    <row r="82" spans="1:2" x14ac:dyDescent="0.3">
      <c r="A82" s="19" t="s">
        <v>196</v>
      </c>
      <c r="B82" s="19" t="s">
        <v>125</v>
      </c>
    </row>
    <row r="83" spans="1:2" x14ac:dyDescent="0.3">
      <c r="A83" s="19" t="s">
        <v>198</v>
      </c>
      <c r="B83" s="19" t="s">
        <v>126</v>
      </c>
    </row>
    <row r="84" spans="1:2" x14ac:dyDescent="0.3">
      <c r="A84" s="19" t="s">
        <v>192</v>
      </c>
      <c r="B84" s="19" t="s">
        <v>122</v>
      </c>
    </row>
    <row r="85" spans="1:2" x14ac:dyDescent="0.3">
      <c r="A85" s="19" t="s">
        <v>195</v>
      </c>
      <c r="B85" s="19" t="s">
        <v>124</v>
      </c>
    </row>
    <row r="86" spans="1:2" x14ac:dyDescent="0.3">
      <c r="A86" s="19" t="s">
        <v>208</v>
      </c>
      <c r="B86" s="19" t="s">
        <v>137</v>
      </c>
    </row>
    <row r="87" spans="1:2" x14ac:dyDescent="0.3">
      <c r="A87" s="19" t="s">
        <v>193</v>
      </c>
      <c r="B87" s="19" t="s">
        <v>123</v>
      </c>
    </row>
    <row r="88" spans="1:2" x14ac:dyDescent="0.3">
      <c r="A88" s="19" t="s">
        <v>60</v>
      </c>
      <c r="B88" s="19" t="s">
        <v>61</v>
      </c>
    </row>
    <row r="89" spans="1:2" x14ac:dyDescent="0.3">
      <c r="A89" s="19" t="s">
        <v>244</v>
      </c>
      <c r="B89" s="19" t="s">
        <v>171</v>
      </c>
    </row>
    <row r="90" spans="1:2" x14ac:dyDescent="0.3">
      <c r="A90" s="19" t="s">
        <v>242</v>
      </c>
      <c r="B90" s="19" t="s">
        <v>53</v>
      </c>
    </row>
    <row r="91" spans="1:2" x14ac:dyDescent="0.3">
      <c r="A91" s="19" t="s">
        <v>237</v>
      </c>
      <c r="B91" s="19" t="s">
        <v>52</v>
      </c>
    </row>
    <row r="92" spans="1:2" x14ac:dyDescent="0.3">
      <c r="A92" s="19" t="s">
        <v>230</v>
      </c>
      <c r="B92" s="19" t="s">
        <v>165</v>
      </c>
    </row>
    <row r="93" spans="1:2" x14ac:dyDescent="0.3">
      <c r="A93" s="19" t="s">
        <v>231</v>
      </c>
      <c r="B93" s="19" t="s">
        <v>166</v>
      </c>
    </row>
    <row r="94" spans="1:2" x14ac:dyDescent="0.3">
      <c r="A94" s="19" t="s">
        <v>232</v>
      </c>
      <c r="B94" s="19" t="s">
        <v>167</v>
      </c>
    </row>
    <row r="95" spans="1:2" x14ac:dyDescent="0.3">
      <c r="A95" s="19" t="s">
        <v>18</v>
      </c>
      <c r="B95" s="19" t="s">
        <v>161</v>
      </c>
    </row>
    <row r="96" spans="1:2" x14ac:dyDescent="0.3">
      <c r="A96" s="19" t="s">
        <v>235</v>
      </c>
      <c r="B96" s="19" t="s">
        <v>42</v>
      </c>
    </row>
    <row r="97" spans="1:2" x14ac:dyDescent="0.3">
      <c r="A97" s="19" t="s">
        <v>17</v>
      </c>
      <c r="B97" s="19" t="s">
        <v>34</v>
      </c>
    </row>
    <row r="98" spans="1:2" x14ac:dyDescent="0.3">
      <c r="A98" s="19" t="s">
        <v>215</v>
      </c>
      <c r="B98" s="19" t="s">
        <v>145</v>
      </c>
    </row>
    <row r="99" spans="1:2" x14ac:dyDescent="0.3">
      <c r="A99" s="19" t="s">
        <v>217</v>
      </c>
      <c r="B99" s="19" t="s">
        <v>147</v>
      </c>
    </row>
    <row r="100" spans="1:2" x14ac:dyDescent="0.3">
      <c r="A100" s="19" t="s">
        <v>209</v>
      </c>
      <c r="B100" s="19" t="s">
        <v>140</v>
      </c>
    </row>
    <row r="101" spans="1:2" x14ac:dyDescent="0.3">
      <c r="A101" s="19" t="s">
        <v>253</v>
      </c>
      <c r="B101" s="19" t="s">
        <v>252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Gabrielie Ayra Makiyama</cp:lastModifiedBy>
  <cp:lastPrinted>2025-04-17T17:20:21Z</cp:lastPrinted>
  <dcterms:created xsi:type="dcterms:W3CDTF">2014-01-07T16:56:27Z</dcterms:created>
  <dcterms:modified xsi:type="dcterms:W3CDTF">2026-01-05T18:46:57Z</dcterms:modified>
</cp:coreProperties>
</file>