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D87B86BC-1E18-4108-8DD2-9E6E4AC88C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</externalReferences>
  <definedNames>
    <definedName name="_xlnm._FilterDatabase" localSheetId="0" hidden="1">'FORM-PR-051'!$A$6:$Z$1448</definedName>
    <definedName name="_xlnm.Print_Area" localSheetId="0">'FORM-PR-051'!$A$1:$Z$7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7" i="1" l="1"/>
  <c r="K268" i="1"/>
  <c r="K267" i="1"/>
  <c r="K266" i="1"/>
  <c r="K569" i="1"/>
  <c r="K446" i="1"/>
  <c r="K445" i="1"/>
  <c r="K444" i="1"/>
  <c r="K367" i="1"/>
  <c r="K357" i="1" l="1"/>
  <c r="K100" i="1"/>
  <c r="K99" i="1"/>
  <c r="K98" i="1"/>
  <c r="K97" i="1"/>
  <c r="K96" i="1"/>
  <c r="K95" i="1"/>
  <c r="K332" i="1"/>
  <c r="K331" i="1"/>
  <c r="K398" i="1"/>
  <c r="K397" i="1"/>
  <c r="K396" i="1"/>
  <c r="K395" i="1"/>
  <c r="K394" i="1"/>
  <c r="K391" i="1"/>
  <c r="K392" i="1"/>
  <c r="K393" i="1"/>
  <c r="K389" i="1"/>
  <c r="K390" i="1"/>
  <c r="K387" i="1"/>
  <c r="K388" i="1"/>
  <c r="K386" i="1"/>
  <c r="K515" i="1" l="1"/>
  <c r="K516" i="1"/>
  <c r="K517" i="1"/>
  <c r="K518" i="1"/>
  <c r="K519" i="1"/>
  <c r="K520" i="1"/>
  <c r="K521" i="1"/>
  <c r="K522" i="1"/>
  <c r="K523" i="1"/>
  <c r="K420" i="1"/>
  <c r="K451" i="1"/>
  <c r="K485" i="1"/>
  <c r="K422" i="1"/>
  <c r="K423" i="1"/>
  <c r="K424" i="1"/>
  <c r="K421" i="1"/>
  <c r="K93" i="1"/>
  <c r="K94" i="1"/>
  <c r="K92" i="1"/>
  <c r="K91" i="1"/>
  <c r="K513" i="1"/>
  <c r="K514" i="1"/>
  <c r="K512" i="1"/>
  <c r="K510" i="1"/>
  <c r="K511" i="1"/>
  <c r="K404" i="1"/>
  <c r="K411" i="1"/>
  <c r="K412" i="1"/>
  <c r="K413" i="1"/>
  <c r="K414" i="1"/>
  <c r="K415" i="1"/>
  <c r="K416" i="1"/>
  <c r="K417" i="1"/>
  <c r="K418" i="1"/>
  <c r="K419" i="1"/>
  <c r="K425" i="1"/>
  <c r="K505" i="1"/>
  <c r="K504" i="1"/>
  <c r="K437" i="1"/>
  <c r="K410" i="1"/>
  <c r="K409" i="1"/>
  <c r="K407" i="1"/>
  <c r="K408" i="1"/>
  <c r="K361" i="1"/>
  <c r="K362" i="1"/>
  <c r="K431" i="1"/>
  <c r="K461" i="1"/>
  <c r="K460" i="1"/>
  <c r="K90" i="1"/>
  <c r="K428" i="1"/>
  <c r="K427" i="1"/>
  <c r="K426" i="1"/>
  <c r="K304" i="1"/>
  <c r="K303" i="1"/>
  <c r="K438" i="1"/>
  <c r="K509" i="1"/>
  <c r="K508" i="1"/>
  <c r="K302" i="1"/>
  <c r="K429" i="1"/>
  <c r="K498" i="1"/>
  <c r="K501" i="1"/>
  <c r="K502" i="1"/>
  <c r="K503" i="1"/>
  <c r="K385" i="1"/>
  <c r="K475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39" i="1"/>
  <c r="K507" i="1"/>
  <c r="K462" i="1" l="1"/>
  <c r="K320" i="1" l="1"/>
  <c r="K506" i="1"/>
  <c r="K562" i="1"/>
  <c r="K561" i="1"/>
  <c r="K560" i="1"/>
  <c r="K459" i="1"/>
  <c r="K372" i="1"/>
  <c r="K373" i="1"/>
  <c r="K557" i="1" l="1"/>
  <c r="K559" i="1"/>
  <c r="K555" i="1"/>
  <c r="K554" i="1"/>
  <c r="K553" i="1"/>
  <c r="K539" i="1"/>
  <c r="K552" i="1"/>
  <c r="K551" i="1"/>
  <c r="K550" i="1"/>
  <c r="K549" i="1"/>
  <c r="K548" i="1"/>
  <c r="K547" i="1"/>
  <c r="K546" i="1"/>
  <c r="K545" i="1"/>
  <c r="K544" i="1"/>
  <c r="K542" i="1"/>
  <c r="K538" i="1"/>
  <c r="K534" i="1"/>
  <c r="K525" i="1"/>
  <c r="K528" i="1"/>
  <c r="K529" i="1"/>
  <c r="K530" i="1"/>
  <c r="K489" i="1"/>
  <c r="K381" i="1" l="1"/>
  <c r="K382" i="1"/>
  <c r="K383" i="1"/>
  <c r="K384" i="1"/>
  <c r="K380" i="1"/>
  <c r="K399" i="1"/>
  <c r="K377" i="1"/>
  <c r="K378" i="1"/>
  <c r="K379" i="1"/>
  <c r="K400" i="1"/>
  <c r="K375" i="1"/>
  <c r="K376" i="1"/>
  <c r="K458" i="1" l="1"/>
  <c r="K457" i="1"/>
  <c r="K456" i="1"/>
  <c r="K481" i="1"/>
  <c r="K371" i="1"/>
  <c r="K479" i="1"/>
  <c r="K480" i="1"/>
  <c r="K441" i="1"/>
  <c r="K359" i="1"/>
  <c r="K360" i="1"/>
  <c r="K196" i="1"/>
  <c r="K318" i="1"/>
  <c r="K319" i="1"/>
  <c r="K317" i="1" l="1"/>
  <c r="K316" i="1"/>
  <c r="K216" i="1"/>
  <c r="K217" i="1"/>
  <c r="K314" i="1"/>
  <c r="K315" i="1"/>
  <c r="K328" i="1"/>
  <c r="K329" i="1"/>
  <c r="K353" i="1"/>
  <c r="K354" i="1"/>
  <c r="K351" i="1"/>
  <c r="K352" i="1"/>
  <c r="K350" i="1"/>
  <c r="K355" i="1"/>
  <c r="K347" i="1"/>
  <c r="K348" i="1"/>
  <c r="K308" i="1"/>
  <c r="K309" i="1"/>
  <c r="K26" i="1"/>
  <c r="K277" i="1"/>
  <c r="K279" i="1"/>
  <c r="K280" i="1"/>
  <c r="K271" i="1"/>
  <c r="K272" i="1"/>
  <c r="K273" i="1"/>
  <c r="K274" i="1"/>
  <c r="K275" i="1"/>
  <c r="K276" i="1"/>
  <c r="K278" i="1"/>
  <c r="K281" i="1"/>
  <c r="K282" i="1"/>
  <c r="K283" i="1"/>
  <c r="K284" i="1"/>
  <c r="K285" i="1"/>
  <c r="K286" i="1"/>
  <c r="K288" i="1"/>
  <c r="K287" i="1"/>
  <c r="K289" i="1"/>
  <c r="K323" i="1"/>
  <c r="K324" i="1"/>
  <c r="K344" i="1"/>
  <c r="K343" i="1"/>
  <c r="K342" i="1"/>
  <c r="K322" i="1"/>
  <c r="K321" i="1"/>
  <c r="K325" i="1"/>
  <c r="K290" i="1"/>
  <c r="K291" i="1"/>
  <c r="K292" i="1"/>
  <c r="K293" i="1"/>
  <c r="K341" i="1"/>
  <c r="K340" i="1"/>
  <c r="K339" i="1"/>
  <c r="K311" i="1"/>
  <c r="K312" i="1"/>
  <c r="K66" i="1"/>
  <c r="K81" i="1"/>
  <c r="K327" i="1"/>
  <c r="K313" i="1"/>
  <c r="K310" i="1"/>
  <c r="K307" i="1"/>
  <c r="K194" i="1"/>
  <c r="K195" i="1"/>
  <c r="K191" i="1"/>
  <c r="K192" i="1"/>
  <c r="K193" i="1"/>
  <c r="K306" i="1"/>
  <c r="K305" i="1"/>
  <c r="K301" i="1"/>
  <c r="K300" i="1"/>
  <c r="K264" i="1"/>
  <c r="K157" i="1"/>
  <c r="K158" i="1"/>
  <c r="K299" i="1"/>
  <c r="K165" i="1"/>
  <c r="K164" i="1"/>
  <c r="K163" i="1"/>
  <c r="K162" i="1"/>
  <c r="K161" i="1"/>
  <c r="K263" i="1"/>
  <c r="K262" i="1"/>
  <c r="K261" i="1"/>
  <c r="K259" i="1"/>
  <c r="K260" i="1"/>
  <c r="K294" i="1"/>
  <c r="K295" i="1"/>
  <c r="K269" i="1"/>
  <c r="K270" i="1"/>
  <c r="K38" i="1"/>
  <c r="K253" i="1"/>
  <c r="K254" i="1"/>
  <c r="K37" i="1"/>
  <c r="K178" i="1"/>
  <c r="K105" i="1"/>
  <c r="K104" i="1"/>
  <c r="K177" i="1" l="1"/>
  <c r="K102" i="1"/>
  <c r="K103" i="1"/>
  <c r="K127" i="1"/>
  <c r="K128" i="1"/>
  <c r="K129" i="1"/>
  <c r="K130" i="1"/>
  <c r="K131" i="1"/>
  <c r="K187" i="1"/>
  <c r="K186" i="1"/>
  <c r="K256" i="1"/>
  <c r="K255" i="1"/>
  <c r="K252" i="1"/>
  <c r="K251" i="1"/>
  <c r="K250" i="1"/>
  <c r="K249" i="1"/>
  <c r="K248" i="1"/>
  <c r="K224" i="1"/>
  <c r="K223" i="1"/>
  <c r="K222" i="1"/>
  <c r="K221" i="1"/>
  <c r="K220" i="1"/>
  <c r="K219" i="1"/>
  <c r="K215" i="1"/>
  <c r="K214" i="1"/>
  <c r="K213" i="1"/>
  <c r="K207" i="1"/>
  <c r="K208" i="1"/>
  <c r="K211" i="1"/>
  <c r="K205" i="1"/>
  <c r="K206" i="1"/>
  <c r="K210" i="1"/>
  <c r="K209" i="1"/>
  <c r="K184" i="1"/>
  <c r="K183" i="1"/>
  <c r="K185" i="1"/>
  <c r="K190" i="1"/>
  <c r="K189" i="1"/>
  <c r="K188" i="1"/>
  <c r="K180" i="1"/>
  <c r="K179" i="1"/>
  <c r="K172" i="1"/>
  <c r="K171" i="1"/>
  <c r="K176" i="1"/>
  <c r="K175" i="1"/>
  <c r="K174" i="1"/>
  <c r="K173" i="1"/>
  <c r="K42" i="1"/>
  <c r="K43" i="1"/>
  <c r="K44" i="1"/>
  <c r="K45" i="1"/>
  <c r="K160" i="1"/>
  <c r="K159" i="1"/>
  <c r="K156" i="1"/>
  <c r="K155" i="1"/>
  <c r="K135" i="1"/>
  <c r="K154" i="1"/>
  <c r="K153" i="1"/>
  <c r="K152" i="1"/>
  <c r="K151" i="1"/>
  <c r="K150" i="1"/>
  <c r="K149" i="1"/>
  <c r="K148" i="1"/>
  <c r="K134" i="1"/>
  <c r="K147" i="1"/>
  <c r="K146" i="1"/>
  <c r="K145" i="1"/>
  <c r="K144" i="1"/>
  <c r="K143" i="1"/>
  <c r="K142" i="1"/>
  <c r="K141" i="1"/>
  <c r="K140" i="1"/>
  <c r="K139" i="1"/>
  <c r="K138" i="1"/>
  <c r="K137" i="1"/>
  <c r="K132" i="1"/>
  <c r="K126" i="1"/>
  <c r="K122" i="1"/>
  <c r="K120" i="1"/>
  <c r="K121" i="1"/>
  <c r="K119" i="1"/>
  <c r="K118" i="1"/>
  <c r="K125" i="1"/>
  <c r="K124" i="1"/>
  <c r="K123" i="1"/>
  <c r="K114" i="1"/>
  <c r="K113" i="1"/>
  <c r="K112" i="1"/>
  <c r="K111" i="1"/>
  <c r="K110" i="1"/>
  <c r="K109" i="1"/>
  <c r="K108" i="1"/>
  <c r="K107" i="1"/>
  <c r="K84" i="1"/>
  <c r="K83" i="1"/>
  <c r="K77" i="1"/>
  <c r="K82" i="1"/>
  <c r="K80" i="1"/>
  <c r="K79" i="1"/>
  <c r="K78" i="1"/>
  <c r="K74" i="1"/>
  <c r="K72" i="1"/>
  <c r="K71" i="1"/>
  <c r="K70" i="1"/>
  <c r="K69" i="1"/>
  <c r="K68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7" i="1"/>
  <c r="K46" i="1"/>
  <c r="K35" i="1"/>
  <c r="K36" i="1"/>
  <c r="K33" i="1"/>
  <c r="K34" i="1"/>
  <c r="K32" i="1"/>
  <c r="K31" i="1"/>
  <c r="K30" i="1"/>
  <c r="K29" i="1"/>
  <c r="K28" i="1"/>
  <c r="K27" i="1"/>
  <c r="K25" i="1"/>
  <c r="K197" i="1"/>
  <c r="K198" i="1"/>
  <c r="K199" i="1"/>
  <c r="K200" i="1"/>
  <c r="K201" i="1"/>
  <c r="K202" i="1"/>
  <c r="K203" i="1"/>
  <c r="K204" i="1"/>
  <c r="K212" i="1"/>
  <c r="K218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57" i="1"/>
  <c r="K258" i="1"/>
  <c r="K265" i="1"/>
  <c r="K296" i="1"/>
  <c r="K297" i="1"/>
  <c r="K298" i="1"/>
  <c r="K85" i="1"/>
  <c r="K86" i="1"/>
  <c r="K87" i="1"/>
  <c r="K88" i="1"/>
  <c r="K89" i="1"/>
  <c r="K326" i="1"/>
  <c r="K338" i="1"/>
  <c r="K345" i="1"/>
  <c r="K346" i="1"/>
  <c r="K349" i="1"/>
  <c r="K363" i="1"/>
  <c r="K364" i="1"/>
  <c r="K365" i="1"/>
  <c r="K368" i="1"/>
  <c r="K369" i="1"/>
  <c r="K370" i="1"/>
  <c r="K374" i="1"/>
  <c r="K401" i="1"/>
  <c r="K402" i="1"/>
  <c r="K403" i="1"/>
  <c r="K405" i="1"/>
  <c r="K406" i="1"/>
  <c r="K430" i="1"/>
  <c r="K432" i="1"/>
  <c r="K433" i="1"/>
  <c r="K434" i="1"/>
  <c r="K435" i="1"/>
  <c r="K436" i="1"/>
  <c r="K440" i="1"/>
  <c r="K447" i="1"/>
  <c r="K448" i="1"/>
  <c r="K449" i="1"/>
  <c r="K450" i="1"/>
  <c r="K452" i="1"/>
  <c r="K453" i="1"/>
  <c r="K454" i="1"/>
  <c r="K455" i="1"/>
  <c r="K476" i="1"/>
  <c r="K477" i="1"/>
  <c r="K478" i="1"/>
  <c r="K482" i="1"/>
  <c r="K483" i="1"/>
  <c r="K484" i="1"/>
  <c r="K486" i="1"/>
  <c r="K487" i="1"/>
  <c r="K488" i="1"/>
  <c r="K490" i="1"/>
  <c r="K491" i="1"/>
  <c r="K492" i="1"/>
  <c r="K493" i="1"/>
  <c r="K494" i="1"/>
  <c r="K495" i="1"/>
  <c r="K496" i="1"/>
  <c r="K497" i="1"/>
  <c r="K499" i="1"/>
  <c r="K500" i="1"/>
  <c r="K524" i="1"/>
  <c r="K526" i="1"/>
  <c r="K527" i="1"/>
  <c r="K531" i="1"/>
  <c r="K532" i="1"/>
  <c r="K533" i="1"/>
  <c r="K535" i="1"/>
  <c r="K536" i="1"/>
  <c r="K537" i="1"/>
  <c r="K540" i="1"/>
  <c r="K541" i="1"/>
  <c r="K543" i="1"/>
  <c r="K556" i="1"/>
  <c r="K558" i="1"/>
  <c r="K563" i="1"/>
  <c r="K564" i="1"/>
  <c r="K565" i="1"/>
  <c r="K566" i="1"/>
  <c r="K567" i="1"/>
  <c r="K568" i="1"/>
  <c r="K330" i="1"/>
  <c r="K442" i="1"/>
  <c r="K443" i="1"/>
  <c r="K333" i="1"/>
  <c r="K334" i="1"/>
  <c r="K335" i="1"/>
  <c r="K336" i="1"/>
  <c r="K356" i="1"/>
  <c r="K358" i="1"/>
  <c r="K366" i="1"/>
  <c r="K101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39" i="1"/>
  <c r="K40" i="1"/>
  <c r="K41" i="1"/>
  <c r="K52" i="1"/>
  <c r="K67" i="1"/>
  <c r="K73" i="1"/>
  <c r="K75" i="1"/>
  <c r="K76" i="1"/>
  <c r="K106" i="1"/>
  <c r="K115" i="1"/>
  <c r="K116" i="1"/>
  <c r="K117" i="1"/>
  <c r="K133" i="1"/>
  <c r="K136" i="1"/>
  <c r="K166" i="1"/>
  <c r="K167" i="1"/>
  <c r="K168" i="1"/>
  <c r="K169" i="1"/>
  <c r="K170" i="1"/>
  <c r="K181" i="1"/>
  <c r="K18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<sst xmlns="http://schemas.openxmlformats.org/spreadsheetml/2006/main" count="9836" uniqueCount="2032">
  <si>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</si>
  <si>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</si>
  <si>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</si>
  <si>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</si>
  <si>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</si>
  <si>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</si>
  <si>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</si>
  <si>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</si>
  <si>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</si>
  <si>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</si>
  <si>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</si>
  <si>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</si>
  <si>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</si>
  <si>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</si>
  <si>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</si>
  <si>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</si>
  <si>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</si>
  <si>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</si>
  <si>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</si>
  <si>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</si>
  <si>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</si>
  <si>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</si>
  <si>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</si>
  <si>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</si>
  <si>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</si>
  <si>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</si>
  <si>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</si>
  <si>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</si>
  <si>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</si>
  <si>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</si>
  <si>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</si>
  <si>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</si>
  <si>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</si>
  <si>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</si>
  <si>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</si>
  <si>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</si>
  <si>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</si>
  <si>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</si>
  <si>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</si>
  <si>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</si>
  <si>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</si>
  <si>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</si>
  <si>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</si>
  <si>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</si>
  <si>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</si>
  <si>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</si>
  <si>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</si>
  <si>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</si>
  <si>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</si>
  <si>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</si>
  <si>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</si>
  <si>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</si>
  <si>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</si>
  <si>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</si>
  <si>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</si>
  <si>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</si>
  <si>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</si>
  <si>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</si>
  <si>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</si>
  <si>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</si>
  <si>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</si>
  <si>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</si>
  <si>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</si>
  <si>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</si>
  <si>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</si>
  <si>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</si>
  <si>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</si>
  <si>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</si>
  <si>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</si>
  <si>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</si>
  <si>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</si>
  <si>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</si>
  <si>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</si>
  <si>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</si>
  <si>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</si>
  <si>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</si>
  <si>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</si>
  <si>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</si>
  <si>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</si>
  <si>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</si>
  <si>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</si>
  <si>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</si>
  <si>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</si>
  <si>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</si>
  <si>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</si>
  <si>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</si>
  <si>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</si>
  <si>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</si>
  <si>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</si>
  <si>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</si>
  <si>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</si>
  <si>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</si>
  <si>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</si>
  <si>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</si>
  <si>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</si>
  <si>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</si>
  <si>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</si>
  <si>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</si>
  <si>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</si>
  <si>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</si>
  <si>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</si>
  <si>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</si>
  <si>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</si>
  <si>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</si>
  <si>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</si>
  <si>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</si>
  <si>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</si>
  <si>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</si>
  <si>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</si>
  <si>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</si>
  <si>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</si>
  <si>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</si>
  <si>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</si>
  <si>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</si>
  <si>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</si>
  <si>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</si>
  <si>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</si>
  <si>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</si>
  <si>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</si>
  <si>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</si>
  <si>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</si>
  <si>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</si>
  <si>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</si>
  <si>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</si>
  <si>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</si>
  <si>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</si>
  <si>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</si>
  <si>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</si>
  <si>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</si>
  <si>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</si>
  <si>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</si>
  <si>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</si>
  <si>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</si>
  <si>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</si>
  <si>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</si>
  <si>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</si>
  <si>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</si>
  <si>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</si>
  <si>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</si>
  <si>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</si>
  <si>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</si>
  <si>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</si>
  <si>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</si>
  <si>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</si>
  <si>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</si>
  <si>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</si>
  <si>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</si>
  <si>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</si>
  <si>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</si>
  <si>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</si>
  <si>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</si>
  <si>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</si>
  <si>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</si>
  <si>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</si>
  <si>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</si>
  <si>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</si>
  <si>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</si>
  <si>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</si>
  <si>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</si>
  <si>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</si>
  <si>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</si>
  <si>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</si>
  <si>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</si>
  <si>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</si>
  <si>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</si>
  <si>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</si>
  <si>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</si>
  <si>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</si>
  <si>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</si>
  <si>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</si>
  <si>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</si>
  <si>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</si>
  <si>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</si>
  <si>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</si>
  <si>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</si>
  <si>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</si>
  <si>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</si>
  <si>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</si>
  <si>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</si>
  <si>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</si>
  <si>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</si>
  <si>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</si>
  <si>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</si>
  <si>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</si>
  <si>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</si>
  <si>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</si>
  <si>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</si>
  <si>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</si>
  <si>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</si>
  <si>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</si>
  <si>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</si>
  <si>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</si>
  <si>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</si>
  <si>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</si>
  <si>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</si>
  <si>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</si>
  <si>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</si>
  <si>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</si>
  <si>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</si>
  <si>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</si>
  <si>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</si>
  <si>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</si>
  <si>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</si>
  <si>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</si>
  <si>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</si>
  <si>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</si>
  <si>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</si>
  <si>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</si>
  <si>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</si>
  <si>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</si>
  <si>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</si>
  <si>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</si>
  <si>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</si>
  <si>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</si>
  <si>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</si>
  <si>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</si>
  <si>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</si>
  <si>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</si>
  <si>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</si>
  <si>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</si>
  <si>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</si>
  <si>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</si>
  <si>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</si>
  <si>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</si>
  <si>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</si>
  <si>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</si>
  <si>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</si>
  <si>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</si>
  <si>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</si>
  <si>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</si>
  <si>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</si>
  <si>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</si>
  <si>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</si>
  <si>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</si>
  <si>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</si>
  <si>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</si>
  <si>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</si>
  <si>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</si>
  <si>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</si>
  <si>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</si>
  <si>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</si>
  <si>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</si>
  <si>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</si>
  <si>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</si>
  <si>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</si>
  <si>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</si>
  <si>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</si>
  <si>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</si>
  <si>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</si>
  <si>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</si>
  <si>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</si>
  <si>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</si>
  <si>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</si>
  <si>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</si>
  <si>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CHAPA 316</t>
  </si>
  <si>
    <t>CHAPA 304</t>
  </si>
  <si>
    <t>EE-GI-001-073</t>
  </si>
  <si>
    <t>EE-GI-001-074</t>
  </si>
  <si>
    <t>CHAPA A36</t>
  </si>
  <si>
    <t>CHAPA SAE 1020</t>
  </si>
  <si>
    <t>EE-GI-001-072</t>
  </si>
  <si>
    <t>EE-GI-001-071</t>
  </si>
  <si>
    <t>MARS</t>
  </si>
  <si>
    <t>BN USI NP CPL 8 FN (FURO LISO)</t>
  </si>
  <si>
    <t>01</t>
  </si>
  <si>
    <t>000005548</t>
  </si>
  <si>
    <t>113600-18</t>
  </si>
  <si>
    <t>232/25</t>
  </si>
  <si>
    <t>IM0023/SE-014</t>
  </si>
  <si>
    <t>2025-0977</t>
  </si>
  <si>
    <t>PAULO</t>
  </si>
  <si>
    <t>2025-0978</t>
  </si>
  <si>
    <t>BN USI RFR CORPO WAFER DN-500 FN S1</t>
  </si>
  <si>
    <t>04</t>
  </si>
  <si>
    <t>000005545</t>
  </si>
  <si>
    <t>113851-06</t>
  </si>
  <si>
    <t>113851-07</t>
  </si>
  <si>
    <t>113851-08</t>
  </si>
  <si>
    <t>C541 e C542</t>
  </si>
  <si>
    <t>C542</t>
  </si>
  <si>
    <t>290913</t>
  </si>
  <si>
    <t>BN USI NP CPL 6 FN (FURO LISO)</t>
  </si>
  <si>
    <t>16</t>
  </si>
  <si>
    <t>19</t>
  </si>
  <si>
    <t>000005543</t>
  </si>
  <si>
    <t>113600-15</t>
  </si>
  <si>
    <t>113600-16</t>
  </si>
  <si>
    <t>113600-17</t>
  </si>
  <si>
    <t>231/25</t>
  </si>
  <si>
    <t>290910</t>
  </si>
  <si>
    <t>BC USI RL2 CPW 4" 150PSI CF8</t>
  </si>
  <si>
    <t>09</t>
  </si>
  <si>
    <t>12</t>
  </si>
  <si>
    <t>000005550</t>
  </si>
  <si>
    <t>112066-01</t>
  </si>
  <si>
    <t>113732-01</t>
  </si>
  <si>
    <t>290909</t>
  </si>
  <si>
    <t>02072501 e 250425A1</t>
  </si>
  <si>
    <t>02072501, 250425A1 e 10022501</t>
  </si>
  <si>
    <t>SE-014</t>
  </si>
  <si>
    <t>ILHA GRANDE</t>
  </si>
  <si>
    <t>WD DISCO 10 IN PN10</t>
  </si>
  <si>
    <t>000025332</t>
  </si>
  <si>
    <t>114146-01</t>
  </si>
  <si>
    <t>07082501</t>
  </si>
  <si>
    <t>14734</t>
  </si>
  <si>
    <t>14736</t>
  </si>
  <si>
    <t>NE DC 12" CF8M BRT</t>
  </si>
  <si>
    <t>07</t>
  </si>
  <si>
    <t>000025334</t>
  </si>
  <si>
    <t>000025335</t>
  </si>
  <si>
    <t>114497-04</t>
  </si>
  <si>
    <t>14744</t>
  </si>
  <si>
    <t>114661-01</t>
  </si>
  <si>
    <t>14733</t>
  </si>
  <si>
    <t>NE DC 10" BRT CF8M</t>
  </si>
  <si>
    <t>21</t>
  </si>
  <si>
    <t>000025331</t>
  </si>
  <si>
    <t>113888-01</t>
  </si>
  <si>
    <t>113888-02</t>
  </si>
  <si>
    <t>12082501</t>
  </si>
  <si>
    <t>NE DC 8" BRT CF8M</t>
  </si>
  <si>
    <t>71</t>
  </si>
  <si>
    <t>113888-03</t>
  </si>
  <si>
    <t>14731</t>
  </si>
  <si>
    <t>NE DISCO BRT 8" 250PSI CF8M</t>
  </si>
  <si>
    <t>000025341</t>
  </si>
  <si>
    <t>114601-01</t>
  </si>
  <si>
    <t>22072501</t>
  </si>
  <si>
    <t>14737</t>
  </si>
  <si>
    <t>NF DC 20 IN BRT</t>
  </si>
  <si>
    <t>02</t>
  </si>
  <si>
    <t>113888-05</t>
  </si>
  <si>
    <t>14732</t>
  </si>
  <si>
    <t>MS USINAGEM</t>
  </si>
  <si>
    <t>BN USI NE CPW 5" DINPN10/16 FN</t>
  </si>
  <si>
    <t>10</t>
  </si>
  <si>
    <t>000006319</t>
  </si>
  <si>
    <t>114513-06</t>
  </si>
  <si>
    <t>174/25 e 176/25</t>
  </si>
  <si>
    <t>N/A</t>
  </si>
  <si>
    <t>IM-0319</t>
  </si>
  <si>
    <t>CLEBER</t>
  </si>
  <si>
    <t>BN USI NE CPL 6" FN</t>
  </si>
  <si>
    <t>20</t>
  </si>
  <si>
    <t>113699-05</t>
  </si>
  <si>
    <t>198/25</t>
  </si>
  <si>
    <t>NE CPL 8" FN PN16</t>
  </si>
  <si>
    <t>2</t>
  </si>
  <si>
    <t>000006325</t>
  </si>
  <si>
    <t>114091-02</t>
  </si>
  <si>
    <t>234/25</t>
  </si>
  <si>
    <t>BN USI NE CPW 5" CF8M</t>
  </si>
  <si>
    <t>11</t>
  </si>
  <si>
    <t>113643-05</t>
  </si>
  <si>
    <t>05062501 e C171</t>
  </si>
  <si>
    <t>BN USI NE VPW 12" FN</t>
  </si>
  <si>
    <t>000006328</t>
  </si>
  <si>
    <t>113794-01</t>
  </si>
  <si>
    <t>BN USI NP CPW 8" FN</t>
  </si>
  <si>
    <t>113925-013</t>
  </si>
  <si>
    <t>BN USI NE CPW 8" FN</t>
  </si>
  <si>
    <t>113728-02</t>
  </si>
  <si>
    <t>BR USI WR3 TAMPA INF 24" PN10 SAE 1020</t>
  </si>
  <si>
    <t>28</t>
  </si>
  <si>
    <t>114681-01</t>
  </si>
  <si>
    <t>239/25</t>
  </si>
  <si>
    <t xml:space="preserve">HEITEC USINAGEM </t>
  </si>
  <si>
    <t>BN USI NE CPW 6" FN</t>
  </si>
  <si>
    <t>000000417</t>
  </si>
  <si>
    <t>197/25</t>
  </si>
  <si>
    <t>128/25</t>
  </si>
  <si>
    <t>112222-04</t>
  </si>
  <si>
    <t>FUNDIÇÃO MUNDIAL</t>
  </si>
  <si>
    <t>RK CPF BRT 30" 150" 609B-C WCB</t>
  </si>
  <si>
    <t>RK DISCO BRT 30" 150# WCB</t>
  </si>
  <si>
    <t>000018104</t>
  </si>
  <si>
    <t>114208-01</t>
  </si>
  <si>
    <t>114208-02</t>
  </si>
  <si>
    <t>5359</t>
  </si>
  <si>
    <t>5355</t>
  </si>
  <si>
    <t>1318/2025</t>
  </si>
  <si>
    <t>1323/2025</t>
  </si>
  <si>
    <t>IM0035/SE-014</t>
  </si>
  <si>
    <t xml:space="preserve">EXTRABOR </t>
  </si>
  <si>
    <t>BN VUL NE SEDE 3" GA1</t>
  </si>
  <si>
    <t>114797-01</t>
  </si>
  <si>
    <t>11173</t>
  </si>
  <si>
    <t>2127/25</t>
  </si>
  <si>
    <t>IM-0059</t>
  </si>
  <si>
    <t>R A DISTRIBUIDORA</t>
  </si>
  <si>
    <t>WD CPW BRT 22" PN10 FN</t>
  </si>
  <si>
    <t>000000605</t>
  </si>
  <si>
    <t>112934-03</t>
  </si>
  <si>
    <t>112934-04</t>
  </si>
  <si>
    <t>C636</t>
  </si>
  <si>
    <t>RT CPW 30" WCB BRT</t>
  </si>
  <si>
    <t>114639-01</t>
  </si>
  <si>
    <t>C616</t>
  </si>
  <si>
    <t>7339/25</t>
  </si>
  <si>
    <t>CLEVER</t>
  </si>
  <si>
    <t>BN VUL NE SEDE 8" ELASTOHARD</t>
  </si>
  <si>
    <t>05</t>
  </si>
  <si>
    <t>000012425</t>
  </si>
  <si>
    <t>113872-02</t>
  </si>
  <si>
    <t>000107337</t>
  </si>
  <si>
    <t>293/25</t>
  </si>
  <si>
    <t>113903-03</t>
  </si>
  <si>
    <t>03</t>
  </si>
  <si>
    <t>08</t>
  </si>
  <si>
    <t>111543-06</t>
  </si>
  <si>
    <t>BN VUL NE SEDE 6" ELASTOHARD</t>
  </si>
  <si>
    <t>111542-04</t>
  </si>
  <si>
    <t>000012418</t>
  </si>
  <si>
    <t>290/25</t>
  </si>
  <si>
    <t>BN VUL NF SEDE 18" EPDM T-150</t>
  </si>
  <si>
    <t>111563-05</t>
  </si>
  <si>
    <t>6800/25</t>
  </si>
  <si>
    <t>47278</t>
  </si>
  <si>
    <t>BN VUL NE SEDE 12" EPDM T-150</t>
  </si>
  <si>
    <t>111559-05</t>
  </si>
  <si>
    <t>6799/25</t>
  </si>
  <si>
    <t>000004361</t>
  </si>
  <si>
    <t>111563-06</t>
  </si>
  <si>
    <t>6813/25</t>
  </si>
  <si>
    <t>BN VUL NF SEDE 20" EPDM T-150</t>
  </si>
  <si>
    <t>06</t>
  </si>
  <si>
    <t>111564-06</t>
  </si>
  <si>
    <t>6814/25</t>
  </si>
  <si>
    <t>BN VUL NF SEDE 20" BUNA-N</t>
  </si>
  <si>
    <t>3</t>
  </si>
  <si>
    <t>111550-05</t>
  </si>
  <si>
    <t>11184</t>
  </si>
  <si>
    <t>6808/25</t>
  </si>
  <si>
    <t>111550-06</t>
  </si>
  <si>
    <t xml:space="preserve">BN VUL NF SEDE 24" EPDM T-150 </t>
  </si>
  <si>
    <t>115665-06</t>
  </si>
  <si>
    <t>6805/25</t>
  </si>
  <si>
    <t xml:space="preserve">BN VUL NF SEDE 16" EPDM T-150 </t>
  </si>
  <si>
    <t>111562-05</t>
  </si>
  <si>
    <t>6812/25</t>
  </si>
  <si>
    <t>BN VUL NE SEDE 4" ELASTOHARD</t>
  </si>
  <si>
    <t>111541-04</t>
  </si>
  <si>
    <t>00107337</t>
  </si>
  <si>
    <t>294/25</t>
  </si>
  <si>
    <t>BN VUL NE SEDE 2.1/2" BUNA-N</t>
  </si>
  <si>
    <t>111546-06</t>
  </si>
  <si>
    <t>11181</t>
  </si>
  <si>
    <t>6807/25</t>
  </si>
  <si>
    <t xml:space="preserve">BN VUL NE SEDE 2 EPDM T-150 </t>
  </si>
  <si>
    <t>111552-06</t>
  </si>
  <si>
    <t>6809/25</t>
  </si>
  <si>
    <t>115542-05</t>
  </si>
  <si>
    <t>292/25</t>
  </si>
  <si>
    <t>115542-04</t>
  </si>
  <si>
    <t>BN VUL NE SEDE 2.1/2" T-150</t>
  </si>
  <si>
    <t>15</t>
  </si>
  <si>
    <t>111554-06</t>
  </si>
  <si>
    <t>6803/25</t>
  </si>
  <si>
    <t>BN VUL NE SEDE 2"BUNA-N</t>
  </si>
  <si>
    <t>111540-06</t>
  </si>
  <si>
    <t>11182</t>
  </si>
  <si>
    <t>6806/25</t>
  </si>
  <si>
    <t>BN VUL NE SEDE 6" EPDM T-150</t>
  </si>
  <si>
    <t>111555-06</t>
  </si>
  <si>
    <t>6810/25</t>
  </si>
  <si>
    <t>IM-059</t>
  </si>
  <si>
    <t>BN VUL NE SEDE 14" EPDM T-150 V</t>
  </si>
  <si>
    <t>111561-06</t>
  </si>
  <si>
    <t>6815/25</t>
  </si>
  <si>
    <t>BN VUL NE SEDE 12 " VITON TIPO B</t>
  </si>
  <si>
    <t>114367-01</t>
  </si>
  <si>
    <t>6816/25</t>
  </si>
  <si>
    <t>3597</t>
  </si>
  <si>
    <t>114745-06</t>
  </si>
  <si>
    <t>111547/06</t>
  </si>
  <si>
    <t>6801/25</t>
  </si>
  <si>
    <t>BN VUL NE SEDE 10"BUNA-N</t>
  </si>
  <si>
    <t>BN VUL NE SEDE 10" EPDM -150</t>
  </si>
  <si>
    <t>54</t>
  </si>
  <si>
    <t>111558-06</t>
  </si>
  <si>
    <t>6804/25</t>
  </si>
  <si>
    <t>000000593</t>
  </si>
  <si>
    <t xml:space="preserve">JM </t>
  </si>
  <si>
    <t>BN USI NE HASTE SUP 5-6" 410</t>
  </si>
  <si>
    <t>500</t>
  </si>
  <si>
    <t>000000171</t>
  </si>
  <si>
    <t>113705-02</t>
  </si>
  <si>
    <t>CA 601</t>
  </si>
  <si>
    <t>INT 100</t>
  </si>
  <si>
    <t>CMBA</t>
  </si>
  <si>
    <t>NE DISCO BRT 5" C958</t>
  </si>
  <si>
    <t>000021520</t>
  </si>
  <si>
    <t>114484-01</t>
  </si>
  <si>
    <t>1439 AS7, 2022 AS8 ao 2022 AS12</t>
  </si>
  <si>
    <t>0524/2025</t>
  </si>
  <si>
    <t>0523/2025</t>
  </si>
  <si>
    <t>114145-01</t>
  </si>
  <si>
    <t>2007 AS1</t>
  </si>
  <si>
    <t>CALMOTECH</t>
  </si>
  <si>
    <t>BN USI RK H.I 3" 150 PSI  17-4PH</t>
  </si>
  <si>
    <t>000000159</t>
  </si>
  <si>
    <t>114010-05</t>
  </si>
  <si>
    <t>BE 195</t>
  </si>
  <si>
    <t>203/25</t>
  </si>
  <si>
    <t>000000589</t>
  </si>
  <si>
    <t>114010-06</t>
  </si>
  <si>
    <t>BN USI RK H.I 8" 150/300 PSI   ESP 17-4PH</t>
  </si>
  <si>
    <t>000006317</t>
  </si>
  <si>
    <t>113739-02</t>
  </si>
  <si>
    <t>CP215</t>
  </si>
  <si>
    <t>BN USI RK KIT H.S 2.5 150 PSI 17-4PH</t>
  </si>
  <si>
    <t>000000591</t>
  </si>
  <si>
    <t>113708-05</t>
  </si>
  <si>
    <t>BE 192</t>
  </si>
  <si>
    <t>207/25</t>
  </si>
  <si>
    <t>RK DISCO BRT 8" 150# C958</t>
  </si>
  <si>
    <t>17</t>
  </si>
  <si>
    <t>000021521</t>
  </si>
  <si>
    <t>114114-02</t>
  </si>
  <si>
    <t>1489 AS3, 0868 AS6, 2027 AS1 ao AS10 e 20222 AS1 ao AS7</t>
  </si>
  <si>
    <t>0525/2025</t>
  </si>
  <si>
    <t>7341/25</t>
  </si>
  <si>
    <t>ETJ</t>
  </si>
  <si>
    <t>BN USI NP CPW 12" FN</t>
  </si>
  <si>
    <t>000002672</t>
  </si>
  <si>
    <t>109970-19</t>
  </si>
  <si>
    <t>176/25</t>
  </si>
  <si>
    <t>569</t>
  </si>
  <si>
    <t>2025-1028</t>
  </si>
  <si>
    <t>000002671</t>
  </si>
  <si>
    <t>109040-26</t>
  </si>
  <si>
    <t>BN USI NE CPW 2 1/2" FN</t>
  </si>
  <si>
    <t>000006331</t>
  </si>
  <si>
    <t>114472-05</t>
  </si>
  <si>
    <t>223/25</t>
  </si>
  <si>
    <t>IM-0318</t>
  </si>
  <si>
    <t>BN USI NE CPW 3" WCB</t>
  </si>
  <si>
    <t>113643-03</t>
  </si>
  <si>
    <t>110725A1</t>
  </si>
  <si>
    <t>BN USI NE CPL WCB DIN PN10</t>
  </si>
  <si>
    <t>114513-01</t>
  </si>
  <si>
    <t xml:space="preserve">BN USI NP CPW 6" CF8M </t>
  </si>
  <si>
    <t>114559-03</t>
  </si>
  <si>
    <t>C 958</t>
  </si>
  <si>
    <t>00</t>
  </si>
  <si>
    <t>2025-1029</t>
  </si>
  <si>
    <t xml:space="preserve">BN USI NP CPW 6" FN </t>
  </si>
  <si>
    <t>114487-01</t>
  </si>
  <si>
    <t>113699-12</t>
  </si>
  <si>
    <t>2023/25 e 233/25</t>
  </si>
  <si>
    <t>18</t>
  </si>
  <si>
    <t>114513-21</t>
  </si>
  <si>
    <t>000013237</t>
  </si>
  <si>
    <t>112743-05</t>
  </si>
  <si>
    <t>238/25 e 203/25</t>
  </si>
  <si>
    <t xml:space="preserve">BN USI NE CPW 5" FN </t>
  </si>
  <si>
    <t>23</t>
  </si>
  <si>
    <t>112743-06</t>
  </si>
  <si>
    <t>USI HASTE SUP 30" 316 R80xQ75</t>
  </si>
  <si>
    <t>000006291</t>
  </si>
  <si>
    <t>113871-01</t>
  </si>
  <si>
    <t>BY044</t>
  </si>
  <si>
    <t>2025-1030</t>
  </si>
  <si>
    <t>USI HASTE INF30" 316 R95xR90</t>
  </si>
  <si>
    <t>113871-02</t>
  </si>
  <si>
    <t>061008</t>
  </si>
  <si>
    <t>113636-02</t>
  </si>
  <si>
    <t>000005552</t>
  </si>
  <si>
    <t>BM USI DS DISCO 30 IN Q75</t>
  </si>
  <si>
    <t>14</t>
  </si>
  <si>
    <t>000006329</t>
  </si>
  <si>
    <t>113699-13</t>
  </si>
  <si>
    <t>2025-1031</t>
  </si>
  <si>
    <t>BN USI NP CPW 6" FN</t>
  </si>
  <si>
    <t>113925-12</t>
  </si>
  <si>
    <t>203/25 e 233/25</t>
  </si>
  <si>
    <t>114513-05</t>
  </si>
  <si>
    <t>BN USI MS DISCO 28" IN PN10</t>
  </si>
  <si>
    <t>000005553</t>
  </si>
  <si>
    <t>113601-05</t>
  </si>
  <si>
    <t>061009</t>
  </si>
  <si>
    <t>BN MONT. DC/HASTES MS DN 28 PN10</t>
  </si>
  <si>
    <t>114847-01</t>
  </si>
  <si>
    <t>BN USI NE CPW 12" FN</t>
  </si>
  <si>
    <t>BQ USI WD DC 36 FN PN10</t>
  </si>
  <si>
    <t>000005554</t>
  </si>
  <si>
    <t>113572-07</t>
  </si>
  <si>
    <t>113572-08</t>
  </si>
  <si>
    <t>071007</t>
  </si>
  <si>
    <t>C584</t>
  </si>
  <si>
    <t>BQ USI WD CPF 24" PN10 FN NBR</t>
  </si>
  <si>
    <t>000005551</t>
  </si>
  <si>
    <t>114553-01</t>
  </si>
  <si>
    <t>C502, C504 e C505</t>
  </si>
  <si>
    <t>061003</t>
  </si>
  <si>
    <t>BC USI RL2 CPW 4" 150 PSI CF8</t>
  </si>
  <si>
    <t>000005555</t>
  </si>
  <si>
    <t>BC USI RL2 CPW 6" 150 PSI CF8</t>
  </si>
  <si>
    <t>113732-02</t>
  </si>
  <si>
    <t xml:space="preserve">02072501 </t>
  </si>
  <si>
    <t>BQ USI WD CPF 36 FN NBR PN10</t>
  </si>
  <si>
    <t>114557-01</t>
  </si>
  <si>
    <t>C509</t>
  </si>
  <si>
    <t>031001</t>
  </si>
  <si>
    <t>PD006/SE-014</t>
  </si>
  <si>
    <t>2025-1034</t>
  </si>
  <si>
    <t>SOLIMARC (POLMATEC)</t>
  </si>
  <si>
    <t>AM CR POLM PRV-50 F07/Q14 TCAD S1</t>
  </si>
  <si>
    <t>000010838</t>
  </si>
  <si>
    <t>114511-01</t>
  </si>
  <si>
    <t>16704.01.01 ao 16704.01.04</t>
  </si>
  <si>
    <t>005354/2025</t>
  </si>
  <si>
    <t>2025-1036</t>
  </si>
  <si>
    <t>AM CR PRV-70 F10/Q17 POLM TCAD S1</t>
  </si>
  <si>
    <t>114511-02</t>
  </si>
  <si>
    <t>16704.02.01 ao 16704.02.04</t>
  </si>
  <si>
    <t>005355/2025</t>
  </si>
  <si>
    <t xml:space="preserve">AM CR PRV-70 F12/R28 POLM </t>
  </si>
  <si>
    <t>114382-01</t>
  </si>
  <si>
    <t>16686.01.01 ao 16686.01.03</t>
  </si>
  <si>
    <t>005353/2025</t>
  </si>
  <si>
    <t>114170-02</t>
  </si>
  <si>
    <t>AM CR PRVA-70 F12/R35 POLM</t>
  </si>
  <si>
    <t>16665.01.01</t>
  </si>
  <si>
    <t>005352/2025</t>
  </si>
  <si>
    <t>BN USI NE DISCO 8" 150 PSI CF8M</t>
  </si>
  <si>
    <t>000000420</t>
  </si>
  <si>
    <t>114473-03</t>
  </si>
  <si>
    <t>2025-1039</t>
  </si>
  <si>
    <t>114510-04</t>
  </si>
  <si>
    <t>114510-05</t>
  </si>
  <si>
    <t>000006351</t>
  </si>
  <si>
    <t>BN USI NE CPW 12" WCB</t>
  </si>
  <si>
    <t>114807-01</t>
  </si>
  <si>
    <t>20052501</t>
  </si>
  <si>
    <t>IM-0023</t>
  </si>
  <si>
    <t>114807-10</t>
  </si>
  <si>
    <t>WR3 SEDE 32" EPDM</t>
  </si>
  <si>
    <t>000012424</t>
  </si>
  <si>
    <t>114675-01</t>
  </si>
  <si>
    <t>481492</t>
  </si>
  <si>
    <t>6817/25</t>
  </si>
  <si>
    <t>27</t>
  </si>
  <si>
    <t>6811/25</t>
  </si>
  <si>
    <t>BQ USI WD CPF 24" PN10 FN NBR PARA SEDE PTFE</t>
  </si>
  <si>
    <t>114378-05</t>
  </si>
  <si>
    <t xml:space="preserve">C502   </t>
  </si>
  <si>
    <t>061002</t>
  </si>
  <si>
    <t>109</t>
  </si>
  <si>
    <t>000000179</t>
  </si>
  <si>
    <t>113935-02</t>
  </si>
  <si>
    <t>CA608</t>
  </si>
  <si>
    <t>INT 105</t>
  </si>
  <si>
    <t>BN USI HASTE INF8" 410</t>
  </si>
  <si>
    <t>138</t>
  </si>
  <si>
    <t>000000176</t>
  </si>
  <si>
    <t>113735-01</t>
  </si>
  <si>
    <t>CA605</t>
  </si>
  <si>
    <t>INT 104</t>
  </si>
  <si>
    <t>50</t>
  </si>
  <si>
    <t>000000175</t>
  </si>
  <si>
    <t>113853-01</t>
  </si>
  <si>
    <t>INT103</t>
  </si>
  <si>
    <t>63</t>
  </si>
  <si>
    <t>113853-02</t>
  </si>
  <si>
    <t xml:space="preserve">ETJ </t>
  </si>
  <si>
    <t>BN USI NE HASTE SUP 4" 410</t>
  </si>
  <si>
    <t>353</t>
  </si>
  <si>
    <t>000002673</t>
  </si>
  <si>
    <t>110460-04</t>
  </si>
  <si>
    <t>CA557</t>
  </si>
  <si>
    <t>539</t>
  </si>
  <si>
    <t>000002674</t>
  </si>
  <si>
    <t>111345-02</t>
  </si>
  <si>
    <t>540</t>
  </si>
  <si>
    <t>BC USI RL2 DISCO 3" CF8</t>
  </si>
  <si>
    <t>000002670</t>
  </si>
  <si>
    <t>108703-01</t>
  </si>
  <si>
    <t>C182</t>
  </si>
  <si>
    <t>570</t>
  </si>
  <si>
    <t>BC USI RL2 CPW 16" 150PSI CF8</t>
  </si>
  <si>
    <t>113809-03</t>
  </si>
  <si>
    <t>02072501</t>
  </si>
  <si>
    <t>BN USI NE HASTE INF 12" 410</t>
  </si>
  <si>
    <t>000000167</t>
  </si>
  <si>
    <t>114007-01</t>
  </si>
  <si>
    <t>CA604</t>
  </si>
  <si>
    <t>INT 096</t>
  </si>
  <si>
    <t>55</t>
  </si>
  <si>
    <t>000000166</t>
  </si>
  <si>
    <t>113735-03</t>
  </si>
  <si>
    <t>INT 097</t>
  </si>
  <si>
    <t>BN USI NE HASTE INF 10" 410</t>
  </si>
  <si>
    <t>22</t>
  </si>
  <si>
    <t>CA600</t>
  </si>
  <si>
    <t>75</t>
  </si>
  <si>
    <t>000000170</t>
  </si>
  <si>
    <t>113735-02</t>
  </si>
  <si>
    <t>INT 099</t>
  </si>
  <si>
    <t>CASTING</t>
  </si>
  <si>
    <t>NE CPW BRT 8" FN</t>
  </si>
  <si>
    <t>000012540</t>
  </si>
  <si>
    <t>000000586</t>
  </si>
  <si>
    <t>114691-02</t>
  </si>
  <si>
    <t>268/25</t>
  </si>
  <si>
    <t>5133/25</t>
  </si>
  <si>
    <t>114691-05</t>
  </si>
  <si>
    <t>NE CPW BRT 10" FN</t>
  </si>
  <si>
    <t>111834-06</t>
  </si>
  <si>
    <t>272/25</t>
  </si>
  <si>
    <t>5135/25</t>
  </si>
  <si>
    <t>111833-06</t>
  </si>
  <si>
    <t>USIMONTEC</t>
  </si>
  <si>
    <t>VKT ANEL RET SEDE USI 10 300# CD3MN 4A</t>
  </si>
  <si>
    <t>000027788</t>
  </si>
  <si>
    <t>114172-05</t>
  </si>
  <si>
    <t>114172-06</t>
  </si>
  <si>
    <t>114172-07</t>
  </si>
  <si>
    <t>CORRIDA : 21779 LOTE: 58295</t>
  </si>
  <si>
    <t>52599</t>
  </si>
  <si>
    <t>2025-1048</t>
  </si>
  <si>
    <t>VKT TAMPA INF USI 10 300# CD3MN 4A</t>
  </si>
  <si>
    <t>114172-03</t>
  </si>
  <si>
    <t>CORRIDA : 21779 LOTE: 58361</t>
  </si>
  <si>
    <t>52597</t>
  </si>
  <si>
    <t>2025-1049</t>
  </si>
  <si>
    <t>VKT CPF-C BRT 10 300# ASME 300 CD3MN 4A</t>
  </si>
  <si>
    <t>114172-01</t>
  </si>
  <si>
    <t>CORRIDA : 21779 LOTE: 58352</t>
  </si>
  <si>
    <t>52598</t>
  </si>
  <si>
    <t>BN USI NP HASTE INF 12" IN 410</t>
  </si>
  <si>
    <t>ARTUZO</t>
  </si>
  <si>
    <t>000004523</t>
  </si>
  <si>
    <t>113649-05</t>
  </si>
  <si>
    <t>685-25</t>
  </si>
  <si>
    <t>IM-0039</t>
  </si>
  <si>
    <t>8</t>
  </si>
  <si>
    <t>100</t>
  </si>
  <si>
    <t>113936-01</t>
  </si>
  <si>
    <t>CA595</t>
  </si>
  <si>
    <t>683-25</t>
  </si>
  <si>
    <t>BN USI NE HASTE INF 5-6" 410</t>
  </si>
  <si>
    <t>150</t>
  </si>
  <si>
    <t>113936-05</t>
  </si>
  <si>
    <t>CA601</t>
  </si>
  <si>
    <t>684-25</t>
  </si>
  <si>
    <t>000006352</t>
  </si>
  <si>
    <t>115033-01</t>
  </si>
  <si>
    <t>326/24</t>
  </si>
  <si>
    <t>2025-1064</t>
  </si>
  <si>
    <t>VKT DISCO BRT 10 300# CD3MN 4A</t>
  </si>
  <si>
    <t>114172-02</t>
  </si>
  <si>
    <t>CORRIDA : 21779 LOTE: 58296</t>
  </si>
  <si>
    <t>52596</t>
  </si>
  <si>
    <t>RK DISCO BRT 16" 150# CF8M</t>
  </si>
  <si>
    <t>114215-01</t>
  </si>
  <si>
    <t>CORRIDA : 21759 LOTE: 58192</t>
  </si>
  <si>
    <t>52595</t>
  </si>
  <si>
    <t xml:space="preserve">EVELIN </t>
  </si>
  <si>
    <t>BN POL NE DISCO 12" CF8M 150 PSI</t>
  </si>
  <si>
    <t>000001428</t>
  </si>
  <si>
    <t>114868-01</t>
  </si>
  <si>
    <t>07055201, 05062501</t>
  </si>
  <si>
    <t>41</t>
  </si>
  <si>
    <t>2025-1070</t>
  </si>
  <si>
    <t>NF CPL 14 FN BRT</t>
  </si>
  <si>
    <t>000000639</t>
  </si>
  <si>
    <t>114618-01</t>
  </si>
  <si>
    <t>C634</t>
  </si>
  <si>
    <t>WD CPF BRT 28" PN10 FN</t>
  </si>
  <si>
    <t>000000640</t>
  </si>
  <si>
    <t>114737-01</t>
  </si>
  <si>
    <t>NE DC 12 FN BRT 250PSI</t>
  </si>
  <si>
    <t>000000641</t>
  </si>
  <si>
    <t>114906-01</t>
  </si>
  <si>
    <t>33</t>
  </si>
  <si>
    <t>112986-06</t>
  </si>
  <si>
    <t>BN USI NE DISCO 12" 150 PSI CF8M</t>
  </si>
  <si>
    <t>112417-04</t>
  </si>
  <si>
    <t>22052501, 07082501</t>
  </si>
  <si>
    <t>BN USI NP DISCO 10" CF8M 150 PSI</t>
  </si>
  <si>
    <t>112210-02</t>
  </si>
  <si>
    <t>C 297</t>
  </si>
  <si>
    <t>2025-1073</t>
  </si>
  <si>
    <t>FUNDIGUSA</t>
  </si>
  <si>
    <t>WD CPF BRT 6" PN10/16 FN</t>
  </si>
  <si>
    <t>WD CPF BRT 8" PN10/16 FN</t>
  </si>
  <si>
    <t>000025211</t>
  </si>
  <si>
    <t>114407-01</t>
  </si>
  <si>
    <t>114407-02</t>
  </si>
  <si>
    <t>FG 269/25</t>
  </si>
  <si>
    <t>FG 273/25</t>
  </si>
  <si>
    <t>1080/2025</t>
  </si>
  <si>
    <t>1081/2025</t>
  </si>
  <si>
    <t>BN USI NE CPW 10" FN 5752 NBR 7675 PN10 C RE</t>
  </si>
  <si>
    <t>000006353</t>
  </si>
  <si>
    <t>114687-01</t>
  </si>
  <si>
    <t>203/25, 233,25</t>
  </si>
  <si>
    <t>35</t>
  </si>
  <si>
    <t>000005564</t>
  </si>
  <si>
    <t>113572-04</t>
  </si>
  <si>
    <t>113572-05</t>
  </si>
  <si>
    <t>113572-06</t>
  </si>
  <si>
    <t>C583</t>
  </si>
  <si>
    <t>101007</t>
  </si>
  <si>
    <t>BQ USI WD DISCO 24 PN10/16 FN PARA SEDE PTFE</t>
  </si>
  <si>
    <t>000005563</t>
  </si>
  <si>
    <t>114378-06</t>
  </si>
  <si>
    <t>C501</t>
  </si>
  <si>
    <t>2025-1075</t>
  </si>
  <si>
    <t>BQ USI WD DISCO 24" PN10/16 FN</t>
  </si>
  <si>
    <t>114553-02</t>
  </si>
  <si>
    <t>113572-03</t>
  </si>
  <si>
    <t>BN USI NE CPW 10" WCB</t>
  </si>
  <si>
    <t>114513-04</t>
  </si>
  <si>
    <t>04042501</t>
  </si>
  <si>
    <t xml:space="preserve">BN USI NE CPW 10" FN </t>
  </si>
  <si>
    <t>110782-06</t>
  </si>
  <si>
    <t>BQ USI WD CPF 8" PN10 FN</t>
  </si>
  <si>
    <t>000005562</t>
  </si>
  <si>
    <t>114489-22</t>
  </si>
  <si>
    <t>FG 248/25</t>
  </si>
  <si>
    <t>101001</t>
  </si>
  <si>
    <t>2025-1076</t>
  </si>
  <si>
    <t>BQ USI WD CPF 10 FN NBR PN10</t>
  </si>
  <si>
    <t>114265-04</t>
  </si>
  <si>
    <t>101002</t>
  </si>
  <si>
    <t>BN USI WR3 HASTE INF 32 410</t>
  </si>
  <si>
    <t>115012-01</t>
  </si>
  <si>
    <t>CA 442</t>
  </si>
  <si>
    <t>RL2 DISCO BBRT 3 CF8</t>
  </si>
  <si>
    <t>000025333</t>
  </si>
  <si>
    <t>113241-09</t>
  </si>
  <si>
    <t>05082501</t>
  </si>
  <si>
    <t>14735</t>
  </si>
  <si>
    <t>2025-1077</t>
  </si>
  <si>
    <t>BQ USI WD CPW 22 FN FN C207 PN10</t>
  </si>
  <si>
    <t>113465-01</t>
  </si>
  <si>
    <t>113465-02</t>
  </si>
  <si>
    <t>101003</t>
  </si>
  <si>
    <t>BN VUL NE SEDE 10" ELASTOHARD</t>
  </si>
  <si>
    <t>000012438</t>
  </si>
  <si>
    <t>113903-04</t>
  </si>
  <si>
    <t>299/25</t>
  </si>
  <si>
    <t>112938-02</t>
  </si>
  <si>
    <t>BN USI NF DISCO 18" CF8M 150 PSI</t>
  </si>
  <si>
    <t>113804-05</t>
  </si>
  <si>
    <t>BN USI RK CPL 16" C958 150#</t>
  </si>
  <si>
    <t>000005473</t>
  </si>
  <si>
    <t>113290-03</t>
  </si>
  <si>
    <t>1603 AS 1</t>
  </si>
  <si>
    <t>70701</t>
  </si>
  <si>
    <t>TRI-001</t>
  </si>
  <si>
    <t>ALUIR</t>
  </si>
  <si>
    <t>113462-01</t>
  </si>
  <si>
    <t>1508 AS 1</t>
  </si>
  <si>
    <t>2025-1078</t>
  </si>
  <si>
    <t>BN USI NE DISCO 8" BR/AL</t>
  </si>
  <si>
    <t>113925-08</t>
  </si>
  <si>
    <t>000006356</t>
  </si>
  <si>
    <t>183AR6, 1885AS1</t>
  </si>
  <si>
    <t>114091-04</t>
  </si>
  <si>
    <t>1882AS3, 1882AS4</t>
  </si>
  <si>
    <t>BN USI NE DISCO 8" CF8M</t>
  </si>
  <si>
    <t>114559-02</t>
  </si>
  <si>
    <t>114513-14</t>
  </si>
  <si>
    <t>05062501</t>
  </si>
  <si>
    <t>BN USI NE CPW 6" CF8M</t>
  </si>
  <si>
    <t>114267-03</t>
  </si>
  <si>
    <t>C587</t>
  </si>
  <si>
    <t>NF DC 20 IN BRT 250PSI</t>
  </si>
  <si>
    <t>000025436</t>
  </si>
  <si>
    <t>114248-01</t>
  </si>
  <si>
    <t>05092501</t>
  </si>
  <si>
    <t>14922</t>
  </si>
  <si>
    <t>000025437</t>
  </si>
  <si>
    <t>114497-03</t>
  </si>
  <si>
    <t>14923</t>
  </si>
  <si>
    <t>14924</t>
  </si>
  <si>
    <t>114387-03</t>
  </si>
  <si>
    <t>26</t>
  </si>
  <si>
    <t>000025434</t>
  </si>
  <si>
    <t>114387-01</t>
  </si>
  <si>
    <t>05092501 e 12082501</t>
  </si>
  <si>
    <t>14925 e 14926</t>
  </si>
  <si>
    <t>RK DISCO BRT 6" 150/300# CF8M</t>
  </si>
  <si>
    <t>000025441</t>
  </si>
  <si>
    <t>000025465</t>
  </si>
  <si>
    <t>114483-07</t>
  </si>
  <si>
    <t>114602-02</t>
  </si>
  <si>
    <t>07032501</t>
  </si>
  <si>
    <t>14928</t>
  </si>
  <si>
    <t>RK CPW BRT 6" 150/300# WCB</t>
  </si>
  <si>
    <t>000025435</t>
  </si>
  <si>
    <t>114284-01</t>
  </si>
  <si>
    <t>02092501</t>
  </si>
  <si>
    <t>14927</t>
  </si>
  <si>
    <t>RK DISCO BRT 4" 150# CF8M</t>
  </si>
  <si>
    <t>000025438</t>
  </si>
  <si>
    <t>114601-03</t>
  </si>
  <si>
    <t>14929</t>
  </si>
  <si>
    <t>RS DC 30 CF8 BRT</t>
  </si>
  <si>
    <t>000025443</t>
  </si>
  <si>
    <t>114626-01</t>
  </si>
  <si>
    <t>18082501</t>
  </si>
  <si>
    <t>14930</t>
  </si>
  <si>
    <t>RK CPL BRT 10" 150# CF8M</t>
  </si>
  <si>
    <t>000025440</t>
  </si>
  <si>
    <t>114282-01</t>
  </si>
  <si>
    <t>14931</t>
  </si>
  <si>
    <t>NE DISCO BRT 12" 250PSI CF8M</t>
  </si>
  <si>
    <t>000025439</t>
  </si>
  <si>
    <t>114259-01</t>
  </si>
  <si>
    <t>11022501</t>
  </si>
  <si>
    <t>14932</t>
  </si>
  <si>
    <t>NE DISCO BRT 10" 250PSI CF8M</t>
  </si>
  <si>
    <t>000025442</t>
  </si>
  <si>
    <t>114305-01</t>
  </si>
  <si>
    <t>14933</t>
  </si>
  <si>
    <t>14934</t>
  </si>
  <si>
    <t>114305-02</t>
  </si>
  <si>
    <t>RK DISCO BRT 10" 150# CF8M</t>
  </si>
  <si>
    <t>114284-02</t>
  </si>
  <si>
    <t>14935</t>
  </si>
  <si>
    <t>RK CPL BRT 6" 150# WCB</t>
  </si>
  <si>
    <t>114602-01</t>
  </si>
  <si>
    <t>14943</t>
  </si>
  <si>
    <t>NF DC 14 IN BRT</t>
  </si>
  <si>
    <t>000025466</t>
  </si>
  <si>
    <t>114387-07</t>
  </si>
  <si>
    <t>14938</t>
  </si>
  <si>
    <t>114387-08</t>
  </si>
  <si>
    <t>114387-06</t>
  </si>
  <si>
    <t>NF DC 16 IN BRT</t>
  </si>
  <si>
    <t>14939 e 14940</t>
  </si>
  <si>
    <t>03042501 e 05092501</t>
  </si>
  <si>
    <t>114387-09</t>
  </si>
  <si>
    <t>14941</t>
  </si>
  <si>
    <t>WR3 DISCO BRT 8" CF8M PN10/16</t>
  </si>
  <si>
    <t>000025464</t>
  </si>
  <si>
    <t>114419-01</t>
  </si>
  <si>
    <t>14944</t>
  </si>
  <si>
    <t>RK2 DISCO BRT 16 150 CF8M</t>
  </si>
  <si>
    <t>000025463</t>
  </si>
  <si>
    <t>114662-02</t>
  </si>
  <si>
    <t>14946</t>
  </si>
  <si>
    <t>14945</t>
  </si>
  <si>
    <t>114662-01</t>
  </si>
  <si>
    <t>RK DISCO BRT 14" 150# CF8M</t>
  </si>
  <si>
    <t>RL DISCO BRT 8" PN10 CF8M</t>
  </si>
  <si>
    <t>000025642</t>
  </si>
  <si>
    <t>114601-02</t>
  </si>
  <si>
    <t>14947</t>
  </si>
  <si>
    <t>RL2 CPW BRT 4" 150PSI CF8M</t>
  </si>
  <si>
    <t>000025641</t>
  </si>
  <si>
    <t>114704-02</t>
  </si>
  <si>
    <t>14948</t>
  </si>
  <si>
    <t>JM SERVIÇOS</t>
  </si>
  <si>
    <t>BN USI NE HASTE SUP 12" 410</t>
  </si>
  <si>
    <t>000000185</t>
  </si>
  <si>
    <t>113935-04</t>
  </si>
  <si>
    <t>INT 107</t>
  </si>
  <si>
    <t>122</t>
  </si>
  <si>
    <t>000000184</t>
  </si>
  <si>
    <t>113705-05</t>
  </si>
  <si>
    <t>INT106</t>
  </si>
  <si>
    <t>MAPE</t>
  </si>
  <si>
    <t>BJ PE AM CR POLM PRV90 + INTERLIGAÇÃO + PRV90 ESP</t>
  </si>
  <si>
    <t>000001484</t>
  </si>
  <si>
    <t>115025-01</t>
  </si>
  <si>
    <t>500/2025</t>
  </si>
  <si>
    <t>IM0553-IM0553/1</t>
  </si>
  <si>
    <t>115025-02</t>
  </si>
  <si>
    <t>115025-03</t>
  </si>
  <si>
    <t>115025-04</t>
  </si>
  <si>
    <t>2025-1079</t>
  </si>
  <si>
    <t>BONGAS</t>
  </si>
  <si>
    <t>AE BONGAS AEE22T60PVQ8 220VAC 3F</t>
  </si>
  <si>
    <t>000029257</t>
  </si>
  <si>
    <t>115077-01</t>
  </si>
  <si>
    <t>250AE2033, 25AE2034</t>
  </si>
  <si>
    <t>3038/25</t>
  </si>
  <si>
    <t>IM-3019</t>
  </si>
  <si>
    <t>METAL PRIME</t>
  </si>
  <si>
    <t>BN USI NE CPW 4" FN</t>
  </si>
  <si>
    <t>118</t>
  </si>
  <si>
    <t>000013244</t>
  </si>
  <si>
    <t>112740-06</t>
  </si>
  <si>
    <t>266/25, 220/25</t>
  </si>
  <si>
    <t>767/25</t>
  </si>
  <si>
    <t>BR USI WR3 ANEL RET SD 20" SAE 1020</t>
  </si>
  <si>
    <t>00000599</t>
  </si>
  <si>
    <t>113810-09</t>
  </si>
  <si>
    <t>CFA122</t>
  </si>
  <si>
    <t>230/2025</t>
  </si>
  <si>
    <t>00000605</t>
  </si>
  <si>
    <t>113548-31</t>
  </si>
  <si>
    <t>113548-32</t>
  </si>
  <si>
    <t>113548-33</t>
  </si>
  <si>
    <t>113548-34</t>
  </si>
  <si>
    <t>VKT CPL BRT 10 150 C958</t>
  </si>
  <si>
    <t>114287-01</t>
  </si>
  <si>
    <t>000021531</t>
  </si>
  <si>
    <t>000021532</t>
  </si>
  <si>
    <t>114408-01</t>
  </si>
  <si>
    <t>2069AS5 e AS6</t>
  </si>
  <si>
    <t>0529/2025</t>
  </si>
  <si>
    <t>2052 AS1</t>
  </si>
  <si>
    <t>0527/2025</t>
  </si>
  <si>
    <t>000021543</t>
  </si>
  <si>
    <t>2069 AS7</t>
  </si>
  <si>
    <t>0531/2025</t>
  </si>
  <si>
    <t>VKT DISCO BRT 14 CL150 C958</t>
  </si>
  <si>
    <t>114408-02</t>
  </si>
  <si>
    <t>2052 AS2 ao 2052 AS5 e 2069 AS1 ao 2069 AS3</t>
  </si>
  <si>
    <t>0526/2025</t>
  </si>
  <si>
    <t>VKT DISCO BRT 10 CL150 C958</t>
  </si>
  <si>
    <t>114287-02</t>
  </si>
  <si>
    <t>2037 AS2</t>
  </si>
  <si>
    <t>0528/2025</t>
  </si>
  <si>
    <t>000021544</t>
  </si>
  <si>
    <t>2069 AS4</t>
  </si>
  <si>
    <t>0530/2025</t>
  </si>
  <si>
    <t>RK CPL BRT 2" 150# C958</t>
  </si>
  <si>
    <t>000021564</t>
  </si>
  <si>
    <t>114003-02</t>
  </si>
  <si>
    <t>2117 AS1 e 2117 AS2</t>
  </si>
  <si>
    <t>BN USI NE DISCO 3 FN 150PSI NY</t>
  </si>
  <si>
    <t>000006364</t>
  </si>
  <si>
    <t>114682-01</t>
  </si>
  <si>
    <t>422/22</t>
  </si>
  <si>
    <t>ALISSON</t>
  </si>
  <si>
    <t>BN USI NP HS 10 IN 410</t>
  </si>
  <si>
    <t>000000707</t>
  </si>
  <si>
    <t>CA572</t>
  </si>
  <si>
    <t>707</t>
  </si>
  <si>
    <t>LFBC</t>
  </si>
  <si>
    <t>BR USI WR3 HASTE SUP 8" 304</t>
  </si>
  <si>
    <t>BR USI WR3 HASTE SUP 10" 304</t>
  </si>
  <si>
    <t>000002415</t>
  </si>
  <si>
    <t>114307-05</t>
  </si>
  <si>
    <t>BL008</t>
  </si>
  <si>
    <t>0290/2025</t>
  </si>
  <si>
    <t>0291/2025</t>
  </si>
  <si>
    <t>BN USI NE HS ESP SUP 5-6 410 2D PADRÃO KEYSTONE</t>
  </si>
  <si>
    <t>114656-02</t>
  </si>
  <si>
    <t>CA599</t>
  </si>
  <si>
    <t>113907-05</t>
  </si>
  <si>
    <t>BN USI NE DISCO 4 FN 150PSI NY</t>
  </si>
  <si>
    <t>114559-01</t>
  </si>
  <si>
    <t>238/25</t>
  </si>
  <si>
    <t>AM CR PRVA-90 F14/R35 POLM</t>
  </si>
  <si>
    <t>000010854</t>
  </si>
  <si>
    <t>114385-01</t>
  </si>
  <si>
    <t>114385-02</t>
  </si>
  <si>
    <t>16690.01.01 á 16690.01.03</t>
  </si>
  <si>
    <t>16690.02.01 á 16690.02.08</t>
  </si>
  <si>
    <t>005370/2025</t>
  </si>
  <si>
    <t>005371/2025</t>
  </si>
  <si>
    <t>BN USI NE CPL 8" FN</t>
  </si>
  <si>
    <t>114472-06</t>
  </si>
  <si>
    <t>BN USI NE CPL 4" FN</t>
  </si>
  <si>
    <t>112208-05</t>
  </si>
  <si>
    <t>258/25</t>
  </si>
  <si>
    <t>114487-07</t>
  </si>
  <si>
    <t>114513-23</t>
  </si>
  <si>
    <t>114807-09</t>
  </si>
  <si>
    <t>245/25</t>
  </si>
  <si>
    <t>NE DISCO BRT 4" FN</t>
  </si>
  <si>
    <t>42</t>
  </si>
  <si>
    <t>000012570</t>
  </si>
  <si>
    <t>114779-01</t>
  </si>
  <si>
    <t>114779-02</t>
  </si>
  <si>
    <t>273/25</t>
  </si>
  <si>
    <t>5417/25</t>
  </si>
  <si>
    <t>NE DISCO BRT 3" FN</t>
  </si>
  <si>
    <t>114691-03</t>
  </si>
  <si>
    <t>114691-06</t>
  </si>
  <si>
    <t>114691-07</t>
  </si>
  <si>
    <t>5401/25</t>
  </si>
  <si>
    <t>298/25</t>
  </si>
  <si>
    <t>111541-05</t>
  </si>
  <si>
    <t>111543-08</t>
  </si>
  <si>
    <t>297/25</t>
  </si>
  <si>
    <t>111543-07</t>
  </si>
  <si>
    <t>111543-01</t>
  </si>
  <si>
    <t>BN USI RK CPW 3" WCB</t>
  </si>
  <si>
    <t>000005556</t>
  </si>
  <si>
    <t>113992-02</t>
  </si>
  <si>
    <t>06082501</t>
  </si>
  <si>
    <t>061007</t>
  </si>
  <si>
    <t>BN USI RK CPW 2,5 WCB 150/300</t>
  </si>
  <si>
    <t>113775-03</t>
  </si>
  <si>
    <t>061004</t>
  </si>
  <si>
    <t>BN USI CPF-C 20" 150# ASME150 WCB</t>
  </si>
  <si>
    <t>113775-04</t>
  </si>
  <si>
    <t>113775-05</t>
  </si>
  <si>
    <t>061005</t>
  </si>
  <si>
    <t>061006</t>
  </si>
  <si>
    <t>220725A2</t>
  </si>
  <si>
    <t>BC USI RL2 CPW 4" 150PSI WCB</t>
  </si>
  <si>
    <t>108064-05</t>
  </si>
  <si>
    <t>C052 - 01032301</t>
  </si>
  <si>
    <t>MICROFUSÃO DO BRASIL</t>
  </si>
  <si>
    <t>NE DISCO 3" CF8M 250 PSI</t>
  </si>
  <si>
    <t>000012450</t>
  </si>
  <si>
    <t>114913-01</t>
  </si>
  <si>
    <t>M542/25</t>
  </si>
  <si>
    <t>2117/25</t>
  </si>
  <si>
    <t>2025-1086</t>
  </si>
  <si>
    <t>31</t>
  </si>
  <si>
    <t>114244-01</t>
  </si>
  <si>
    <t>112399-03</t>
  </si>
  <si>
    <t>BR USI WR3 HASTE SUP 28" 410</t>
  </si>
  <si>
    <t>000000712</t>
  </si>
  <si>
    <t>114813-17</t>
  </si>
  <si>
    <t>CA627</t>
  </si>
  <si>
    <t>BR USI WR3 HASTE INF 28" 410</t>
  </si>
  <si>
    <t>114813-18</t>
  </si>
  <si>
    <t>BN USI NE HASTE INF 8" MONEL K500</t>
  </si>
  <si>
    <t>114196-02</t>
  </si>
  <si>
    <t>BE145</t>
  </si>
  <si>
    <t>BN USI NE HASTE SUP 8" MONEL K500</t>
  </si>
  <si>
    <t>114196-01</t>
  </si>
  <si>
    <t>ARM</t>
  </si>
  <si>
    <t>BN USI RK HASTE SUP 6" 150 PSI 17-4PH</t>
  </si>
  <si>
    <t>114506-09</t>
  </si>
  <si>
    <t>CP230</t>
  </si>
  <si>
    <t>ROLDITEC</t>
  </si>
  <si>
    <t>RK ARS BRT 10 150 A36 FSDS</t>
  </si>
  <si>
    <t>000011926</t>
  </si>
  <si>
    <t>114928-01</t>
  </si>
  <si>
    <t>CFA134</t>
  </si>
  <si>
    <t>34984</t>
  </si>
  <si>
    <t>RUSPRI</t>
  </si>
  <si>
    <t>RK ARS BRT 6" MM 150/300# 316</t>
  </si>
  <si>
    <t>000013889</t>
  </si>
  <si>
    <t>114985-01</t>
  </si>
  <si>
    <t>CBY065</t>
  </si>
  <si>
    <t>100.351</t>
  </si>
  <si>
    <t>RL2 ARS CHAPA 14" 150PSI 304</t>
  </si>
  <si>
    <t>000013890</t>
  </si>
  <si>
    <t>115019-01</t>
  </si>
  <si>
    <t>115019-02</t>
  </si>
  <si>
    <t>115019-03</t>
  </si>
  <si>
    <t>CBL093</t>
  </si>
  <si>
    <t>BN USI NF DISCO 20" CF8M 150 PSI</t>
  </si>
  <si>
    <t>000006365</t>
  </si>
  <si>
    <t>114487-04</t>
  </si>
  <si>
    <t>113804-06</t>
  </si>
  <si>
    <t>GMD</t>
  </si>
  <si>
    <t>000008589</t>
  </si>
  <si>
    <t>112982-04</t>
  </si>
  <si>
    <t>00861</t>
  </si>
  <si>
    <t>53</t>
  </si>
  <si>
    <t>000000424</t>
  </si>
  <si>
    <t>114801-03</t>
  </si>
  <si>
    <t>RK PREME GAXETA(PONTE) USI 2</t>
  </si>
  <si>
    <t>113478-05</t>
  </si>
  <si>
    <t>M531-25</t>
  </si>
  <si>
    <t>113478-01</t>
  </si>
  <si>
    <t>000006368</t>
  </si>
  <si>
    <t>13</t>
  </si>
  <si>
    <t>114472-02</t>
  </si>
  <si>
    <t>114472-01</t>
  </si>
  <si>
    <t>114472-03</t>
  </si>
  <si>
    <t>BN VUL NE SEDE 12" SBR</t>
  </si>
  <si>
    <t>114948-01</t>
  </si>
  <si>
    <t>04334</t>
  </si>
  <si>
    <t>114743-01</t>
  </si>
  <si>
    <t>114788-03</t>
  </si>
  <si>
    <t>114855-01</t>
  </si>
  <si>
    <t>NE DISCO 2" CF8M 150 PSI</t>
  </si>
  <si>
    <t>29</t>
  </si>
  <si>
    <t>000012453</t>
  </si>
  <si>
    <t>111318-09</t>
  </si>
  <si>
    <t>C552-25</t>
  </si>
  <si>
    <t>2069/258</t>
  </si>
  <si>
    <t>111318-08</t>
  </si>
  <si>
    <t>113318-10</t>
  </si>
  <si>
    <t>BRASIVEDA</t>
  </si>
  <si>
    <t>RK SEDE SOFT 16" I STEAM 150 PSI</t>
  </si>
  <si>
    <t>000000054</t>
  </si>
  <si>
    <t>114946-01</t>
  </si>
  <si>
    <t>24-1194C</t>
  </si>
  <si>
    <t>RK SEDE SOFT 10" STANSIT</t>
  </si>
  <si>
    <t>114956-02</t>
  </si>
  <si>
    <t>24-1980C</t>
  </si>
  <si>
    <t>RK SEDE SOFT 12" STANSIT</t>
  </si>
  <si>
    <t>114956-03</t>
  </si>
  <si>
    <t>COESTER</t>
  </si>
  <si>
    <t>AE COESTER CSM16 220VAC 3F</t>
  </si>
  <si>
    <t>000038422</t>
  </si>
  <si>
    <t>54/1</t>
  </si>
  <si>
    <t>55/1</t>
  </si>
  <si>
    <t>54/4</t>
  </si>
  <si>
    <t>115220-01</t>
  </si>
  <si>
    <t>NCC 14.03092</t>
  </si>
  <si>
    <t>NE DISCO 6" 150 PSI CF8M</t>
  </si>
  <si>
    <t>70</t>
  </si>
  <si>
    <t>000012452</t>
  </si>
  <si>
    <t>111324-07</t>
  </si>
  <si>
    <t>M556-25</t>
  </si>
  <si>
    <t>2079/25</t>
  </si>
  <si>
    <t>37</t>
  </si>
  <si>
    <t>111324-06</t>
  </si>
  <si>
    <t>BN USI RFR CORPO WAFER DN-300 FN S1</t>
  </si>
  <si>
    <t>BN USI VRFR GUIA DN-300 WAFER FN S1</t>
  </si>
  <si>
    <t>000005581</t>
  </si>
  <si>
    <t>114277-01</t>
  </si>
  <si>
    <t>114277-02</t>
  </si>
  <si>
    <t>C591</t>
  </si>
  <si>
    <t>111565-06</t>
  </si>
  <si>
    <t>BN VUL NF SEDE 24 EPDM T150</t>
  </si>
  <si>
    <t>BN VUL NF SEDE 16" EPDM T150</t>
  </si>
  <si>
    <t>111562-06</t>
  </si>
  <si>
    <t>MN VUL MS4 SEDE  24 BUNA COPAZA</t>
  </si>
  <si>
    <t>000012448</t>
  </si>
  <si>
    <t>113571-01</t>
  </si>
  <si>
    <t>11187</t>
  </si>
  <si>
    <t>BN VUL NF SEDE 16" BUNA-N</t>
  </si>
  <si>
    <t>111549-07</t>
  </si>
  <si>
    <t>111549-06</t>
  </si>
  <si>
    <t>BN VUL NFSEDE 18" EPDM T150</t>
  </si>
  <si>
    <t>111563-07</t>
  </si>
  <si>
    <t>111541-06</t>
  </si>
  <si>
    <t>BN VUL NE SEDE 12" EPDM T150</t>
  </si>
  <si>
    <t>111559-06</t>
  </si>
  <si>
    <t>BN VUL NE SEDE 1.5" EPDM T150</t>
  </si>
  <si>
    <t>000012454</t>
  </si>
  <si>
    <t>114788-04</t>
  </si>
  <si>
    <t>114788-01</t>
  </si>
  <si>
    <t>114788-02</t>
  </si>
  <si>
    <t xml:space="preserve">BN VUL NE SEDE 1.5" EPDM </t>
  </si>
  <si>
    <t>113903-01</t>
  </si>
  <si>
    <t>115029-01</t>
  </si>
  <si>
    <t>BN VUL NE SEDE 8" BUNA-N</t>
  </si>
  <si>
    <t>114950-13</t>
  </si>
  <si>
    <t>11178</t>
  </si>
  <si>
    <t>111543-10</t>
  </si>
  <si>
    <t>BN VUL NE SEDE 6"VITON-B</t>
  </si>
  <si>
    <t>114367-03</t>
  </si>
  <si>
    <t>BN USI RK H.S 16" MONEL</t>
  </si>
  <si>
    <t>000000709</t>
  </si>
  <si>
    <t>114475-12</t>
  </si>
  <si>
    <t>BE 160</t>
  </si>
  <si>
    <t>709</t>
  </si>
  <si>
    <t>PLASTEBOR</t>
  </si>
  <si>
    <t>NE SEDE 5" EPDM</t>
  </si>
  <si>
    <t>320</t>
  </si>
  <si>
    <t>000001298</t>
  </si>
  <si>
    <t>111579-02</t>
  </si>
  <si>
    <t>250925</t>
  </si>
  <si>
    <t>173/2025</t>
  </si>
  <si>
    <t>30</t>
  </si>
  <si>
    <t>111579-03</t>
  </si>
  <si>
    <t>BN USI NF CPW 20" FN</t>
  </si>
  <si>
    <t>000005580</t>
  </si>
  <si>
    <t>113848-01</t>
  </si>
  <si>
    <t>216/25</t>
  </si>
  <si>
    <t>171010</t>
  </si>
  <si>
    <t>000006370</t>
  </si>
  <si>
    <t>114513-19</t>
  </si>
  <si>
    <t>BN USI NE DISCO 8" CF8M 150 PSI</t>
  </si>
  <si>
    <t>40</t>
  </si>
  <si>
    <t>BN USI NF CPL 20 FN</t>
  </si>
  <si>
    <t>113662-07</t>
  </si>
  <si>
    <t>199/25</t>
  </si>
  <si>
    <t>171009</t>
  </si>
  <si>
    <t>171006</t>
  </si>
  <si>
    <t>171007</t>
  </si>
  <si>
    <t>BN USI NT CPW 18 FN</t>
  </si>
  <si>
    <t>113662-16</t>
  </si>
  <si>
    <t>196/25</t>
  </si>
  <si>
    <t>BN USI NE HASTE SUP 8" 410</t>
  </si>
  <si>
    <t>25</t>
  </si>
  <si>
    <t>000000196</t>
  </si>
  <si>
    <t>114471-04</t>
  </si>
  <si>
    <t>CA570</t>
  </si>
  <si>
    <t>INT 109</t>
  </si>
  <si>
    <t>114471-05</t>
  </si>
  <si>
    <t>000000197</t>
  </si>
  <si>
    <t>113935-03</t>
  </si>
  <si>
    <t>INT 110</t>
  </si>
  <si>
    <t>BN USI RK HS 3" HASTELLOY</t>
  </si>
  <si>
    <t>114196-03</t>
  </si>
  <si>
    <t>HT 009</t>
  </si>
  <si>
    <t>BN USI RK KIT H.S 2" 17-4PH 150 PSI</t>
  </si>
  <si>
    <t>114005-04</t>
  </si>
  <si>
    <t>CP220</t>
  </si>
  <si>
    <t>PRONFINOX</t>
  </si>
  <si>
    <t>000042962</t>
  </si>
  <si>
    <t>115109-01</t>
  </si>
  <si>
    <t>CBL096</t>
  </si>
  <si>
    <t>38162</t>
  </si>
  <si>
    <t>CBL097</t>
  </si>
  <si>
    <t>115109-02</t>
  </si>
  <si>
    <t>RL2 ARS CHAPA 8 MxM 150PSI 304</t>
  </si>
  <si>
    <t>RL2 ARS CHAPA 14 MxM 150PSI 304</t>
  </si>
  <si>
    <t>RL2 ARS BRT 20" 150PSI 304/CF8</t>
  </si>
  <si>
    <t>000013898</t>
  </si>
  <si>
    <t>115004-02</t>
  </si>
  <si>
    <t>CBL094</t>
  </si>
  <si>
    <t>100.360</t>
  </si>
  <si>
    <t>RL2 ARS BRT 24 150PSI 304/CF8</t>
  </si>
  <si>
    <t>115004-01</t>
  </si>
  <si>
    <t>CBL095</t>
  </si>
  <si>
    <t>000006383</t>
  </si>
  <si>
    <t>114472-04</t>
  </si>
  <si>
    <t>BN USI KIT PREME GAXETA MS 28 PN10</t>
  </si>
  <si>
    <t>000004646</t>
  </si>
  <si>
    <t>115151-01</t>
  </si>
  <si>
    <t>RK ARS USI 3 150 C958</t>
  </si>
  <si>
    <t>RK ARS USI 2 150 C958</t>
  </si>
  <si>
    <t>000021545</t>
  </si>
  <si>
    <t>114121-01</t>
  </si>
  <si>
    <t>114121-02</t>
  </si>
  <si>
    <t>2052 AS.</t>
  </si>
  <si>
    <t>0534/2025</t>
  </si>
  <si>
    <t>0535/2025</t>
  </si>
  <si>
    <t>METALPRIME</t>
  </si>
  <si>
    <t>166</t>
  </si>
  <si>
    <t>123</t>
  </si>
  <si>
    <t>000013254</t>
  </si>
  <si>
    <t>112740-07</t>
  </si>
  <si>
    <t>112740-08</t>
  </si>
  <si>
    <t>768-25</t>
  </si>
  <si>
    <t>280/25</t>
  </si>
  <si>
    <t>MADRIFLON</t>
  </si>
  <si>
    <t>RK SEDE SOFT 20" UHMWPE</t>
  </si>
  <si>
    <t>000000007</t>
  </si>
  <si>
    <t>115008-01</t>
  </si>
  <si>
    <t>MULTIALLOY</t>
  </si>
  <si>
    <t>000047898</t>
  </si>
  <si>
    <t>113800-01</t>
  </si>
  <si>
    <t>124-330</t>
  </si>
  <si>
    <t>79829</t>
  </si>
  <si>
    <t>VKT ANEL VED. SOLIDO 14 BRT K500</t>
  </si>
  <si>
    <t>VKT ANEL VED. SOLIDO BRT 18" 150# K500</t>
  </si>
  <si>
    <t>000047897</t>
  </si>
  <si>
    <t>113485-01</t>
  </si>
  <si>
    <t>79830</t>
  </si>
  <si>
    <t>BC USI RL2 CPW 16 WCB</t>
  </si>
  <si>
    <t>000008588</t>
  </si>
  <si>
    <t>113798-02</t>
  </si>
  <si>
    <t>OS-00895-001</t>
  </si>
  <si>
    <t>BN USI RFR GUIA FLANGEADO DN-600 FN S1</t>
  </si>
  <si>
    <t>000008587</t>
  </si>
  <si>
    <t>114604-02</t>
  </si>
  <si>
    <t>247/25</t>
  </si>
  <si>
    <t>OS-00958-001</t>
  </si>
  <si>
    <t>2025-1115</t>
  </si>
  <si>
    <t>BN USI NP CPL 10 FN (FUROS LISOS)</t>
  </si>
  <si>
    <t>114388-01</t>
  </si>
  <si>
    <t>269/25</t>
  </si>
  <si>
    <t>FERCOM</t>
  </si>
  <si>
    <t>RK SEDE SOFT 12" INTER-HARD</t>
  </si>
  <si>
    <t>000202457</t>
  </si>
  <si>
    <t>000062385</t>
  </si>
  <si>
    <t>115070-01</t>
  </si>
  <si>
    <t>RL DISCO BRT 6" PN10 CF8M</t>
  </si>
  <si>
    <t>000025541</t>
  </si>
  <si>
    <t>114704-01</t>
  </si>
  <si>
    <t>15159</t>
  </si>
  <si>
    <t>RK CPL BRT 16" C958 150#</t>
  </si>
  <si>
    <t>000021592</t>
  </si>
  <si>
    <t>114429-03</t>
  </si>
  <si>
    <t>2132 AS1 e 2132 AS2</t>
  </si>
  <si>
    <t>0562/2025</t>
  </si>
  <si>
    <t>VKT CPL BRT 14 150 C958</t>
  </si>
  <si>
    <t>2140 AS2 e 2140 AS3</t>
  </si>
  <si>
    <t>0563/2025</t>
  </si>
  <si>
    <t>RK CPL BRT 8" 150# ASME 150/300 C958</t>
  </si>
  <si>
    <t>000021593</t>
  </si>
  <si>
    <t>114114-01</t>
  </si>
  <si>
    <t>2132 AS3 e 2132 AS4</t>
  </si>
  <si>
    <t>0564/2025</t>
  </si>
  <si>
    <t>BN VUL NE SEDE 8 SBR</t>
  </si>
  <si>
    <t>000012467</t>
  </si>
  <si>
    <t>115198-07</t>
  </si>
  <si>
    <t>6857/25</t>
  </si>
  <si>
    <t>IM0059/SE-14</t>
  </si>
  <si>
    <t>2025-1116</t>
  </si>
  <si>
    <t>000021570</t>
  </si>
  <si>
    <t>2100 AS1 e 2100 AS2</t>
  </si>
  <si>
    <t>RK DISCO BRT 16" 150# C958</t>
  </si>
  <si>
    <t>000021569</t>
  </si>
  <si>
    <t>114867-01</t>
  </si>
  <si>
    <t>2084 AS1 e 2084 AS2</t>
  </si>
  <si>
    <t>0544/2025</t>
  </si>
  <si>
    <t>0543/2025</t>
  </si>
  <si>
    <t>BR USI WR3 ARS 8 304</t>
  </si>
  <si>
    <t>114488-04</t>
  </si>
  <si>
    <t>000000659</t>
  </si>
  <si>
    <t>CBL003</t>
  </si>
  <si>
    <t>266/2025</t>
  </si>
  <si>
    <t>BN USI NE HI 10 17-4PH</t>
  </si>
  <si>
    <t>000004597</t>
  </si>
  <si>
    <t>114600-01</t>
  </si>
  <si>
    <t>BN USI NE HS 4 17-4PH</t>
  </si>
  <si>
    <t>000000726</t>
  </si>
  <si>
    <t>114475-01</t>
  </si>
  <si>
    <t>CP212</t>
  </si>
  <si>
    <t>726</t>
  </si>
  <si>
    <t>BN USI RK HS 6" 150# 17-4PH</t>
  </si>
  <si>
    <t>114813-12</t>
  </si>
  <si>
    <t>BN USI NE DISCO 6" 250PSI C958</t>
  </si>
  <si>
    <t>114267-05</t>
  </si>
  <si>
    <t>114513-13</t>
  </si>
  <si>
    <t>1126 AS11 ao AS14 e 1729 AS10</t>
  </si>
  <si>
    <t>1456 AS06, 11, 16, 1955 AS1 e 1955 AS2</t>
  </si>
  <si>
    <t>CAPANYL</t>
  </si>
  <si>
    <t>BN REVEST. NE DC 4 FN 150 NY</t>
  </si>
  <si>
    <t>BN REVEST. NE DC 3 FN 150 NY</t>
  </si>
  <si>
    <t>000012124</t>
  </si>
  <si>
    <t>114478-01</t>
  </si>
  <si>
    <t>000012121</t>
  </si>
  <si>
    <t>114220-01</t>
  </si>
  <si>
    <t>326/24 e 422/22</t>
  </si>
  <si>
    <t>WD CPF BRT 20" PN10 FN</t>
  </si>
  <si>
    <t>000000735</t>
  </si>
  <si>
    <t>115123-01</t>
  </si>
  <si>
    <t>C681</t>
  </si>
  <si>
    <t>7402/25</t>
  </si>
  <si>
    <t>BQ USI WD DC 20 FN PN10</t>
  </si>
  <si>
    <t>000005585</t>
  </si>
  <si>
    <t>113814-02</t>
  </si>
  <si>
    <t>FG 218/25</t>
  </si>
  <si>
    <t>241006</t>
  </si>
  <si>
    <t>241003</t>
  </si>
  <si>
    <t>183/25</t>
  </si>
  <si>
    <t>113572-09</t>
  </si>
  <si>
    <t>000005589</t>
  </si>
  <si>
    <t>BQ USI WD DISCO 4" PN10 FN</t>
  </si>
  <si>
    <t>VKT CPF-C BRT 14 150# ASME 150 SWS-M C958</t>
  </si>
  <si>
    <t>000021591</t>
  </si>
  <si>
    <t>113959-01</t>
  </si>
  <si>
    <t>2140 AS1</t>
  </si>
  <si>
    <t>2025-1119</t>
  </si>
  <si>
    <t>0560/2025</t>
  </si>
  <si>
    <t>BQ USI WD CPF 20 FN NBR PN16</t>
  </si>
  <si>
    <t>113555-09</t>
  </si>
  <si>
    <t>113555-10</t>
  </si>
  <si>
    <t>113555-11</t>
  </si>
  <si>
    <t>325N001</t>
  </si>
  <si>
    <t>325N002</t>
  </si>
  <si>
    <t>325N003</t>
  </si>
  <si>
    <t>BN USI RK KIT HI 3 150 HASTELLOY</t>
  </si>
  <si>
    <t>000002435</t>
  </si>
  <si>
    <t>114197-09</t>
  </si>
  <si>
    <t>0296/2025</t>
  </si>
  <si>
    <t>0295/2025</t>
  </si>
  <si>
    <t>114197-08</t>
  </si>
  <si>
    <t>BN USI RK KIT HS 2 150# HASTELLOY</t>
  </si>
  <si>
    <t>000005590</t>
  </si>
  <si>
    <t>114514-03</t>
  </si>
  <si>
    <t>114489-09</t>
  </si>
  <si>
    <t>241014</t>
  </si>
  <si>
    <t>BN USI NE CPL 10 FN</t>
  </si>
  <si>
    <t>000006385</t>
  </si>
  <si>
    <t>113925-04</t>
  </si>
  <si>
    <t>BN USI NF CPW 16 FN</t>
  </si>
  <si>
    <t>113940-01</t>
  </si>
  <si>
    <t>244/25</t>
  </si>
  <si>
    <t>241015</t>
  </si>
  <si>
    <t>BN USI NP CPW 10 FN</t>
  </si>
  <si>
    <t>000006388</t>
  </si>
  <si>
    <t>115018-01</t>
  </si>
  <si>
    <t>BN USI NE CPW 10" FN</t>
  </si>
  <si>
    <t>112395-03</t>
  </si>
  <si>
    <t>276/25</t>
  </si>
  <si>
    <t>100.437</t>
  </si>
  <si>
    <t>RL2 ARS CHAPA 8" 150PSI 304</t>
  </si>
  <si>
    <t>000013941</t>
  </si>
  <si>
    <t>115169-02</t>
  </si>
  <si>
    <t>CBL098</t>
  </si>
  <si>
    <t>CBY066</t>
  </si>
  <si>
    <t>115169-01</t>
  </si>
  <si>
    <t>RK ARS CHAPA 14" 150/300# 316</t>
  </si>
  <si>
    <t>RL2 ARS CHAPA 12" 150PSI 304</t>
  </si>
  <si>
    <t>000013942</t>
  </si>
  <si>
    <t>000013940</t>
  </si>
  <si>
    <t>115170-01</t>
  </si>
  <si>
    <t>CBL099</t>
  </si>
  <si>
    <t>100.438</t>
  </si>
  <si>
    <t>100.436</t>
  </si>
  <si>
    <t>WR3 ARS 20 316 BRT</t>
  </si>
  <si>
    <t>115179-01</t>
  </si>
  <si>
    <t>115179-02</t>
  </si>
  <si>
    <t>115179-03</t>
  </si>
  <si>
    <t>CBY067</t>
  </si>
  <si>
    <t>RL2 ARS CHAPA 2" 150PSI 304</t>
  </si>
  <si>
    <t>115299-01</t>
  </si>
  <si>
    <t>CBL100</t>
  </si>
  <si>
    <t>100.425</t>
  </si>
  <si>
    <t>RK ARS BRT 2.5 150 AC FSDS</t>
  </si>
  <si>
    <t>000013939</t>
  </si>
  <si>
    <t>115133-01</t>
  </si>
  <si>
    <t>CFA135</t>
  </si>
  <si>
    <t>100.428</t>
  </si>
  <si>
    <t>RK ARS CHAPA 6" 150/300/600# AC</t>
  </si>
  <si>
    <t>000011934</t>
  </si>
  <si>
    <t>115161-01</t>
  </si>
  <si>
    <t>115161-02</t>
  </si>
  <si>
    <t>115161-03</t>
  </si>
  <si>
    <t>115161-04</t>
  </si>
  <si>
    <t>CFA136</t>
  </si>
  <si>
    <t>046965</t>
  </si>
  <si>
    <t>WR3 ARS 24 304 BRT SEDE PTFE</t>
  </si>
  <si>
    <t>000013970</t>
  </si>
  <si>
    <t>115355-01</t>
  </si>
  <si>
    <t>CBL101</t>
  </si>
  <si>
    <t>100.497</t>
  </si>
  <si>
    <t>BN USI NE CPL 2 WCB DIN PN10/16</t>
  </si>
  <si>
    <t>000005592</t>
  </si>
  <si>
    <t>114236-01</t>
  </si>
  <si>
    <t>17032501 e 06082501</t>
  </si>
  <si>
    <t>IM0591</t>
  </si>
  <si>
    <t>2025-1150</t>
  </si>
  <si>
    <t>BN USI NF CPW 14 WCB</t>
  </si>
  <si>
    <t>000005593</t>
  </si>
  <si>
    <t>113814-01</t>
  </si>
  <si>
    <t>281002</t>
  </si>
  <si>
    <t>2025-1151</t>
  </si>
  <si>
    <t>114265-01</t>
  </si>
  <si>
    <t>BN USI NT CPW 24 FN</t>
  </si>
  <si>
    <t>000005594</t>
  </si>
  <si>
    <t>114489-15</t>
  </si>
  <si>
    <t>251/25</t>
  </si>
  <si>
    <t>2025-1152</t>
  </si>
  <si>
    <t>BN USI NF CPL 20 FN DIN PN25 (MICROGRAFIA)</t>
  </si>
  <si>
    <t>114236-02</t>
  </si>
  <si>
    <t>C526</t>
  </si>
  <si>
    <t>281006</t>
  </si>
  <si>
    <t>281004</t>
  </si>
  <si>
    <t>114798-04</t>
  </si>
  <si>
    <t>259/25 e 272/25</t>
  </si>
  <si>
    <t>NE DC 3 CF8M 150PSI</t>
  </si>
  <si>
    <t>000012469</t>
  </si>
  <si>
    <t>111320-08</t>
  </si>
  <si>
    <t>111320-09</t>
  </si>
  <si>
    <t>2008/25</t>
  </si>
  <si>
    <t>2025-1153</t>
  </si>
  <si>
    <t>NE DC 2.1/2" CF8M 150PSI</t>
  </si>
  <si>
    <t>NE DC 3" CF8M 150PSI</t>
  </si>
  <si>
    <t>000012429</t>
  </si>
  <si>
    <t>000012430</t>
  </si>
  <si>
    <t>111319-05</t>
  </si>
  <si>
    <t>111319-06</t>
  </si>
  <si>
    <t>111319-07</t>
  </si>
  <si>
    <t>111319-08</t>
  </si>
  <si>
    <t>2025-1154</t>
  </si>
  <si>
    <t>M542/25 e M552/25</t>
  </si>
  <si>
    <t>20007/25 e 2070/25</t>
  </si>
  <si>
    <t>BN USI RK RK CPL 3" C958</t>
  </si>
  <si>
    <t>000005583</t>
  </si>
  <si>
    <t>114236-03</t>
  </si>
  <si>
    <t>2514 AL - 1182 AP 9</t>
  </si>
  <si>
    <t>171008</t>
  </si>
  <si>
    <t>2025-1155</t>
  </si>
  <si>
    <t>RK TP INF USI 4 CF8M</t>
  </si>
  <si>
    <t>32</t>
  </si>
  <si>
    <t>000012389</t>
  </si>
  <si>
    <t>113941-01</t>
  </si>
  <si>
    <t>113941-02</t>
  </si>
  <si>
    <t>M501-25</t>
  </si>
  <si>
    <t>1784/25</t>
  </si>
  <si>
    <t>2025-1157</t>
  </si>
  <si>
    <t>BN USI NF DISCO 20 CF8M 250PSI</t>
  </si>
  <si>
    <t>000005598</t>
  </si>
  <si>
    <t>113626-13</t>
  </si>
  <si>
    <t>BN USI NP HS 4 IN 410</t>
  </si>
  <si>
    <t>34</t>
  </si>
  <si>
    <t>000000676</t>
  </si>
  <si>
    <t>113909-03</t>
  </si>
  <si>
    <t>CA609</t>
  </si>
  <si>
    <t>2025-1160</t>
  </si>
  <si>
    <t>BN USI NE HS 2.1/2"</t>
  </si>
  <si>
    <t>74</t>
  </si>
  <si>
    <t>114475-02</t>
  </si>
  <si>
    <t>CA589</t>
  </si>
  <si>
    <t>48</t>
  </si>
  <si>
    <t>2025-1161</t>
  </si>
  <si>
    <t>RK PREME GAXETA (PONTE) BRT 6" 150/300# CF8M</t>
  </si>
  <si>
    <t>49</t>
  </si>
  <si>
    <t>000012470</t>
  </si>
  <si>
    <t>115061-01</t>
  </si>
  <si>
    <t>115061-02</t>
  </si>
  <si>
    <t>115061-03</t>
  </si>
  <si>
    <t>M523-25</t>
  </si>
  <si>
    <t>2118/25</t>
  </si>
  <si>
    <t>268/2025</t>
  </si>
  <si>
    <t>712</t>
  </si>
  <si>
    <t>NE CPL 8 WCB BRT</t>
  </si>
  <si>
    <t>000025590</t>
  </si>
  <si>
    <t>114483-04</t>
  </si>
  <si>
    <t>13092501</t>
  </si>
  <si>
    <t>2025-1162</t>
  </si>
  <si>
    <t>15227</t>
  </si>
  <si>
    <t>114483-03</t>
  </si>
  <si>
    <t>000025593</t>
  </si>
  <si>
    <t>114804-02</t>
  </si>
  <si>
    <t>15233</t>
  </si>
  <si>
    <t>000025594</t>
  </si>
  <si>
    <t>000025596</t>
  </si>
  <si>
    <t>114658-01</t>
  </si>
  <si>
    <t>15234</t>
  </si>
  <si>
    <t>15235</t>
  </si>
  <si>
    <t>2025-1163</t>
  </si>
  <si>
    <t>114483-06</t>
  </si>
  <si>
    <t>15228</t>
  </si>
  <si>
    <t>000025591</t>
  </si>
  <si>
    <t>114497-05</t>
  </si>
  <si>
    <t>20092501</t>
  </si>
  <si>
    <t>15231</t>
  </si>
  <si>
    <t>000012480</t>
  </si>
  <si>
    <t>107337</t>
  </si>
  <si>
    <t>IM-0059/IM-0023</t>
  </si>
  <si>
    <t>FERNANDA</t>
  </si>
  <si>
    <t>BN VUL NE SEDE 12" ELASTOHARD</t>
  </si>
  <si>
    <t>113409-08</t>
  </si>
  <si>
    <t>BN VUL NE SEDE 12" EPDM BRANCO</t>
  </si>
  <si>
    <t>1</t>
  </si>
  <si>
    <t>000012486</t>
  </si>
  <si>
    <t>115360-03</t>
  </si>
  <si>
    <t>12919</t>
  </si>
  <si>
    <t>115198-10</t>
  </si>
  <si>
    <t>114948-03</t>
  </si>
  <si>
    <t>BN VUL NE SEDE 10" EPDM BRANCO</t>
  </si>
  <si>
    <t>115198-09</t>
  </si>
  <si>
    <t>BN VUL NE SEDE 5" EPDM BRANCO</t>
  </si>
  <si>
    <t>114939-01</t>
  </si>
  <si>
    <t>BN VUL NE SEDE 8" EPDM BRANCO</t>
  </si>
  <si>
    <t>115198-08</t>
  </si>
  <si>
    <t>BN VUL NE SEDE 6" EPDM BRANCO</t>
  </si>
  <si>
    <t>114939-02</t>
  </si>
  <si>
    <t>EXTRABOR</t>
  </si>
  <si>
    <t>000004705</t>
  </si>
  <si>
    <t>114857-01</t>
  </si>
  <si>
    <t>11524</t>
  </si>
  <si>
    <t>114870-01</t>
  </si>
  <si>
    <t>115357-01</t>
  </si>
  <si>
    <t>114497-06</t>
  </si>
  <si>
    <t>15232</t>
  </si>
  <si>
    <t>000025540</t>
  </si>
  <si>
    <t>ARPEX</t>
  </si>
  <si>
    <t>BN PINT AM CR 18"-20" P/FC</t>
  </si>
  <si>
    <t>000010741</t>
  </si>
  <si>
    <t>115193-01</t>
  </si>
  <si>
    <t>158/25</t>
  </si>
  <si>
    <t>BN PINT AM ALAVANCA 8"-10" PE</t>
  </si>
  <si>
    <t>000001508</t>
  </si>
  <si>
    <t>115338-02</t>
  </si>
  <si>
    <t>449/2025</t>
  </si>
  <si>
    <t>BN PINT NE CPL 8 FN PE</t>
  </si>
  <si>
    <t>115338-01</t>
  </si>
  <si>
    <t>2332/25 - 209/25</t>
  </si>
  <si>
    <t>2025-1158</t>
  </si>
  <si>
    <t>BN USI NE HS 12 316-S</t>
  </si>
  <si>
    <t>000004664</t>
  </si>
  <si>
    <t>115140-06</t>
  </si>
  <si>
    <t>BS045</t>
  </si>
  <si>
    <t>703-25</t>
  </si>
  <si>
    <t>BN USI NE HI 5-6" 316-S</t>
  </si>
  <si>
    <t>115140-08</t>
  </si>
  <si>
    <t>BS043</t>
  </si>
  <si>
    <t>BN USI NE HS 5-6" 316-S</t>
  </si>
  <si>
    <t>115140-02</t>
  </si>
  <si>
    <t>BN USI NE HI 12 316-S</t>
  </si>
  <si>
    <t>115140-12</t>
  </si>
  <si>
    <t>BR USI WR3 HS 36 410</t>
  </si>
  <si>
    <t>113739-09</t>
  </si>
  <si>
    <t>113739-10</t>
  </si>
  <si>
    <t>CA636</t>
  </si>
  <si>
    <t>BC USI RL2 ARS 16" 150PSI 304</t>
  </si>
  <si>
    <t>106267-01</t>
  </si>
  <si>
    <t>CBL092</t>
  </si>
  <si>
    <t>2025-1184</t>
  </si>
  <si>
    <t>RL2 DISCO BRT 20" 150PSI CF8M</t>
  </si>
  <si>
    <t>000025600</t>
  </si>
  <si>
    <t>114664-04</t>
  </si>
  <si>
    <t>2025-1187</t>
  </si>
  <si>
    <t>RL2 DISCO BRT 18" 150PSI CF8</t>
  </si>
  <si>
    <t>114664-03</t>
  </si>
  <si>
    <t>09092501</t>
  </si>
  <si>
    <t>15238</t>
  </si>
  <si>
    <t>15237</t>
  </si>
  <si>
    <t>RL2 DISCO BRT 16" 150PSI CF8M</t>
  </si>
  <si>
    <t>000025595</t>
  </si>
  <si>
    <t>114624-03</t>
  </si>
  <si>
    <t>15236</t>
  </si>
  <si>
    <t>114624-02</t>
  </si>
  <si>
    <t>114483-08</t>
  </si>
  <si>
    <t>15229</t>
  </si>
  <si>
    <t>000025592</t>
  </si>
  <si>
    <t>114704-03</t>
  </si>
  <si>
    <t>15230</t>
  </si>
  <si>
    <t>300</t>
  </si>
  <si>
    <t>000001326</t>
  </si>
  <si>
    <t>291025</t>
  </si>
  <si>
    <t>175/2025</t>
  </si>
  <si>
    <t>BN VUL NE SEDE 4 NEOPRENE</t>
  </si>
  <si>
    <t>BN USI MS HI 24 PN25 17-4PH</t>
  </si>
  <si>
    <t>114197-10</t>
  </si>
  <si>
    <t>CP244</t>
  </si>
  <si>
    <t>0297/2025</t>
  </si>
  <si>
    <t>115357-02</t>
  </si>
  <si>
    <t>11508</t>
  </si>
  <si>
    <r>
      <t>2157/</t>
    </r>
    <r>
      <rPr>
        <b/>
        <sz val="11"/>
        <color theme="1"/>
        <rFont val="Calibri"/>
        <family val="2"/>
        <scheme val="minor"/>
      </rPr>
      <t>5</t>
    </r>
  </si>
  <si>
    <t>000021605</t>
  </si>
  <si>
    <t>2142 AS1 ao 2142AS3 e 2179 AS1 ao 2179 AS5</t>
  </si>
  <si>
    <t>0566/2025</t>
  </si>
  <si>
    <t>ARTRAT</t>
  </si>
  <si>
    <t>BN TRAT TERM NT HI 18 410</t>
  </si>
  <si>
    <t>000004553</t>
  </si>
  <si>
    <t>115145-07</t>
  </si>
  <si>
    <t>CA555</t>
  </si>
  <si>
    <t>19655</t>
  </si>
  <si>
    <t>IM0600</t>
  </si>
  <si>
    <t>BN TRAT TERM NE HS 5-6" PN25 410</t>
  </si>
  <si>
    <t>115145-08</t>
  </si>
  <si>
    <t>19656</t>
  </si>
  <si>
    <t>BN TRAT TERM NP HS 10 410</t>
  </si>
  <si>
    <t>115145-09</t>
  </si>
  <si>
    <t>19657</t>
  </si>
  <si>
    <t>115145-10</t>
  </si>
  <si>
    <t>BN TRAT TERM NF HS 14-16 410</t>
  </si>
  <si>
    <t>115145-11</t>
  </si>
  <si>
    <t>115145-12</t>
  </si>
  <si>
    <t>CA552</t>
  </si>
  <si>
    <t>19659</t>
  </si>
  <si>
    <t>BN TRAT TERM NF HI 14-16 410</t>
  </si>
  <si>
    <t>115145-13</t>
  </si>
  <si>
    <t>CA582</t>
  </si>
  <si>
    <t>19658</t>
  </si>
  <si>
    <t>BN TRAT TERM NE HS 8" 410</t>
  </si>
  <si>
    <t>115145-01</t>
  </si>
  <si>
    <t>CA586</t>
  </si>
  <si>
    <t>19654</t>
  </si>
  <si>
    <t>BN TRAT TERM NT HI 16 410</t>
  </si>
  <si>
    <t>115145-02</t>
  </si>
  <si>
    <t>115145-06</t>
  </si>
  <si>
    <t>CA616</t>
  </si>
  <si>
    <t>19955</t>
  </si>
  <si>
    <t>BN TRAT TERM NE HS 12" 410</t>
  </si>
  <si>
    <t>19661</t>
  </si>
  <si>
    <t>115145-03</t>
  </si>
  <si>
    <t>115145-04</t>
  </si>
  <si>
    <t>115145-05</t>
  </si>
  <si>
    <t>BN USI NP CPL 4" FN (FURO LISO)</t>
  </si>
  <si>
    <t>BN TRAT TERM NE HS ESP 5-6 410 2D PADRÃO KEYSTONE</t>
  </si>
  <si>
    <t>19660</t>
  </si>
  <si>
    <t>000025542</t>
  </si>
  <si>
    <t>114483-05</t>
  </si>
  <si>
    <t>15158</t>
  </si>
  <si>
    <t>2025-1215</t>
  </si>
  <si>
    <t>68</t>
  </si>
  <si>
    <t>000012491</t>
  </si>
  <si>
    <t>111322-07</t>
  </si>
  <si>
    <t>M563/25</t>
  </si>
  <si>
    <t>2109/25</t>
  </si>
  <si>
    <t>NE DISCO 4" CF8M 150 PSI</t>
  </si>
  <si>
    <t>000012490</t>
  </si>
  <si>
    <t>111322-08</t>
  </si>
  <si>
    <t>NE DC 5" IN 250 PSI</t>
  </si>
  <si>
    <t>116</t>
  </si>
  <si>
    <t>000012431</t>
  </si>
  <si>
    <t>111323-07</t>
  </si>
  <si>
    <t>513/25</t>
  </si>
  <si>
    <t>1838/25</t>
  </si>
  <si>
    <t>BR USI WR3 HASTE PASS 4" 17-4PH</t>
  </si>
  <si>
    <t>000002446</t>
  </si>
  <si>
    <t>114197-20</t>
  </si>
  <si>
    <t>CP131</t>
  </si>
  <si>
    <t>0300/2025</t>
  </si>
  <si>
    <t>000000431</t>
  </si>
  <si>
    <t>115349-01</t>
  </si>
  <si>
    <t>12082501, 22072501</t>
  </si>
  <si>
    <t>202/25</t>
  </si>
  <si>
    <t>BN USI NP HS 5-6" IN 410</t>
  </si>
  <si>
    <t>114506-08</t>
  </si>
  <si>
    <t>BN USI NE HS 8" 410</t>
  </si>
  <si>
    <t>000004666</t>
  </si>
  <si>
    <t>114828-02</t>
  </si>
  <si>
    <t>CA614</t>
  </si>
  <si>
    <t>115251-12</t>
  </si>
  <si>
    <t>CA640</t>
  </si>
  <si>
    <t>BN USI NP HS 8" IN 410</t>
  </si>
  <si>
    <t>114828-06</t>
  </si>
  <si>
    <t xml:space="preserve">411 Condição A </t>
  </si>
  <si>
    <t>BN USI NE DISCO 4" FN 150 PSI</t>
  </si>
  <si>
    <t>66</t>
  </si>
  <si>
    <t>000000430</t>
  </si>
  <si>
    <t>114510-02</t>
  </si>
  <si>
    <t>114510-03</t>
  </si>
  <si>
    <t>114801-02</t>
  </si>
  <si>
    <t>238/25, 174/25</t>
  </si>
  <si>
    <t>198/25, 248/25</t>
  </si>
  <si>
    <t>201/25</t>
  </si>
  <si>
    <t>RK SEDE SOFT 18" 150# RTFE(PTFE+25FV)</t>
  </si>
  <si>
    <t>000000051</t>
  </si>
  <si>
    <t>114530-02</t>
  </si>
  <si>
    <t>51/9</t>
  </si>
  <si>
    <t>BN USI NE DISCO 10" CF8M 150PSI</t>
  </si>
  <si>
    <t>112417-02</t>
  </si>
  <si>
    <t>05062501, 27052501 e 07052501</t>
  </si>
  <si>
    <t>000006401</t>
  </si>
  <si>
    <t>113699-09</t>
  </si>
  <si>
    <t>05082501 e 12082501</t>
  </si>
  <si>
    <t>000006398</t>
  </si>
  <si>
    <t>05062501, 07052501 e 27052501</t>
  </si>
  <si>
    <t>BN USI NP DISCO 8 CF8M 150#</t>
  </si>
  <si>
    <t>113724-04</t>
  </si>
  <si>
    <t>113925-06</t>
  </si>
  <si>
    <t xml:space="preserve">BN USI NE DISCO 4 FN 150PSI  </t>
  </si>
  <si>
    <t>BN VUL NE SEDE 12 EPDM T-150</t>
  </si>
  <si>
    <t>BN VUL NE SEDE 8" EPDM T-150</t>
  </si>
  <si>
    <t>111556-05</t>
  </si>
  <si>
    <t>6847/25</t>
  </si>
  <si>
    <t>6851/25</t>
  </si>
  <si>
    <t>6850/25</t>
  </si>
  <si>
    <t>BN VUL NF SEDE 24 NBR+PVC</t>
  </si>
  <si>
    <t>114948-02</t>
  </si>
  <si>
    <t>19501</t>
  </si>
  <si>
    <t>6855/25</t>
  </si>
  <si>
    <t>000021601</t>
  </si>
  <si>
    <t>2181 AS1 ao 2181 AS4</t>
  </si>
  <si>
    <t>0565/2025</t>
  </si>
  <si>
    <t>NE DC 4 CF3M BRT</t>
  </si>
  <si>
    <t>114736-02</t>
  </si>
  <si>
    <t>M580/25</t>
  </si>
  <si>
    <t>2160/25</t>
  </si>
  <si>
    <t>114736-01</t>
  </si>
  <si>
    <t>BN VUL NE SEDE 1.1/2" BUNA-N</t>
  </si>
  <si>
    <t>111544-06</t>
  </si>
  <si>
    <t>11174</t>
  </si>
  <si>
    <t>6849/25</t>
  </si>
  <si>
    <t>BN VUL NE SEDE 6" VITON TIPO-B</t>
  </si>
  <si>
    <t>6853/25</t>
  </si>
  <si>
    <t>114745-05</t>
  </si>
  <si>
    <t>114504-02</t>
  </si>
  <si>
    <t>BN VUL NE SEDE 2" VITON TIPO-B</t>
  </si>
  <si>
    <t>113903-02</t>
  </si>
  <si>
    <t>6852/25</t>
  </si>
  <si>
    <t>114504-01</t>
  </si>
  <si>
    <t>RK SEDE SOFT 24" 150# INTER- STEAM</t>
  </si>
  <si>
    <t>000000006</t>
  </si>
  <si>
    <t>115190-02</t>
  </si>
  <si>
    <t>6-1/2025</t>
  </si>
  <si>
    <t>7-1/2025</t>
  </si>
  <si>
    <t>RK SEDE 8" 150# FSDS INTER-STEAM</t>
  </si>
  <si>
    <t>000000056</t>
  </si>
  <si>
    <t>114935-02</t>
  </si>
  <si>
    <t>56-7/2025</t>
  </si>
  <si>
    <t>114956-01</t>
  </si>
  <si>
    <t>56-6/2025</t>
  </si>
  <si>
    <t>RK SEDE SOFT 20" 150# RTFE (PTFV25)</t>
  </si>
  <si>
    <t>115189-01</t>
  </si>
  <si>
    <t>56-1/2025</t>
  </si>
  <si>
    <t>115122/03</t>
  </si>
  <si>
    <t>56-10/2025</t>
  </si>
  <si>
    <t>000000052</t>
  </si>
  <si>
    <t>114935-01</t>
  </si>
  <si>
    <t>52-1/2025</t>
  </si>
  <si>
    <t>RK SEDE 12" 150# FSDS INTER-STEAM</t>
  </si>
  <si>
    <t>114413-01</t>
  </si>
  <si>
    <t>51-2/2025</t>
  </si>
  <si>
    <t>RK SEDE 4" INTER-STEAM</t>
  </si>
  <si>
    <t>114531-01</t>
  </si>
  <si>
    <t>51-1/2025</t>
  </si>
  <si>
    <t>114173-05</t>
  </si>
  <si>
    <t>51-11/2025</t>
  </si>
  <si>
    <t>BN VUL NE SEDE 4 ELASTOHARD</t>
  </si>
  <si>
    <t>BN VUL NF SEDE 14 BUNA-N</t>
  </si>
  <si>
    <t>115198-11</t>
  </si>
  <si>
    <t>6856/25</t>
  </si>
  <si>
    <t>4</t>
  </si>
  <si>
    <t>115029-04</t>
  </si>
  <si>
    <t>BN VUL NF SEDE 14 EPDM T-150</t>
  </si>
  <si>
    <t>114950-22</t>
  </si>
  <si>
    <t>6891/25</t>
  </si>
  <si>
    <t>BN VUL NF SEDE 24" BUNA-N</t>
  </si>
  <si>
    <t>111551-06</t>
  </si>
  <si>
    <t>BN VUL NF SEDE 24" EPDM T-150</t>
  </si>
  <si>
    <t>6848/25</t>
  </si>
  <si>
    <t xml:space="preserve">BN VUL NF SEDE 24" EPDM </t>
  </si>
  <si>
    <t>114572-02</t>
  </si>
  <si>
    <t>6854/25</t>
  </si>
  <si>
    <t>PLASTIVEDA</t>
  </si>
  <si>
    <t>RK SEDE 10" 150# INTER-STEAM FSDS</t>
  </si>
  <si>
    <t>000043819</t>
  </si>
  <si>
    <t>114964-01</t>
  </si>
  <si>
    <t>43819</t>
  </si>
  <si>
    <t>BN USI RK ARS 12" A995 150 PSI</t>
  </si>
  <si>
    <t>000002432</t>
  </si>
  <si>
    <t>114476-02</t>
  </si>
  <si>
    <t>0294/2025</t>
  </si>
  <si>
    <t>2025-1305</t>
  </si>
  <si>
    <t>6870/25</t>
  </si>
  <si>
    <t>114950-23</t>
  </si>
  <si>
    <t>BN VUL NF SEDE 16 EPDM T-150</t>
  </si>
  <si>
    <t>6864/25</t>
  </si>
  <si>
    <t>46</t>
  </si>
  <si>
    <t>6861/25</t>
  </si>
  <si>
    <t>24</t>
  </si>
  <si>
    <t>111556-06</t>
  </si>
  <si>
    <t>6863/25</t>
  </si>
  <si>
    <t>111555-07</t>
  </si>
  <si>
    <t>6862/25</t>
  </si>
  <si>
    <t>000025539</t>
  </si>
  <si>
    <t>15161</t>
  </si>
  <si>
    <t>000025544</t>
  </si>
  <si>
    <t>114804-01</t>
  </si>
  <si>
    <t>15153</t>
  </si>
  <si>
    <t>000025551</t>
  </si>
  <si>
    <t>114387-02</t>
  </si>
  <si>
    <t>15168</t>
  </si>
  <si>
    <t>12082501 e 22072501</t>
  </si>
  <si>
    <t>15168 e 15167</t>
  </si>
  <si>
    <t>15170</t>
  </si>
  <si>
    <t>114387-04</t>
  </si>
  <si>
    <t>15169</t>
  </si>
  <si>
    <t>114387-05</t>
  </si>
  <si>
    <t>115250-01</t>
  </si>
  <si>
    <t>NE CPL BRT 2" WCB</t>
  </si>
  <si>
    <t>000025550</t>
  </si>
  <si>
    <t>114483-01</t>
  </si>
  <si>
    <t>030925A1</t>
  </si>
  <si>
    <t>15166</t>
  </si>
  <si>
    <t>114483-09</t>
  </si>
  <si>
    <t>114483-02</t>
  </si>
  <si>
    <t>NF DC 16 IN BRT 250PSI</t>
  </si>
  <si>
    <t>000025543</t>
  </si>
  <si>
    <t>114718-02</t>
  </si>
  <si>
    <t>15157</t>
  </si>
  <si>
    <t>BN USI RK DISCO 20" 150# CF8M</t>
  </si>
  <si>
    <t>000005520</t>
  </si>
  <si>
    <t>113081-03</t>
  </si>
  <si>
    <t>110907</t>
  </si>
  <si>
    <t>BN USI RK DISCO 2" CF8M</t>
  </si>
  <si>
    <t>000005582</t>
  </si>
  <si>
    <t>113992-05</t>
  </si>
  <si>
    <t>FVP 810/24</t>
  </si>
  <si>
    <t>171002</t>
  </si>
  <si>
    <t>BN USI RK DISCO 2,5" CF8M</t>
  </si>
  <si>
    <t>114236-07</t>
  </si>
  <si>
    <t>20022401</t>
  </si>
  <si>
    <t>171005</t>
  </si>
  <si>
    <t>113851-05</t>
  </si>
  <si>
    <t>BN USI RK CPF-C 20" ASME150 WCB</t>
  </si>
  <si>
    <t>BN USI RK CPW 12 150# WCB</t>
  </si>
  <si>
    <t>113992-04</t>
  </si>
  <si>
    <t>281003</t>
  </si>
  <si>
    <t>BC RL2 CPW 4" 150PSI WCB</t>
  </si>
  <si>
    <t>01032301</t>
  </si>
  <si>
    <t>C052</t>
  </si>
  <si>
    <t>BN USI RK CPL 12 FIRE DS C958</t>
  </si>
  <si>
    <t>113851-01</t>
  </si>
  <si>
    <t>1809 AS 4 e 5</t>
  </si>
  <si>
    <t>1809 AS 3</t>
  </si>
  <si>
    <t>113851-02</t>
  </si>
  <si>
    <t>RDR - RELATÓRIO DIÁRIO DE RECEBIMENTO - OUTUBRO 2025</t>
  </si>
  <si>
    <t>BN PINT CAIXA RED 12</t>
  </si>
  <si>
    <t>000001493</t>
  </si>
  <si>
    <t>115085-04</t>
  </si>
  <si>
    <t>507/2025</t>
  </si>
  <si>
    <t>BN PINT PREME 12</t>
  </si>
  <si>
    <t>115085-03</t>
  </si>
  <si>
    <t>115085-02</t>
  </si>
  <si>
    <t>115085-01</t>
  </si>
  <si>
    <t>BN PINT TAMPA 12</t>
  </si>
  <si>
    <t>BN PINT CORPO LUG 12</t>
  </si>
  <si>
    <t>BN PE VRFR CPF DN-600 FN B16.5 300#</t>
  </si>
  <si>
    <t>000010687</t>
  </si>
  <si>
    <t>114238-01</t>
  </si>
  <si>
    <t>153/25</t>
  </si>
  <si>
    <t>BN PE VRFR GUIA FLG DN600 B16.5 300#</t>
  </si>
  <si>
    <t>000010688</t>
  </si>
  <si>
    <t>114238-02</t>
  </si>
  <si>
    <t>BQ PINT ESP WD CPF 24 PN10 FN P/ SEDE PTFE</t>
  </si>
  <si>
    <t>000010689</t>
  </si>
  <si>
    <t>113500-05</t>
  </si>
  <si>
    <t>C502</t>
  </si>
  <si>
    <t>154/25</t>
  </si>
  <si>
    <t>000010697</t>
  </si>
  <si>
    <t>114873-02</t>
  </si>
  <si>
    <t>155/25</t>
  </si>
  <si>
    <t>BN PINT NE CPW 10 PE 5752 NBR 7675 PN10 C/</t>
  </si>
  <si>
    <t>BJ PINT ESP PRV70 F10/Q17</t>
  </si>
  <si>
    <t>114873-01</t>
  </si>
  <si>
    <t>BJ PE AM CR POLM PRV-70 F12/22 CAD</t>
  </si>
  <si>
    <t>000001502</t>
  </si>
  <si>
    <t>114176-01</t>
  </si>
  <si>
    <t>442/2025</t>
  </si>
  <si>
    <t>000001503</t>
  </si>
  <si>
    <t>115085-05</t>
  </si>
  <si>
    <t>507B/2025</t>
  </si>
  <si>
    <t>BN PINT NP CPL 8 FN (FUROS LISOS)</t>
  </si>
  <si>
    <t>000010784</t>
  </si>
  <si>
    <t>115193-02</t>
  </si>
  <si>
    <t>167/25</t>
  </si>
  <si>
    <t>EDSON LUIZ</t>
  </si>
  <si>
    <t>BN USI NF CPL 24 FN ASME</t>
  </si>
  <si>
    <t>000009303</t>
  </si>
  <si>
    <t>114237-02</t>
  </si>
  <si>
    <t>9014 - 3586</t>
  </si>
  <si>
    <t>BN PINT AM CRE 110 F10/F14-Q17 UP RED</t>
  </si>
  <si>
    <t>000010668</t>
  </si>
  <si>
    <t>114544-04</t>
  </si>
  <si>
    <t>160/25</t>
  </si>
  <si>
    <t>0</t>
  </si>
  <si>
    <t>2025-1080 / 2025-1081</t>
  </si>
  <si>
    <t>BN PINT NP CPL 4 FN PE (FUROS LISOS)</t>
  </si>
  <si>
    <t>000010667</t>
  </si>
  <si>
    <t>113656-01</t>
  </si>
  <si>
    <t>211/25</t>
  </si>
  <si>
    <t>115/25</t>
  </si>
  <si>
    <t>BN PINT AM CRE 90 F07/F12-Q17 UP RED</t>
  </si>
  <si>
    <t>000010669</t>
  </si>
  <si>
    <t>114544-03</t>
  </si>
  <si>
    <t>BN USI RK CPW 6" 150/300# WCB</t>
  </si>
  <si>
    <t>112104-01</t>
  </si>
  <si>
    <t>070825A2</t>
  </si>
  <si>
    <t>171014</t>
  </si>
  <si>
    <t>BN USI VKT DISCO 18 150# PROJ-SWS FS END-PB C</t>
  </si>
  <si>
    <t>11360-06</t>
  </si>
  <si>
    <t>1729 AS 1 ao 3 - 1779 AS</t>
  </si>
  <si>
    <t>061010</t>
  </si>
  <si>
    <t>BR PINT WR3 TAMPA INF 24" PN10 SAE1020 PE</t>
  </si>
  <si>
    <t>000010696</t>
  </si>
  <si>
    <t>113500-07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</si>
</sst>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3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164" fontId="1" fillId="38" borderId="11" xfId="42" applyNumberFormat="1" applyFont="1" applyFill="1" applyBorder="1" applyAlignment="1">
      <alignment horizontal="center" vertical="center"/>
    </xf>
    <xf numFmtId="49" fontId="16" fillId="38" borderId="11" xfId="42" applyNumberFormat="1" applyFont="1" applyFill="1" applyBorder="1" applyAlignment="1">
      <alignment horizontal="center" vertical="center"/>
    </xf>
    <xf numFmtId="49" fontId="25" fillId="38" borderId="11" xfId="42" applyNumberFormat="1" applyFont="1" applyFill="1" applyBorder="1" applyAlignment="1">
      <alignment horizontal="center" vertical="center"/>
    </xf>
    <xf numFmtId="49" fontId="1" fillId="38" borderId="11" xfId="42" quotePrefix="1" applyNumberFormat="1" applyFont="1" applyFill="1" applyBorder="1" applyAlignment="1">
      <alignment horizontal="center" vertical="center" wrapText="1"/>
    </xf>
    <xf numFmtId="0" fontId="1" fillId="38" borderId="11" xfId="0" applyFont="1" applyFill="1" applyBorder="1" applyAlignment="1">
      <alignment horizontal="center" vertical="center"/>
    </xf>
    <xf numFmtId="0" fontId="1" fillId="38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38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6" fillId="38" borderId="11" xfId="42" applyNumberFormat="1" applyFont="1" applyFill="1" applyBorder="1" applyAlignment="1">
      <alignment horizontal="center" vertical="center"/>
    </xf>
    <xf numFmtId="49" fontId="14" fillId="38" borderId="11" xfId="42" applyNumberFormat="1" applyFont="1" applyFill="1" applyBorder="1" applyAlignment="1">
      <alignment horizontal="center" vertical="center"/>
    </xf>
    <xf numFmtId="49" fontId="27" fillId="38" borderId="11" xfId="42" applyNumberFormat="1" applyFont="1" applyFill="1" applyBorder="1" applyAlignment="1">
      <alignment horizontal="center" vertical="center"/>
    </xf>
    <xf numFmtId="0" fontId="20" fillId="38" borderId="0" xfId="0" applyFont="1" applyFill="1"/>
    <xf numFmtId="49" fontId="0" fillId="33" borderId="11" xfId="42" applyNumberFormat="1" applyFont="1" applyFill="1" applyBorder="1" applyAlignment="1">
      <alignment horizontal="center" vertical="center"/>
    </xf>
    <xf numFmtId="49" fontId="0" fillId="38" borderId="11" xfId="42" applyNumberFormat="1" applyFont="1" applyFill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%20-%20BACK-UP.xlsx" TargetMode="External"/><Relationship Id="rId1" Type="http://schemas.openxmlformats.org/officeDocument/2006/relationships/externalLinkPath" Target="file:///C:\Users\aantonio\Desktop\Aluir%20o\RO-PR-051_Relat&#243;rio_Di&#225;rio_de_Recebimento%20-%20BACK-U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C&#211;PIARO-PR-051_Relat&#243;rio_Di&#225;rio_de_Recebimento.xlsx" TargetMode="External"/><Relationship Id="rId1" Type="http://schemas.openxmlformats.org/officeDocument/2006/relationships/externalLinkPath" Target="file:///C:\Users\aantonio\Desktop\Aluir%20o\C&#211;PIARO-PR-051_Relat&#243;rio_Di&#225;rio_de_Recebi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448"/>
  <sheetViews>
    <sheetView showGridLines="0" tabSelected="1" zoomScale="80" zoomScaleNormal="80" zoomScaleSheetLayoutView="100" workbookViewId="0">
      <pane ySplit="6" topLeftCell="A569" activePane="bottomLeft" state="frozen"/>
      <selection pane="bottomLeft" activeCell="AA570" sqref="AA570"/>
    </sheetView>
  </sheetViews>
  <sheetFormatPr defaultColWidth="9.140625" defaultRowHeight="15" x14ac:dyDescent="0.25"/>
  <cols>
    <col min="1" max="1" width="11.140625" style="1" customWidth="1"/>
    <col min="2" max="2" width="27.28515625" style="2" bestFit="1" customWidth="1"/>
    <col min="3" max="3" width="51.7109375" style="3" bestFit="1" customWidth="1"/>
    <col min="4" max="4" width="6.7109375" style="3" customWidth="1"/>
    <col min="5" max="5" width="10.85546875" style="3" bestFit="1" customWidth="1"/>
    <col min="6" max="6" width="10.85546875" style="1" bestFit="1" customWidth="1"/>
    <col min="7" max="7" width="53.140625" style="1" bestFit="1" customWidth="1"/>
    <col min="8" max="8" width="20" style="1" bestFit="1" customWidth="1"/>
    <col min="9" max="9" width="19.42578125" style="1" bestFit="1" customWidth="1"/>
    <col min="10" max="10" width="19.85546875" style="1" bestFit="1" customWidth="1"/>
    <col min="11" max="11" width="17.28515625" style="14" customWidth="1"/>
    <col min="12" max="12" width="16.7109375" style="14" bestFit="1" customWidth="1"/>
    <col min="13" max="13" width="6.7109375" style="14" customWidth="1"/>
    <col min="14" max="22" width="6.7109375" style="1" customWidth="1"/>
    <col min="23" max="23" width="7.5703125" style="4" bestFit="1" customWidth="1"/>
    <col min="24" max="24" width="6.28515625" style="1" customWidth="1"/>
    <col min="25" max="25" width="10.5703125" style="1" customWidth="1"/>
    <col min="26" max="26" width="12.85546875" style="1" customWidth="1"/>
    <col min="27" max="16384" width="9.140625" style="1"/>
  </cols>
  <sheetData>
    <row r="1" spans="1:26" ht="10.15" customHeight="1" x14ac:dyDescent="0.25">
      <c r="A1" s="58" t="e" vm="1">
        <v>#VALUE!</v>
      </c>
      <c r="B1" s="59"/>
      <c r="C1" s="65" t="s">
        <v>9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7"/>
      <c r="Y1" s="54" t="s">
        <v>11</v>
      </c>
      <c r="Z1" s="55"/>
    </row>
    <row r="2" spans="1:26" ht="10.15" customHeight="1" x14ac:dyDescent="0.25">
      <c r="A2" s="60"/>
      <c r="B2" s="61"/>
      <c r="C2" s="68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70"/>
      <c r="Y2" s="56"/>
      <c r="Z2" s="57"/>
    </row>
    <row r="3" spans="1:26" ht="10.15" customHeight="1" x14ac:dyDescent="0.25">
      <c r="A3" s="60"/>
      <c r="B3" s="61"/>
      <c r="C3" s="62" t="s">
        <v>1962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 t="s">
        <v>79</v>
      </c>
      <c r="Z3" s="57"/>
    </row>
    <row r="4" spans="1:26" ht="10.15" customHeight="1" thickBot="1" x14ac:dyDescent="0.3">
      <c r="A4" s="60"/>
      <c r="B4" s="61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56"/>
      <c r="Z4" s="57"/>
    </row>
    <row r="5" spans="1:26" ht="19.899999999999999" customHeight="1" thickTop="1" x14ac:dyDescent="0.25">
      <c r="A5" s="51" t="s">
        <v>84</v>
      </c>
      <c r="B5" s="52"/>
      <c r="C5" s="52"/>
      <c r="D5" s="52"/>
      <c r="E5" s="52"/>
      <c r="F5" s="52"/>
      <c r="G5" s="52"/>
      <c r="H5" s="53"/>
      <c r="I5" s="48" t="s">
        <v>85</v>
      </c>
      <c r="J5" s="49"/>
      <c r="K5" s="50"/>
      <c r="L5" s="21" t="s">
        <v>86</v>
      </c>
      <c r="M5" s="48" t="s">
        <v>87</v>
      </c>
      <c r="N5" s="49"/>
      <c r="O5" s="49"/>
      <c r="P5" s="49"/>
      <c r="Q5" s="49"/>
      <c r="R5" s="49"/>
      <c r="S5" s="49"/>
      <c r="T5" s="49"/>
      <c r="U5" s="49"/>
      <c r="V5" s="50"/>
      <c r="W5" s="48" t="s">
        <v>77</v>
      </c>
      <c r="X5" s="49"/>
      <c r="Y5" s="50"/>
      <c r="Z5" s="21" t="s">
        <v>4</v>
      </c>
    </row>
    <row r="6" spans="1:26" s="5" customFormat="1" ht="89.45" customHeight="1" x14ac:dyDescent="0.25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ht="19.899999999999999" customHeight="1" x14ac:dyDescent="0.25">
      <c r="A7" s="6">
        <v>45931</v>
      </c>
      <c r="B7" s="7" t="s">
        <v>262</v>
      </c>
      <c r="C7" s="8" t="s">
        <v>263</v>
      </c>
      <c r="D7" s="8" t="s">
        <v>264</v>
      </c>
      <c r="E7" s="8" t="s">
        <v>265</v>
      </c>
      <c r="F7" s="9" t="s">
        <v>266</v>
      </c>
      <c r="G7" s="9" t="s">
        <v>267</v>
      </c>
      <c r="H7" s="9" t="s">
        <v>280</v>
      </c>
      <c r="I7" s="9" t="s">
        <v>67</v>
      </c>
      <c r="J7" s="10" t="s">
        <v>186</v>
      </c>
      <c r="K7" s="15" t="str">
        <f>VLOOKUP(J7,DADOS!$A$3:$B$105,2,FALSE)</f>
        <v>EE-GI-001-008</v>
      </c>
      <c r="L7" s="15" t="s">
        <v>268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14</v>
      </c>
      <c r="X7" s="12" t="s">
        <v>264</v>
      </c>
      <c r="Y7" s="12" t="s">
        <v>269</v>
      </c>
      <c r="Z7" s="12" t="s">
        <v>270</v>
      </c>
    </row>
    <row r="8" spans="1:26" ht="19.899999999999999" customHeight="1" x14ac:dyDescent="0.25">
      <c r="A8" s="6">
        <v>45931</v>
      </c>
      <c r="B8" s="7" t="s">
        <v>262</v>
      </c>
      <c r="C8" s="8" t="s">
        <v>272</v>
      </c>
      <c r="D8" s="8" t="s">
        <v>273</v>
      </c>
      <c r="E8" s="8" t="s">
        <v>274</v>
      </c>
      <c r="F8" s="9" t="s">
        <v>275</v>
      </c>
      <c r="G8" s="9" t="s">
        <v>278</v>
      </c>
      <c r="H8" s="34"/>
      <c r="I8" s="9" t="s">
        <v>72</v>
      </c>
      <c r="J8" s="10" t="s">
        <v>186</v>
      </c>
      <c r="K8" s="15" t="str">
        <f>VLOOKUP(J8,DADOS!$A$3:$B$105,2,FALSE)</f>
        <v>EE-GI-001-008</v>
      </c>
      <c r="L8" s="15" t="s">
        <v>268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1</v>
      </c>
      <c r="U8" s="17" t="b">
        <v>1</v>
      </c>
      <c r="V8" s="17" t="b">
        <v>1</v>
      </c>
      <c r="W8" s="11" t="s">
        <v>14</v>
      </c>
      <c r="X8" s="12" t="s">
        <v>273</v>
      </c>
      <c r="Y8" s="12" t="s">
        <v>271</v>
      </c>
      <c r="Z8" s="12" t="s">
        <v>270</v>
      </c>
    </row>
    <row r="9" spans="1:26" ht="19.899999999999999" customHeight="1" x14ac:dyDescent="0.25">
      <c r="A9" s="6">
        <v>45931</v>
      </c>
      <c r="B9" s="7" t="s">
        <v>262</v>
      </c>
      <c r="C9" s="8" t="s">
        <v>272</v>
      </c>
      <c r="D9" s="8" t="s">
        <v>273</v>
      </c>
      <c r="E9" s="8" t="s">
        <v>274</v>
      </c>
      <c r="F9" s="9" t="s">
        <v>276</v>
      </c>
      <c r="G9" s="9" t="s">
        <v>278</v>
      </c>
      <c r="H9" s="34"/>
      <c r="I9" s="9" t="s">
        <v>72</v>
      </c>
      <c r="J9" s="10" t="s">
        <v>186</v>
      </c>
      <c r="K9" s="15" t="str">
        <f>VLOOKUP(J9,DADOS!$A$3:$B$105,2,FALSE)</f>
        <v>EE-GI-001-008</v>
      </c>
      <c r="L9" s="15" t="s">
        <v>268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1</v>
      </c>
      <c r="U9" s="17" t="b">
        <v>1</v>
      </c>
      <c r="V9" s="17" t="b">
        <v>1</v>
      </c>
      <c r="W9" s="11" t="s">
        <v>14</v>
      </c>
      <c r="X9" s="12" t="s">
        <v>273</v>
      </c>
      <c r="Y9" s="12" t="s">
        <v>271</v>
      </c>
      <c r="Z9" s="12" t="s">
        <v>270</v>
      </c>
    </row>
    <row r="10" spans="1:26" ht="19.899999999999999" customHeight="1" x14ac:dyDescent="0.25">
      <c r="A10" s="6">
        <v>45931</v>
      </c>
      <c r="B10" s="7" t="s">
        <v>262</v>
      </c>
      <c r="C10" s="8" t="s">
        <v>272</v>
      </c>
      <c r="D10" s="8" t="s">
        <v>264</v>
      </c>
      <c r="E10" s="8" t="s">
        <v>274</v>
      </c>
      <c r="F10" s="9" t="s">
        <v>277</v>
      </c>
      <c r="G10" s="9" t="s">
        <v>279</v>
      </c>
      <c r="H10" s="34"/>
      <c r="I10" s="9" t="s">
        <v>72</v>
      </c>
      <c r="J10" s="10" t="s">
        <v>186</v>
      </c>
      <c r="K10" s="15" t="str">
        <f>VLOOKUP(J10,DADOS!$A$3:$B$105,2,FALSE)</f>
        <v>EE-GI-001-008</v>
      </c>
      <c r="L10" s="15" t="s">
        <v>268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1</v>
      </c>
      <c r="U10" s="17" t="b">
        <v>1</v>
      </c>
      <c r="V10" s="17" t="b">
        <v>1</v>
      </c>
      <c r="W10" s="11" t="s">
        <v>14</v>
      </c>
      <c r="X10" s="12" t="s">
        <v>264</v>
      </c>
      <c r="Y10" s="12" t="s">
        <v>271</v>
      </c>
      <c r="Z10" s="12" t="s">
        <v>270</v>
      </c>
    </row>
    <row r="11" spans="1:26" ht="19.899999999999999" customHeight="1" x14ac:dyDescent="0.25">
      <c r="A11" s="6">
        <v>45931</v>
      </c>
      <c r="B11" s="7" t="s">
        <v>262</v>
      </c>
      <c r="C11" s="8" t="s">
        <v>281</v>
      </c>
      <c r="D11" s="8" t="s">
        <v>264</v>
      </c>
      <c r="E11" s="8" t="s">
        <v>284</v>
      </c>
      <c r="F11" s="9" t="s">
        <v>285</v>
      </c>
      <c r="G11" s="9" t="s">
        <v>288</v>
      </c>
      <c r="H11" s="9" t="s">
        <v>289</v>
      </c>
      <c r="I11" s="9" t="s">
        <v>67</v>
      </c>
      <c r="J11" s="10" t="s">
        <v>186</v>
      </c>
      <c r="K11" s="15" t="str">
        <f>VLOOKUP(J11,DADOS!$A$3:$B$105,2,FALSE)</f>
        <v>EE-GI-001-008</v>
      </c>
      <c r="L11" s="15" t="s">
        <v>268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264</v>
      </c>
      <c r="X11" s="12" t="s">
        <v>14</v>
      </c>
      <c r="Y11" s="12" t="s">
        <v>14</v>
      </c>
      <c r="Z11" s="13" t="s">
        <v>270</v>
      </c>
    </row>
    <row r="12" spans="1:26" ht="19.899999999999999" customHeight="1" x14ac:dyDescent="0.25">
      <c r="A12" s="6">
        <v>45931</v>
      </c>
      <c r="B12" s="7" t="s">
        <v>262</v>
      </c>
      <c r="C12" s="8" t="s">
        <v>281</v>
      </c>
      <c r="D12" s="8" t="s">
        <v>282</v>
      </c>
      <c r="E12" s="8" t="s">
        <v>284</v>
      </c>
      <c r="F12" s="9" t="s">
        <v>286</v>
      </c>
      <c r="G12" s="9" t="s">
        <v>288</v>
      </c>
      <c r="H12" s="9" t="s">
        <v>289</v>
      </c>
      <c r="I12" s="9" t="s">
        <v>67</v>
      </c>
      <c r="J12" s="10" t="s">
        <v>186</v>
      </c>
      <c r="K12" s="15" t="str">
        <f>VLOOKUP(J12,DADOS!$A$3:$B$105,2,FALSE)</f>
        <v>EE-GI-001-008</v>
      </c>
      <c r="L12" s="15" t="s">
        <v>268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283</v>
      </c>
      <c r="X12" s="12" t="s">
        <v>14</v>
      </c>
      <c r="Y12" s="12" t="s">
        <v>14</v>
      </c>
      <c r="Z12" s="13" t="s">
        <v>270</v>
      </c>
    </row>
    <row r="13" spans="1:26" ht="19.899999999999999" customHeight="1" x14ac:dyDescent="0.25">
      <c r="A13" s="6">
        <v>45931</v>
      </c>
      <c r="B13" s="7" t="s">
        <v>262</v>
      </c>
      <c r="C13" s="8" t="s">
        <v>281</v>
      </c>
      <c r="D13" s="8" t="s">
        <v>283</v>
      </c>
      <c r="E13" s="8" t="s">
        <v>284</v>
      </c>
      <c r="F13" s="9" t="s">
        <v>287</v>
      </c>
      <c r="G13" s="9" t="s">
        <v>288</v>
      </c>
      <c r="H13" s="9" t="s">
        <v>289</v>
      </c>
      <c r="I13" s="9" t="s">
        <v>67</v>
      </c>
      <c r="J13" s="10" t="s">
        <v>186</v>
      </c>
      <c r="K13" s="15" t="str">
        <f>VLOOKUP(J13,DADOS!$A$3:$B$105,2,FALSE)</f>
        <v>EE-GI-001-008</v>
      </c>
      <c r="L13" s="15" t="s">
        <v>268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282</v>
      </c>
      <c r="X13" s="12" t="s">
        <v>14</v>
      </c>
      <c r="Y13" s="12" t="s">
        <v>14</v>
      </c>
      <c r="Z13" s="13" t="s">
        <v>270</v>
      </c>
    </row>
    <row r="14" spans="1:26" ht="19.899999999999999" customHeight="1" x14ac:dyDescent="0.25">
      <c r="A14" s="6">
        <v>45931</v>
      </c>
      <c r="B14" s="7" t="s">
        <v>262</v>
      </c>
      <c r="C14" s="8" t="s">
        <v>290</v>
      </c>
      <c r="D14" s="8" t="s">
        <v>291</v>
      </c>
      <c r="E14" s="8" t="s">
        <v>293</v>
      </c>
      <c r="F14" s="9" t="s">
        <v>294</v>
      </c>
      <c r="G14" s="9" t="s">
        <v>297</v>
      </c>
      <c r="H14" s="9" t="s">
        <v>296</v>
      </c>
      <c r="I14" s="9" t="s">
        <v>65</v>
      </c>
      <c r="J14" s="10" t="s">
        <v>16</v>
      </c>
      <c r="K14" s="15" t="str">
        <f>VLOOKUP(J14,DADOS!$A$3:$B$105,2,FALSE)</f>
        <v>EE-GI-001-003</v>
      </c>
      <c r="L14" s="15" t="s">
        <v>299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1</v>
      </c>
      <c r="S14" s="17" t="b">
        <v>0</v>
      </c>
      <c r="T14" s="17" t="b">
        <v>1</v>
      </c>
      <c r="U14" s="17" t="b">
        <v>1</v>
      </c>
      <c r="V14" s="17" t="b">
        <v>1</v>
      </c>
      <c r="W14" s="11" t="s">
        <v>291</v>
      </c>
      <c r="X14" s="12" t="s">
        <v>14</v>
      </c>
      <c r="Y14" s="12" t="s">
        <v>14</v>
      </c>
      <c r="Z14" s="13" t="s">
        <v>270</v>
      </c>
    </row>
    <row r="15" spans="1:26" ht="19.899999999999999" customHeight="1" x14ac:dyDescent="0.25">
      <c r="A15" s="6">
        <v>45931</v>
      </c>
      <c r="B15" s="7" t="s">
        <v>262</v>
      </c>
      <c r="C15" s="8" t="s">
        <v>290</v>
      </c>
      <c r="D15" s="8" t="s">
        <v>292</v>
      </c>
      <c r="E15" s="8" t="s">
        <v>293</v>
      </c>
      <c r="F15" s="9" t="s">
        <v>295</v>
      </c>
      <c r="G15" s="9" t="s">
        <v>298</v>
      </c>
      <c r="H15" s="9" t="s">
        <v>296</v>
      </c>
      <c r="I15" s="9" t="s">
        <v>65</v>
      </c>
      <c r="J15" s="10" t="s">
        <v>16</v>
      </c>
      <c r="K15" s="15" t="str">
        <f>VLOOKUP(J15,DADOS!$A$3:$B$105,2,FALSE)</f>
        <v>EE-GI-001-003</v>
      </c>
      <c r="L15" s="15" t="s">
        <v>299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1</v>
      </c>
      <c r="S15" s="17" t="b">
        <v>0</v>
      </c>
      <c r="T15" s="17" t="b">
        <v>1</v>
      </c>
      <c r="U15" s="17" t="b">
        <v>1</v>
      </c>
      <c r="V15" s="17" t="b">
        <v>1</v>
      </c>
      <c r="W15" s="11" t="s">
        <v>292</v>
      </c>
      <c r="X15" s="12" t="s">
        <v>14</v>
      </c>
      <c r="Y15" s="12" t="s">
        <v>14</v>
      </c>
      <c r="Z15" s="13" t="s">
        <v>270</v>
      </c>
    </row>
    <row r="16" spans="1:26" ht="19.899999999999999" customHeight="1" x14ac:dyDescent="0.25">
      <c r="A16" s="6">
        <v>45931</v>
      </c>
      <c r="B16" s="7" t="s">
        <v>300</v>
      </c>
      <c r="C16" s="8" t="s">
        <v>301</v>
      </c>
      <c r="D16" s="8" t="s">
        <v>273</v>
      </c>
      <c r="E16" s="8" t="s">
        <v>302</v>
      </c>
      <c r="F16" s="9" t="s">
        <v>303</v>
      </c>
      <c r="G16" s="9" t="s">
        <v>304</v>
      </c>
      <c r="H16" s="9" t="s">
        <v>305</v>
      </c>
      <c r="I16" s="9" t="s">
        <v>64</v>
      </c>
      <c r="J16" s="10" t="s">
        <v>15</v>
      </c>
      <c r="K16" s="15" t="str">
        <f>VLOOKUP(J16,DADOS!$A$3:$B$105,2,FALSE)</f>
        <v>EE-GI-001-002</v>
      </c>
      <c r="L16" s="15" t="s">
        <v>299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1</v>
      </c>
      <c r="S16" s="17" t="b">
        <v>0</v>
      </c>
      <c r="T16" s="17" t="b">
        <v>0</v>
      </c>
      <c r="U16" s="17" t="b">
        <v>0</v>
      </c>
      <c r="V16" s="17" t="b">
        <v>0</v>
      </c>
      <c r="W16" s="11" t="s">
        <v>273</v>
      </c>
      <c r="X16" s="12" t="s">
        <v>14</v>
      </c>
      <c r="Y16" s="12" t="s">
        <v>14</v>
      </c>
      <c r="Z16" s="13" t="s">
        <v>270</v>
      </c>
    </row>
    <row r="17" spans="1:26" ht="19.899999999999999" customHeight="1" x14ac:dyDescent="0.25">
      <c r="A17" s="6">
        <v>45931</v>
      </c>
      <c r="B17" s="7" t="s">
        <v>300</v>
      </c>
      <c r="C17" s="8" t="s">
        <v>307</v>
      </c>
      <c r="D17" s="8" t="s">
        <v>308</v>
      </c>
      <c r="E17" s="8" t="s">
        <v>309</v>
      </c>
      <c r="F17" s="9" t="s">
        <v>311</v>
      </c>
      <c r="G17" s="9" t="s">
        <v>304</v>
      </c>
      <c r="H17" s="9" t="s">
        <v>306</v>
      </c>
      <c r="I17" s="9" t="s">
        <v>66</v>
      </c>
      <c r="J17" s="10" t="s">
        <v>15</v>
      </c>
      <c r="K17" s="15" t="str">
        <f>VLOOKUP(J17,DADOS!$A$3:$B$105,2,FALSE)</f>
        <v>EE-GI-001-002</v>
      </c>
      <c r="L17" s="15" t="s">
        <v>268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1</v>
      </c>
      <c r="S17" s="17" t="b">
        <v>0</v>
      </c>
      <c r="T17" s="17" t="b">
        <v>0</v>
      </c>
      <c r="U17" s="17" t="b">
        <v>0</v>
      </c>
      <c r="V17" s="17" t="b">
        <v>0</v>
      </c>
      <c r="W17" s="11" t="s">
        <v>308</v>
      </c>
      <c r="X17" s="12" t="s">
        <v>14</v>
      </c>
      <c r="Y17" s="12" t="s">
        <v>14</v>
      </c>
      <c r="Z17" s="13" t="s">
        <v>270</v>
      </c>
    </row>
    <row r="18" spans="1:26" ht="19.899999999999999" customHeight="1" x14ac:dyDescent="0.25">
      <c r="A18" s="6">
        <v>45931</v>
      </c>
      <c r="B18" s="7" t="s">
        <v>300</v>
      </c>
      <c r="C18" s="8" t="s">
        <v>307</v>
      </c>
      <c r="D18" s="8" t="s">
        <v>264</v>
      </c>
      <c r="E18" s="8" t="s">
        <v>310</v>
      </c>
      <c r="F18" s="9" t="s">
        <v>313</v>
      </c>
      <c r="G18" s="9" t="s">
        <v>304</v>
      </c>
      <c r="H18" s="9" t="s">
        <v>312</v>
      </c>
      <c r="I18" s="9" t="s">
        <v>66</v>
      </c>
      <c r="J18" s="10" t="s">
        <v>15</v>
      </c>
      <c r="K18" s="15" t="str">
        <f>VLOOKUP(J18,DADOS!$A$3:$B$105,2,FALSE)</f>
        <v>EE-GI-001-002</v>
      </c>
      <c r="L18" s="15" t="s">
        <v>268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1</v>
      </c>
      <c r="S18" s="17" t="b">
        <v>0</v>
      </c>
      <c r="T18" s="17" t="b">
        <v>0</v>
      </c>
      <c r="U18" s="17" t="b">
        <v>0</v>
      </c>
      <c r="V18" s="17" t="b">
        <v>0</v>
      </c>
      <c r="W18" s="11" t="s">
        <v>264</v>
      </c>
      <c r="X18" s="12" t="s">
        <v>14</v>
      </c>
      <c r="Y18" s="12" t="s">
        <v>14</v>
      </c>
      <c r="Z18" s="13" t="s">
        <v>270</v>
      </c>
    </row>
    <row r="19" spans="1:26" ht="19.899999999999999" customHeight="1" x14ac:dyDescent="0.25">
      <c r="A19" s="6">
        <v>45931</v>
      </c>
      <c r="B19" s="7" t="s">
        <v>300</v>
      </c>
      <c r="C19" s="8" t="s">
        <v>315</v>
      </c>
      <c r="D19" s="8" t="s">
        <v>316</v>
      </c>
      <c r="E19" s="8" t="s">
        <v>317</v>
      </c>
      <c r="F19" s="9" t="s">
        <v>318</v>
      </c>
      <c r="G19" s="9" t="s">
        <v>320</v>
      </c>
      <c r="H19" s="9" t="s">
        <v>314</v>
      </c>
      <c r="I19" s="9" t="s">
        <v>66</v>
      </c>
      <c r="J19" s="10" t="s">
        <v>15</v>
      </c>
      <c r="K19" s="15" t="str">
        <f>VLOOKUP(J19,DADOS!$A$3:$B$105,2,FALSE)</f>
        <v>EE-GI-001-002</v>
      </c>
      <c r="L19" s="15" t="s">
        <v>299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1</v>
      </c>
      <c r="S19" s="17" t="b">
        <v>0</v>
      </c>
      <c r="T19" s="17" t="b">
        <v>0</v>
      </c>
      <c r="U19" s="17" t="b">
        <v>0</v>
      </c>
      <c r="V19" s="17" t="b">
        <v>0</v>
      </c>
      <c r="W19" s="11" t="s">
        <v>316</v>
      </c>
      <c r="X19" s="12" t="s">
        <v>14</v>
      </c>
      <c r="Y19" s="12" t="s">
        <v>14</v>
      </c>
      <c r="Z19" s="13" t="s">
        <v>270</v>
      </c>
    </row>
    <row r="20" spans="1:26" ht="19.899999999999999" customHeight="1" x14ac:dyDescent="0.25">
      <c r="A20" s="6">
        <v>45931</v>
      </c>
      <c r="B20" s="7" t="s">
        <v>300</v>
      </c>
      <c r="C20" s="8" t="s">
        <v>315</v>
      </c>
      <c r="D20" s="8" t="s">
        <v>273</v>
      </c>
      <c r="E20" s="8" t="s">
        <v>317</v>
      </c>
      <c r="F20" s="9" t="s">
        <v>319</v>
      </c>
      <c r="G20" s="9" t="s">
        <v>320</v>
      </c>
      <c r="H20" s="9" t="s">
        <v>314</v>
      </c>
      <c r="I20" s="9" t="s">
        <v>66</v>
      </c>
      <c r="J20" s="10" t="s">
        <v>15</v>
      </c>
      <c r="K20" s="15" t="str">
        <f>VLOOKUP(J20,DADOS!$A$3:$B$105,2,FALSE)</f>
        <v>EE-GI-001-002</v>
      </c>
      <c r="L20" s="15" t="s">
        <v>299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1</v>
      </c>
      <c r="S20" s="17" t="b">
        <v>0</v>
      </c>
      <c r="T20" s="17" t="b">
        <v>0</v>
      </c>
      <c r="U20" s="17" t="b">
        <v>0</v>
      </c>
      <c r="V20" s="17" t="b">
        <v>0</v>
      </c>
      <c r="W20" s="11" t="s">
        <v>273</v>
      </c>
      <c r="X20" s="12" t="s">
        <v>14</v>
      </c>
      <c r="Y20" s="12" t="s">
        <v>14</v>
      </c>
      <c r="Z20" s="13" t="s">
        <v>270</v>
      </c>
    </row>
    <row r="21" spans="1:26" ht="19.899999999999999" customHeight="1" x14ac:dyDescent="0.25">
      <c r="A21" s="6">
        <v>45931</v>
      </c>
      <c r="B21" s="7" t="s">
        <v>300</v>
      </c>
      <c r="C21" s="8" t="s">
        <v>321</v>
      </c>
      <c r="D21" s="8" t="s">
        <v>322</v>
      </c>
      <c r="E21" s="8" t="s">
        <v>317</v>
      </c>
      <c r="F21" s="9" t="s">
        <v>323</v>
      </c>
      <c r="G21" s="9" t="s">
        <v>320</v>
      </c>
      <c r="H21" s="9" t="s">
        <v>324</v>
      </c>
      <c r="I21" s="9" t="s">
        <v>66</v>
      </c>
      <c r="J21" s="10" t="s">
        <v>15</v>
      </c>
      <c r="K21" s="15" t="str">
        <f>VLOOKUP(J21,DADOS!$A$3:$B$105,2,FALSE)</f>
        <v>EE-GI-001-002</v>
      </c>
      <c r="L21" s="15" t="s">
        <v>299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1</v>
      </c>
      <c r="S21" s="17" t="b">
        <v>0</v>
      </c>
      <c r="T21" s="17" t="b">
        <v>0</v>
      </c>
      <c r="U21" s="17" t="b">
        <v>0</v>
      </c>
      <c r="V21" s="17" t="b">
        <v>0</v>
      </c>
      <c r="W21" s="11" t="s">
        <v>322</v>
      </c>
      <c r="X21" s="12" t="s">
        <v>14</v>
      </c>
      <c r="Y21" s="12" t="s">
        <v>14</v>
      </c>
      <c r="Z21" s="13" t="s">
        <v>270</v>
      </c>
    </row>
    <row r="22" spans="1:26" ht="19.899999999999999" customHeight="1" x14ac:dyDescent="0.25">
      <c r="A22" s="6">
        <v>45931</v>
      </c>
      <c r="B22" s="7" t="s">
        <v>300</v>
      </c>
      <c r="C22" s="8" t="s">
        <v>325</v>
      </c>
      <c r="D22" s="8" t="s">
        <v>264</v>
      </c>
      <c r="E22" s="8" t="s">
        <v>326</v>
      </c>
      <c r="F22" s="9" t="s">
        <v>327</v>
      </c>
      <c r="G22" s="9" t="s">
        <v>328</v>
      </c>
      <c r="H22" s="9" t="s">
        <v>329</v>
      </c>
      <c r="I22" s="9" t="s">
        <v>66</v>
      </c>
      <c r="J22" s="10" t="s">
        <v>15</v>
      </c>
      <c r="K22" s="15" t="str">
        <f>VLOOKUP(J22,DADOS!$A$3:$B$105,2,FALSE)</f>
        <v>EE-GI-001-002</v>
      </c>
      <c r="L22" s="15" t="s">
        <v>299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1</v>
      </c>
      <c r="S22" s="17" t="b">
        <v>0</v>
      </c>
      <c r="T22" s="17" t="b">
        <v>0</v>
      </c>
      <c r="U22" s="17" t="b">
        <v>0</v>
      </c>
      <c r="V22" s="17" t="b">
        <v>0</v>
      </c>
      <c r="W22" s="11" t="s">
        <v>264</v>
      </c>
      <c r="X22" s="12" t="s">
        <v>14</v>
      </c>
      <c r="Y22" s="12" t="s">
        <v>14</v>
      </c>
      <c r="Z22" s="13" t="s">
        <v>270</v>
      </c>
    </row>
    <row r="23" spans="1:26" ht="19.899999999999999" customHeight="1" x14ac:dyDescent="0.25">
      <c r="A23" s="6">
        <v>45931</v>
      </c>
      <c r="B23" s="7" t="s">
        <v>300</v>
      </c>
      <c r="C23" s="8" t="s">
        <v>330</v>
      </c>
      <c r="D23" s="8" t="s">
        <v>331</v>
      </c>
      <c r="E23" s="8" t="s">
        <v>317</v>
      </c>
      <c r="F23" s="9" t="s">
        <v>332</v>
      </c>
      <c r="G23" s="9" t="s">
        <v>320</v>
      </c>
      <c r="H23" s="9" t="s">
        <v>333</v>
      </c>
      <c r="I23" s="9" t="s">
        <v>68</v>
      </c>
      <c r="J23" s="10" t="s">
        <v>15</v>
      </c>
      <c r="K23" s="15" t="str">
        <f>VLOOKUP(J23,DADOS!$A$3:$B$105,2,FALSE)</f>
        <v>EE-GI-001-002</v>
      </c>
      <c r="L23" s="15" t="s">
        <v>268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1</v>
      </c>
      <c r="S23" s="17" t="b">
        <v>0</v>
      </c>
      <c r="T23" s="17" t="b">
        <v>0</v>
      </c>
      <c r="U23" s="17" t="b">
        <v>0</v>
      </c>
      <c r="V23" s="17" t="b">
        <v>0</v>
      </c>
      <c r="W23" s="11" t="s">
        <v>331</v>
      </c>
      <c r="X23" s="12" t="s">
        <v>14</v>
      </c>
      <c r="Y23" s="12" t="s">
        <v>14</v>
      </c>
      <c r="Z23" s="13" t="s">
        <v>270</v>
      </c>
    </row>
    <row r="24" spans="1:26" ht="19.899999999999999" customHeight="1" x14ac:dyDescent="0.25">
      <c r="A24" s="6">
        <v>45932</v>
      </c>
      <c r="B24" s="7" t="s">
        <v>334</v>
      </c>
      <c r="C24" s="8" t="s">
        <v>335</v>
      </c>
      <c r="D24" s="8" t="s">
        <v>336</v>
      </c>
      <c r="E24" s="8" t="s">
        <v>337</v>
      </c>
      <c r="F24" s="9" t="s">
        <v>338</v>
      </c>
      <c r="G24" s="9" t="s">
        <v>339</v>
      </c>
      <c r="H24" s="9" t="s">
        <v>340</v>
      </c>
      <c r="I24" s="9" t="s">
        <v>66</v>
      </c>
      <c r="J24" s="10" t="s">
        <v>186</v>
      </c>
      <c r="K24" s="15" t="str">
        <f>VLOOKUP(J24,DADOS!$A$3:$B$105,2,FALSE)</f>
        <v>EE-GI-001-008</v>
      </c>
      <c r="L24" s="15" t="s">
        <v>341</v>
      </c>
      <c r="M24" s="18" t="b">
        <v>0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0</v>
      </c>
      <c r="W24" s="11" t="s">
        <v>336</v>
      </c>
      <c r="X24" s="12" t="s">
        <v>14</v>
      </c>
      <c r="Y24" s="12" t="s">
        <v>14</v>
      </c>
      <c r="Z24" s="13" t="s">
        <v>342</v>
      </c>
    </row>
    <row r="25" spans="1:26" ht="19.899999999999999" customHeight="1" x14ac:dyDescent="0.25">
      <c r="A25" s="6">
        <v>45932</v>
      </c>
      <c r="B25" s="7" t="s">
        <v>334</v>
      </c>
      <c r="C25" s="8" t="s">
        <v>343</v>
      </c>
      <c r="D25" s="8" t="s">
        <v>344</v>
      </c>
      <c r="E25" s="8" t="s">
        <v>337</v>
      </c>
      <c r="F25" s="9" t="s">
        <v>345</v>
      </c>
      <c r="G25" s="9" t="s">
        <v>346</v>
      </c>
      <c r="H25" s="9" t="s">
        <v>340</v>
      </c>
      <c r="I25" s="9" t="s">
        <v>66</v>
      </c>
      <c r="J25" s="10" t="s">
        <v>186</v>
      </c>
      <c r="K25" s="15" t="str">
        <f>VLOOKUP(J25,DADOS!$A$3:$B$105,2,FALSE)</f>
        <v>EE-GI-001-008</v>
      </c>
      <c r="L25" s="15" t="s">
        <v>341</v>
      </c>
      <c r="M25" s="18" t="b">
        <v>0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0</v>
      </c>
      <c r="W25" s="11" t="s">
        <v>344</v>
      </c>
      <c r="X25" s="12" t="s">
        <v>14</v>
      </c>
      <c r="Y25" s="12" t="s">
        <v>14</v>
      </c>
      <c r="Z25" s="13" t="s">
        <v>342</v>
      </c>
    </row>
    <row r="26" spans="1:26" ht="18" customHeight="1" x14ac:dyDescent="0.25">
      <c r="A26" s="6">
        <v>45932</v>
      </c>
      <c r="B26" s="7" t="s">
        <v>1125</v>
      </c>
      <c r="C26" s="8" t="s">
        <v>1243</v>
      </c>
      <c r="D26" s="8" t="s">
        <v>331</v>
      </c>
      <c r="E26" s="8" t="s">
        <v>1244</v>
      </c>
      <c r="F26" s="9" t="s">
        <v>1245</v>
      </c>
      <c r="G26" s="9" t="s">
        <v>1246</v>
      </c>
      <c r="H26" s="9" t="s">
        <v>1247</v>
      </c>
      <c r="I26" s="9" t="s">
        <v>69</v>
      </c>
      <c r="J26" s="10" t="s">
        <v>251</v>
      </c>
      <c r="K26" s="15" t="str">
        <f>VLOOKUP(J26,DADOS!$A$3:$B$105,2,FALSE)</f>
        <v>EE-GI-001-030</v>
      </c>
      <c r="L26" s="15" t="s">
        <v>341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0</v>
      </c>
      <c r="W26" s="11" t="s">
        <v>331</v>
      </c>
      <c r="X26" s="12" t="s">
        <v>14</v>
      </c>
      <c r="Y26" s="12" t="s">
        <v>14</v>
      </c>
      <c r="Z26" s="13" t="s">
        <v>342</v>
      </c>
    </row>
    <row r="27" spans="1:26" ht="19.899999999999999" customHeight="1" x14ac:dyDescent="0.25">
      <c r="A27" s="6">
        <v>45932</v>
      </c>
      <c r="B27" s="7" t="s">
        <v>334</v>
      </c>
      <c r="C27" s="8" t="s">
        <v>347</v>
      </c>
      <c r="D27" s="8" t="s">
        <v>348</v>
      </c>
      <c r="E27" s="8" t="s">
        <v>349</v>
      </c>
      <c r="F27" s="9" t="s">
        <v>350</v>
      </c>
      <c r="G27" s="9" t="s">
        <v>351</v>
      </c>
      <c r="H27" s="9" t="s">
        <v>340</v>
      </c>
      <c r="I27" s="9" t="s">
        <v>66</v>
      </c>
      <c r="J27" s="10" t="s">
        <v>186</v>
      </c>
      <c r="K27" s="15" t="str">
        <f>VLOOKUP(J27,DADOS!$A$3:$B$105,2,FALSE)</f>
        <v>EE-GI-001-008</v>
      </c>
      <c r="L27" s="15" t="s">
        <v>341</v>
      </c>
      <c r="M27" s="18" t="b">
        <v>0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0</v>
      </c>
      <c r="W27" s="11" t="s">
        <v>331</v>
      </c>
      <c r="X27" s="12" t="s">
        <v>14</v>
      </c>
      <c r="Y27" s="12" t="s">
        <v>14</v>
      </c>
      <c r="Z27" s="13" t="s">
        <v>342</v>
      </c>
    </row>
    <row r="28" spans="1:26" ht="19.899999999999999" customHeight="1" x14ac:dyDescent="0.25">
      <c r="A28" s="6">
        <v>45932</v>
      </c>
      <c r="B28" s="7" t="s">
        <v>334</v>
      </c>
      <c r="C28" s="8" t="s">
        <v>352</v>
      </c>
      <c r="D28" s="8" t="s">
        <v>353</v>
      </c>
      <c r="E28" s="8" t="s">
        <v>349</v>
      </c>
      <c r="F28" s="9" t="s">
        <v>354</v>
      </c>
      <c r="G28" s="9" t="s">
        <v>355</v>
      </c>
      <c r="H28" s="9" t="s">
        <v>340</v>
      </c>
      <c r="I28" s="9" t="s">
        <v>66</v>
      </c>
      <c r="J28" s="10" t="s">
        <v>186</v>
      </c>
      <c r="K28" s="15" t="str">
        <f>VLOOKUP(J28,DADOS!$A$3:$B$105,2,FALSE)</f>
        <v>EE-GI-001-008</v>
      </c>
      <c r="L28" s="15" t="s">
        <v>341</v>
      </c>
      <c r="M28" s="18" t="b">
        <v>0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0</v>
      </c>
      <c r="W28" s="11" t="s">
        <v>353</v>
      </c>
      <c r="X28" s="12" t="s">
        <v>14</v>
      </c>
      <c r="Y28" s="12" t="s">
        <v>14</v>
      </c>
      <c r="Z28" s="13" t="s">
        <v>342</v>
      </c>
    </row>
    <row r="29" spans="1:26" ht="19.899999999999999" customHeight="1" x14ac:dyDescent="0.25">
      <c r="A29" s="6">
        <v>45932</v>
      </c>
      <c r="B29" s="7" t="s">
        <v>334</v>
      </c>
      <c r="C29" s="8" t="s">
        <v>356</v>
      </c>
      <c r="D29" s="8" t="s">
        <v>291</v>
      </c>
      <c r="E29" s="8" t="s">
        <v>357</v>
      </c>
      <c r="F29" s="9" t="s">
        <v>358</v>
      </c>
      <c r="G29" s="9" t="s">
        <v>366</v>
      </c>
      <c r="H29" s="9" t="s">
        <v>340</v>
      </c>
      <c r="I29" s="9" t="s">
        <v>66</v>
      </c>
      <c r="J29" s="10" t="s">
        <v>186</v>
      </c>
      <c r="K29" s="15" t="str">
        <f>VLOOKUP(J29,DADOS!$A$3:$B$105,2,FALSE)</f>
        <v>EE-GI-001-008</v>
      </c>
      <c r="L29" s="15" t="s">
        <v>341</v>
      </c>
      <c r="M29" s="18" t="b">
        <v>0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291</v>
      </c>
      <c r="X29" s="12" t="s">
        <v>14</v>
      </c>
      <c r="Y29" s="12" t="s">
        <v>14</v>
      </c>
      <c r="Z29" s="13" t="s">
        <v>342</v>
      </c>
    </row>
    <row r="30" spans="1:26" ht="19.899999999999999" customHeight="1" x14ac:dyDescent="0.25">
      <c r="A30" s="6">
        <v>45932</v>
      </c>
      <c r="B30" s="7" t="s">
        <v>334</v>
      </c>
      <c r="C30" s="8" t="s">
        <v>359</v>
      </c>
      <c r="D30" s="8" t="s">
        <v>331</v>
      </c>
      <c r="E30" s="8" t="s">
        <v>357</v>
      </c>
      <c r="F30" s="9" t="s">
        <v>360</v>
      </c>
      <c r="G30" s="9" t="s">
        <v>366</v>
      </c>
      <c r="H30" s="9" t="s">
        <v>340</v>
      </c>
      <c r="I30" s="9" t="s">
        <v>66</v>
      </c>
      <c r="J30" s="10" t="s">
        <v>186</v>
      </c>
      <c r="K30" s="15" t="str">
        <f>VLOOKUP(J30,DADOS!$A$3:$B$105,2,FALSE)</f>
        <v>EE-GI-001-008</v>
      </c>
      <c r="L30" s="15" t="s">
        <v>341</v>
      </c>
      <c r="M30" s="18" t="b">
        <v>0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331</v>
      </c>
      <c r="X30" s="12" t="s">
        <v>14</v>
      </c>
      <c r="Y30" s="12" t="s">
        <v>14</v>
      </c>
      <c r="Z30" s="13" t="s">
        <v>342</v>
      </c>
    </row>
    <row r="31" spans="1:26" ht="19.899999999999999" customHeight="1" x14ac:dyDescent="0.25">
      <c r="A31" s="6">
        <v>45932</v>
      </c>
      <c r="B31" s="7" t="s">
        <v>334</v>
      </c>
      <c r="C31" s="8" t="s">
        <v>361</v>
      </c>
      <c r="D31" s="8" t="s">
        <v>273</v>
      </c>
      <c r="E31" s="8" t="s">
        <v>357</v>
      </c>
      <c r="F31" s="9" t="s">
        <v>362</v>
      </c>
      <c r="G31" s="9" t="s">
        <v>366</v>
      </c>
      <c r="H31" s="9" t="s">
        <v>340</v>
      </c>
      <c r="I31" s="9" t="s">
        <v>66</v>
      </c>
      <c r="J31" s="10" t="s">
        <v>186</v>
      </c>
      <c r="K31" s="15" t="str">
        <f>VLOOKUP(J31,DADOS!$A$3:$B$105,2,FALSE)</f>
        <v>EE-GI-001-008</v>
      </c>
      <c r="L31" s="15" t="s">
        <v>341</v>
      </c>
      <c r="M31" s="18" t="b">
        <v>0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0</v>
      </c>
      <c r="W31" s="11" t="s">
        <v>273</v>
      </c>
      <c r="X31" s="12" t="s">
        <v>14</v>
      </c>
      <c r="Y31" s="12" t="s">
        <v>14</v>
      </c>
      <c r="Z31" s="13" t="s">
        <v>342</v>
      </c>
    </row>
    <row r="32" spans="1:26" ht="19.899999999999999" customHeight="1" x14ac:dyDescent="0.25">
      <c r="A32" s="6">
        <v>45932</v>
      </c>
      <c r="B32" s="7" t="s">
        <v>334</v>
      </c>
      <c r="C32" s="8" t="s">
        <v>363</v>
      </c>
      <c r="D32" s="8" t="s">
        <v>364</v>
      </c>
      <c r="E32" s="8" t="s">
        <v>357</v>
      </c>
      <c r="F32" s="9" t="s">
        <v>365</v>
      </c>
      <c r="G32" s="9" t="s">
        <v>340</v>
      </c>
      <c r="H32" s="9" t="s">
        <v>340</v>
      </c>
      <c r="I32" s="9" t="s">
        <v>70</v>
      </c>
      <c r="J32" s="10" t="s">
        <v>259</v>
      </c>
      <c r="K32" s="15" t="str">
        <f>VLOOKUP(J32,DADOS!$A$3:$B$105,2,FALSE)</f>
        <v>EE-GI-001-072</v>
      </c>
      <c r="L32" s="15" t="s">
        <v>341</v>
      </c>
      <c r="M32" s="18" t="b">
        <v>0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1</v>
      </c>
      <c r="S32" s="17" t="b">
        <v>0</v>
      </c>
      <c r="T32" s="17" t="b">
        <v>0</v>
      </c>
      <c r="U32" s="17" t="b">
        <v>0</v>
      </c>
      <c r="V32" s="17" t="b">
        <v>0</v>
      </c>
      <c r="W32" s="11" t="s">
        <v>364</v>
      </c>
      <c r="X32" s="12" t="s">
        <v>14</v>
      </c>
      <c r="Y32" s="12" t="s">
        <v>14</v>
      </c>
      <c r="Z32" s="13" t="s">
        <v>342</v>
      </c>
    </row>
    <row r="33" spans="1:26" ht="19.899999999999999" customHeight="1" x14ac:dyDescent="0.25">
      <c r="A33" s="6">
        <v>45932</v>
      </c>
      <c r="B33" s="7" t="s">
        <v>373</v>
      </c>
      <c r="C33" s="8" t="s">
        <v>374</v>
      </c>
      <c r="D33" s="8" t="s">
        <v>264</v>
      </c>
      <c r="E33" s="8" t="s">
        <v>376</v>
      </c>
      <c r="F33" s="9" t="s">
        <v>377</v>
      </c>
      <c r="G33" s="9" t="s">
        <v>379</v>
      </c>
      <c r="H33" s="9" t="s">
        <v>381</v>
      </c>
      <c r="I33" s="9" t="s">
        <v>69</v>
      </c>
      <c r="J33" s="10" t="s">
        <v>17</v>
      </c>
      <c r="K33" s="15" t="str">
        <f>VLOOKUP(J33,DADOS!$A$3:$B$105,2,FALSE)</f>
        <v>EE-GI-001-001</v>
      </c>
      <c r="L33" s="15" t="s">
        <v>383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0</v>
      </c>
      <c r="W33" s="11" t="s">
        <v>264</v>
      </c>
      <c r="X33" s="12" t="s">
        <v>14</v>
      </c>
      <c r="Y33" s="12" t="s">
        <v>14</v>
      </c>
      <c r="Z33" s="13" t="s">
        <v>270</v>
      </c>
    </row>
    <row r="34" spans="1:26" ht="19.899999999999999" customHeight="1" x14ac:dyDescent="0.25">
      <c r="A34" s="6">
        <v>45932</v>
      </c>
      <c r="B34" s="7" t="s">
        <v>373</v>
      </c>
      <c r="C34" s="8" t="s">
        <v>375</v>
      </c>
      <c r="D34" s="8" t="s">
        <v>264</v>
      </c>
      <c r="E34" s="8" t="s">
        <v>376</v>
      </c>
      <c r="F34" s="9" t="s">
        <v>378</v>
      </c>
      <c r="G34" s="9" t="s">
        <v>380</v>
      </c>
      <c r="H34" s="9" t="s">
        <v>382</v>
      </c>
      <c r="I34" s="9" t="s">
        <v>69</v>
      </c>
      <c r="J34" s="10" t="s">
        <v>17</v>
      </c>
      <c r="K34" s="15" t="str">
        <f>VLOOKUP(J34,DADOS!$A$3:$B$105,2,FALSE)</f>
        <v>EE-GI-001-001</v>
      </c>
      <c r="L34" s="15" t="s">
        <v>383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1" t="s">
        <v>264</v>
      </c>
      <c r="X34" s="12" t="s">
        <v>14</v>
      </c>
      <c r="Y34" s="12" t="s">
        <v>14</v>
      </c>
      <c r="Z34" s="13" t="s">
        <v>270</v>
      </c>
    </row>
    <row r="35" spans="1:26" ht="19.899999999999999" customHeight="1" x14ac:dyDescent="0.25">
      <c r="A35" s="6">
        <v>45932</v>
      </c>
      <c r="B35" s="7" t="s">
        <v>390</v>
      </c>
      <c r="C35" s="8" t="s">
        <v>391</v>
      </c>
      <c r="D35" s="8" t="s">
        <v>331</v>
      </c>
      <c r="E35" s="8" t="s">
        <v>392</v>
      </c>
      <c r="F35" s="9" t="s">
        <v>393</v>
      </c>
      <c r="G35" s="9" t="s">
        <v>395</v>
      </c>
      <c r="H35" s="34"/>
      <c r="I35" s="9" t="s">
        <v>64</v>
      </c>
      <c r="J35" s="10" t="s">
        <v>186</v>
      </c>
      <c r="K35" s="15" t="str">
        <f>VLOOKUP(J35,DADOS!$A$3:$B$105,2,FALSE)</f>
        <v>EE-GI-001-008</v>
      </c>
      <c r="L35" s="15" t="s">
        <v>268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1" t="s">
        <v>331</v>
      </c>
      <c r="X35" s="12" t="s">
        <v>14</v>
      </c>
      <c r="Y35" s="12" t="s">
        <v>14</v>
      </c>
      <c r="Z35" s="13" t="s">
        <v>270</v>
      </c>
    </row>
    <row r="36" spans="1:26" ht="19.5" customHeight="1" x14ac:dyDescent="0.25">
      <c r="A36" s="6">
        <v>45932</v>
      </c>
      <c r="B36" s="7" t="s">
        <v>390</v>
      </c>
      <c r="C36" s="8" t="s">
        <v>391</v>
      </c>
      <c r="D36" s="8" t="s">
        <v>273</v>
      </c>
      <c r="E36" s="8" t="s">
        <v>392</v>
      </c>
      <c r="F36" s="9" t="s">
        <v>394</v>
      </c>
      <c r="G36" s="9" t="s">
        <v>395</v>
      </c>
      <c r="H36" s="34"/>
      <c r="I36" s="9" t="s">
        <v>64</v>
      </c>
      <c r="J36" s="10" t="s">
        <v>186</v>
      </c>
      <c r="K36" s="15" t="str">
        <f>VLOOKUP(J36,DADOS!$A$3:$B$105,2,FALSE)</f>
        <v>EE-GI-001-008</v>
      </c>
      <c r="L36" s="15" t="s">
        <v>268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1" t="s">
        <v>273</v>
      </c>
      <c r="X36" s="12" t="s">
        <v>14</v>
      </c>
      <c r="Y36" s="12" t="s">
        <v>14</v>
      </c>
      <c r="Z36" s="13" t="s">
        <v>270</v>
      </c>
    </row>
    <row r="37" spans="1:26" ht="19.5" customHeight="1" x14ac:dyDescent="0.25">
      <c r="A37" s="6">
        <v>45932</v>
      </c>
      <c r="B37" s="7" t="s">
        <v>1032</v>
      </c>
      <c r="C37" s="8" t="s">
        <v>1033</v>
      </c>
      <c r="D37" s="8" t="s">
        <v>409</v>
      </c>
      <c r="E37" s="8" t="s">
        <v>1034</v>
      </c>
      <c r="F37" s="9" t="s">
        <v>1048</v>
      </c>
      <c r="G37" s="9" t="s">
        <v>1035</v>
      </c>
      <c r="H37" s="9" t="s">
        <v>1036</v>
      </c>
      <c r="I37" s="9" t="s">
        <v>67</v>
      </c>
      <c r="J37" s="10" t="s">
        <v>174</v>
      </c>
      <c r="K37" s="15" t="str">
        <f>VLOOKUP(J37,DADOS!$A$3:$B$105,2,FALSE)</f>
        <v>EE-GI-001-007</v>
      </c>
      <c r="L37" s="15" t="s">
        <v>299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1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409</v>
      </c>
      <c r="X37" s="12" t="s">
        <v>14</v>
      </c>
      <c r="Y37" s="12" t="s">
        <v>14</v>
      </c>
      <c r="Z37" s="13" t="s">
        <v>270</v>
      </c>
    </row>
    <row r="38" spans="1:26" ht="19.5" customHeight="1" x14ac:dyDescent="0.25">
      <c r="A38" s="6">
        <v>45932</v>
      </c>
      <c r="B38" s="7" t="s">
        <v>1032</v>
      </c>
      <c r="C38" s="8" t="s">
        <v>1045</v>
      </c>
      <c r="D38" s="8" t="s">
        <v>336</v>
      </c>
      <c r="E38" s="8" t="s">
        <v>1034</v>
      </c>
      <c r="F38" s="9" t="s">
        <v>1046</v>
      </c>
      <c r="G38" s="9" t="s">
        <v>1047</v>
      </c>
      <c r="H38" s="9" t="s">
        <v>1036</v>
      </c>
      <c r="I38" s="9" t="s">
        <v>66</v>
      </c>
      <c r="J38" s="10" t="s">
        <v>174</v>
      </c>
      <c r="K38" s="15" t="str">
        <f>VLOOKUP(J38,DADOS!$A$3:$B$105,2,FALSE)</f>
        <v>EE-GI-001-007</v>
      </c>
      <c r="L38" s="15" t="s">
        <v>299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1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336</v>
      </c>
      <c r="X38" s="12" t="s">
        <v>14</v>
      </c>
      <c r="Y38" s="12" t="s">
        <v>14</v>
      </c>
      <c r="Z38" s="13" t="s">
        <v>270</v>
      </c>
    </row>
    <row r="39" spans="1:26" ht="23.25" customHeight="1" x14ac:dyDescent="0.25">
      <c r="A39" s="6">
        <v>45933</v>
      </c>
      <c r="B39" s="7" t="s">
        <v>367</v>
      </c>
      <c r="C39" s="8" t="s">
        <v>368</v>
      </c>
      <c r="D39" s="8" t="s">
        <v>336</v>
      </c>
      <c r="E39" s="8" t="s">
        <v>369</v>
      </c>
      <c r="F39" s="9" t="s">
        <v>372</v>
      </c>
      <c r="G39" s="9" t="s">
        <v>371</v>
      </c>
      <c r="H39" s="9" t="s">
        <v>370</v>
      </c>
      <c r="I39" s="9" t="s">
        <v>66</v>
      </c>
      <c r="J39" s="10" t="s">
        <v>186</v>
      </c>
      <c r="K39" s="15" t="str">
        <f>VLOOKUP(J39,DADOS!$A$3:$B$105,2,FALSE)</f>
        <v>EE-GI-001-008</v>
      </c>
      <c r="L39" s="15" t="s">
        <v>341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0</v>
      </c>
      <c r="W39" s="11" t="s">
        <v>336</v>
      </c>
      <c r="X39" s="12" t="s">
        <v>14</v>
      </c>
      <c r="Y39" s="12" t="s">
        <v>14</v>
      </c>
      <c r="Z39" s="13" t="s">
        <v>342</v>
      </c>
    </row>
    <row r="40" spans="1:26" ht="19.5" customHeight="1" x14ac:dyDescent="0.25">
      <c r="A40" s="6">
        <v>45933</v>
      </c>
      <c r="B40" s="7" t="s">
        <v>384</v>
      </c>
      <c r="C40" s="8" t="s">
        <v>385</v>
      </c>
      <c r="D40" s="8" t="s">
        <v>264</v>
      </c>
      <c r="E40" s="8" t="s">
        <v>422</v>
      </c>
      <c r="F40" s="9" t="s">
        <v>386</v>
      </c>
      <c r="G40" s="9" t="s">
        <v>387</v>
      </c>
      <c r="H40" s="9" t="s">
        <v>388</v>
      </c>
      <c r="I40" s="9" t="s">
        <v>66</v>
      </c>
      <c r="J40" s="10" t="s">
        <v>236</v>
      </c>
      <c r="K40" s="15" t="str">
        <f>VLOOKUP(J40,DADOS!$A$3:$B$105,2,FALSE)</f>
        <v>EE-GI-221-036</v>
      </c>
      <c r="L40" s="15" t="s">
        <v>389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1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0</v>
      </c>
      <c r="W40" s="11" t="s">
        <v>264</v>
      </c>
      <c r="X40" s="12" t="s">
        <v>14</v>
      </c>
      <c r="Y40" s="12" t="s">
        <v>14</v>
      </c>
      <c r="Z40" s="13" t="s">
        <v>342</v>
      </c>
    </row>
    <row r="41" spans="1:26" ht="26.25" customHeight="1" x14ac:dyDescent="0.25">
      <c r="A41" s="6">
        <v>45933</v>
      </c>
      <c r="B41" s="7" t="s">
        <v>390</v>
      </c>
      <c r="C41" s="8" t="s">
        <v>396</v>
      </c>
      <c r="D41" s="8" t="s">
        <v>273</v>
      </c>
      <c r="E41" s="8" t="s">
        <v>703</v>
      </c>
      <c r="F41" s="9" t="s">
        <v>397</v>
      </c>
      <c r="G41" s="9" t="s">
        <v>398</v>
      </c>
      <c r="H41" s="9" t="s">
        <v>399</v>
      </c>
      <c r="I41" s="9" t="s">
        <v>74</v>
      </c>
      <c r="J41" s="10" t="s">
        <v>17</v>
      </c>
      <c r="K41" s="15" t="str">
        <f>VLOOKUP(J41,DADOS!$A$3:$B$105,2,FALSE)</f>
        <v>EE-GI-001-001</v>
      </c>
      <c r="L41" s="15" t="s">
        <v>383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273</v>
      </c>
      <c r="X41" s="12" t="s">
        <v>14</v>
      </c>
      <c r="Y41" s="12" t="s">
        <v>14</v>
      </c>
      <c r="Z41" s="13" t="s">
        <v>270</v>
      </c>
    </row>
    <row r="42" spans="1:26" ht="19.899999999999999" customHeight="1" x14ac:dyDescent="0.25">
      <c r="A42" s="6">
        <v>45933</v>
      </c>
      <c r="B42" s="7" t="s">
        <v>700</v>
      </c>
      <c r="C42" s="8" t="s">
        <v>701</v>
      </c>
      <c r="D42" s="8" t="s">
        <v>331</v>
      </c>
      <c r="E42" s="8" t="s">
        <v>702</v>
      </c>
      <c r="F42" s="9" t="s">
        <v>704</v>
      </c>
      <c r="G42" s="9" t="s">
        <v>705</v>
      </c>
      <c r="H42" s="9" t="s">
        <v>706</v>
      </c>
      <c r="I42" s="9" t="s">
        <v>66</v>
      </c>
      <c r="J42" s="10" t="s">
        <v>186</v>
      </c>
      <c r="K42" s="15" t="str">
        <f>VLOOKUP(J42,DADOS!$A$3:$B$105,2,FALSE)</f>
        <v>EE-GI-001-008</v>
      </c>
      <c r="L42" s="15" t="s">
        <v>268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331</v>
      </c>
      <c r="X42" s="12" t="s">
        <v>14</v>
      </c>
      <c r="Y42" s="12" t="s">
        <v>14</v>
      </c>
      <c r="Z42" s="13" t="s">
        <v>270</v>
      </c>
    </row>
    <row r="43" spans="1:26" ht="19.899999999999999" customHeight="1" x14ac:dyDescent="0.25">
      <c r="A43" s="6">
        <v>45933</v>
      </c>
      <c r="B43" s="7" t="s">
        <v>700</v>
      </c>
      <c r="C43" s="8" t="s">
        <v>701</v>
      </c>
      <c r="D43" s="8" t="s">
        <v>402</v>
      </c>
      <c r="E43" s="8" t="s">
        <v>702</v>
      </c>
      <c r="F43" s="9" t="s">
        <v>707</v>
      </c>
      <c r="G43" s="9" t="s">
        <v>705</v>
      </c>
      <c r="H43" s="9" t="s">
        <v>706</v>
      </c>
      <c r="I43" s="9" t="s">
        <v>66</v>
      </c>
      <c r="J43" s="10" t="s">
        <v>186</v>
      </c>
      <c r="K43" s="15" t="str">
        <f>VLOOKUP(J43,DADOS!$A$3:$B$105,2,FALSE)</f>
        <v>EE-GI-001-008</v>
      </c>
      <c r="L43" s="15" t="s">
        <v>268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402</v>
      </c>
      <c r="X43" s="12" t="s">
        <v>14</v>
      </c>
      <c r="Y43" s="12" t="s">
        <v>14</v>
      </c>
      <c r="Z43" s="13" t="s">
        <v>270</v>
      </c>
    </row>
    <row r="44" spans="1:26" ht="19.899999999999999" customHeight="1" x14ac:dyDescent="0.25">
      <c r="A44" s="6">
        <v>45933</v>
      </c>
      <c r="B44" s="7" t="s">
        <v>700</v>
      </c>
      <c r="C44" s="8" t="s">
        <v>701</v>
      </c>
      <c r="D44" s="8" t="s">
        <v>402</v>
      </c>
      <c r="E44" s="8" t="s">
        <v>702</v>
      </c>
      <c r="F44" s="9" t="s">
        <v>712</v>
      </c>
      <c r="G44" s="9" t="s">
        <v>705</v>
      </c>
      <c r="H44" s="9" t="s">
        <v>706</v>
      </c>
      <c r="I44" s="9" t="s">
        <v>66</v>
      </c>
      <c r="J44" s="10" t="s">
        <v>186</v>
      </c>
      <c r="K44" s="15" t="str">
        <f>VLOOKUP(J44,DADOS!$A$3:$B$105,2,FALSE)</f>
        <v>EE-GI-001-008</v>
      </c>
      <c r="L44" s="15" t="s">
        <v>268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402</v>
      </c>
      <c r="X44" s="12" t="s">
        <v>14</v>
      </c>
      <c r="Y44" s="12" t="s">
        <v>14</v>
      </c>
      <c r="Z44" s="13" t="s">
        <v>270</v>
      </c>
    </row>
    <row r="45" spans="1:26" ht="19.899999999999999" customHeight="1" x14ac:dyDescent="0.25">
      <c r="A45" s="6">
        <v>45933</v>
      </c>
      <c r="B45" s="7" t="s">
        <v>700</v>
      </c>
      <c r="C45" s="8" t="s">
        <v>708</v>
      </c>
      <c r="D45" s="8" t="s">
        <v>426</v>
      </c>
      <c r="E45" s="8" t="s">
        <v>702</v>
      </c>
      <c r="F45" s="9" t="s">
        <v>709</v>
      </c>
      <c r="G45" s="9" t="s">
        <v>710</v>
      </c>
      <c r="H45" s="9" t="s">
        <v>711</v>
      </c>
      <c r="I45" s="9" t="s">
        <v>66</v>
      </c>
      <c r="J45" s="10" t="s">
        <v>186</v>
      </c>
      <c r="K45" s="15" t="str">
        <f>VLOOKUP(J45,DADOS!$A$3:$B$105,2,FALSE)</f>
        <v>EE-GI-001-008</v>
      </c>
      <c r="L45" s="15" t="s">
        <v>268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426</v>
      </c>
      <c r="X45" s="12" t="s">
        <v>14</v>
      </c>
      <c r="Y45" s="12" t="s">
        <v>14</v>
      </c>
      <c r="Z45" s="13" t="s">
        <v>270</v>
      </c>
    </row>
    <row r="46" spans="1:26" ht="19.899999999999999" customHeight="1" x14ac:dyDescent="0.25">
      <c r="A46" s="6">
        <v>45933</v>
      </c>
      <c r="B46" s="7" t="s">
        <v>400</v>
      </c>
      <c r="C46" s="8" t="s">
        <v>401</v>
      </c>
      <c r="D46" s="8" t="s">
        <v>402</v>
      </c>
      <c r="E46" s="8" t="s">
        <v>403</v>
      </c>
      <c r="F46" s="9" t="s">
        <v>404</v>
      </c>
      <c r="G46" s="9" t="s">
        <v>405</v>
      </c>
      <c r="H46" s="9" t="s">
        <v>406</v>
      </c>
      <c r="I46" s="9" t="s">
        <v>66</v>
      </c>
      <c r="J46" s="10" t="s">
        <v>21</v>
      </c>
      <c r="K46" s="15" t="str">
        <f>VLOOKUP(J46,DADOS!$A$3:$B$105,2,FALSE)</f>
        <v>EE-GI-221-064</v>
      </c>
      <c r="L46" s="15" t="s">
        <v>389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1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402</v>
      </c>
      <c r="X46" s="12" t="s">
        <v>14</v>
      </c>
      <c r="Y46" s="12" t="s">
        <v>14</v>
      </c>
      <c r="Z46" s="13" t="s">
        <v>342</v>
      </c>
    </row>
    <row r="47" spans="1:26" ht="19.5" customHeight="1" x14ac:dyDescent="0.25">
      <c r="A47" s="6">
        <v>45933</v>
      </c>
      <c r="B47" s="7" t="s">
        <v>400</v>
      </c>
      <c r="C47" s="8" t="s">
        <v>401</v>
      </c>
      <c r="D47" s="8" t="s">
        <v>402</v>
      </c>
      <c r="E47" s="8" t="s">
        <v>403</v>
      </c>
      <c r="F47" s="9" t="s">
        <v>407</v>
      </c>
      <c r="G47" s="9" t="s">
        <v>405</v>
      </c>
      <c r="H47" s="9" t="s">
        <v>406</v>
      </c>
      <c r="I47" s="9" t="s">
        <v>66</v>
      </c>
      <c r="J47" s="10" t="s">
        <v>21</v>
      </c>
      <c r="K47" s="15" t="str">
        <f>VLOOKUP(J47,DADOS!$A$3:$B$105,2,FALSE)</f>
        <v>EE-GI-221-064</v>
      </c>
      <c r="L47" s="15" t="s">
        <v>389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1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0</v>
      </c>
      <c r="W47" s="11" t="s">
        <v>408</v>
      </c>
      <c r="X47" s="12" t="s">
        <v>14</v>
      </c>
      <c r="Y47" s="12" t="s">
        <v>14</v>
      </c>
      <c r="Z47" s="13" t="s">
        <v>342</v>
      </c>
    </row>
    <row r="48" spans="1:26" ht="19.5" customHeight="1" x14ac:dyDescent="0.25">
      <c r="A48" s="6">
        <v>45933</v>
      </c>
      <c r="B48" s="7" t="s">
        <v>400</v>
      </c>
      <c r="C48" s="8" t="s">
        <v>401</v>
      </c>
      <c r="D48" s="8" t="s">
        <v>409</v>
      </c>
      <c r="E48" s="8" t="s">
        <v>403</v>
      </c>
      <c r="F48" s="9" t="s">
        <v>410</v>
      </c>
      <c r="G48" s="9" t="s">
        <v>405</v>
      </c>
      <c r="H48" s="9" t="s">
        <v>406</v>
      </c>
      <c r="I48" s="9" t="s">
        <v>66</v>
      </c>
      <c r="J48" s="10" t="s">
        <v>21</v>
      </c>
      <c r="K48" s="15" t="str">
        <f>VLOOKUP(J48,DADOS!$A$3:$B$105,2,FALSE)</f>
        <v>EE-GI-221-064</v>
      </c>
      <c r="L48" s="15" t="s">
        <v>389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1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0</v>
      </c>
      <c r="W48" s="11" t="s">
        <v>409</v>
      </c>
      <c r="X48" s="12" t="s">
        <v>14</v>
      </c>
      <c r="Y48" s="12" t="s">
        <v>14</v>
      </c>
      <c r="Z48" s="13" t="s">
        <v>342</v>
      </c>
    </row>
    <row r="49" spans="1:26" ht="19.5" customHeight="1" x14ac:dyDescent="0.25">
      <c r="A49" s="6">
        <v>45933</v>
      </c>
      <c r="B49" s="7" t="s">
        <v>400</v>
      </c>
      <c r="C49" s="8" t="s">
        <v>411</v>
      </c>
      <c r="D49" s="8" t="s">
        <v>331</v>
      </c>
      <c r="E49" s="8" t="s">
        <v>413</v>
      </c>
      <c r="F49" s="9" t="s">
        <v>412</v>
      </c>
      <c r="G49" s="9" t="s">
        <v>405</v>
      </c>
      <c r="H49" s="9" t="s">
        <v>414</v>
      </c>
      <c r="I49" s="9" t="s">
        <v>66</v>
      </c>
      <c r="J49" s="10" t="s">
        <v>21</v>
      </c>
      <c r="K49" s="15" t="str">
        <f>VLOOKUP(J49,DADOS!$A$3:$B$105,2,FALSE)</f>
        <v>EE-GI-221-064</v>
      </c>
      <c r="L49" s="15" t="s">
        <v>389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1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0</v>
      </c>
      <c r="W49" s="11" t="s">
        <v>331</v>
      </c>
      <c r="X49" s="12" t="s">
        <v>14</v>
      </c>
      <c r="Y49" s="12" t="s">
        <v>14</v>
      </c>
      <c r="Z49" s="13" t="s">
        <v>342</v>
      </c>
    </row>
    <row r="50" spans="1:26" ht="19.5" customHeight="1" x14ac:dyDescent="0.25">
      <c r="A50" s="6">
        <v>45933</v>
      </c>
      <c r="B50" s="7" t="s">
        <v>400</v>
      </c>
      <c r="C50" s="8" t="s">
        <v>415</v>
      </c>
      <c r="D50" s="8" t="s">
        <v>273</v>
      </c>
      <c r="E50" s="8" t="s">
        <v>413</v>
      </c>
      <c r="F50" s="9" t="s">
        <v>416</v>
      </c>
      <c r="G50" s="9" t="s">
        <v>418</v>
      </c>
      <c r="H50" s="9" t="s">
        <v>417</v>
      </c>
      <c r="I50" s="9" t="s">
        <v>66</v>
      </c>
      <c r="J50" s="10" t="s">
        <v>241</v>
      </c>
      <c r="K50" s="15" t="str">
        <f>VLOOKUP(J50,DADOS!$A$3:$B$105,2,FALSE)</f>
        <v>EE-GI-221-048</v>
      </c>
      <c r="L50" s="15" t="s">
        <v>389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1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0</v>
      </c>
      <c r="W50" s="11" t="s">
        <v>273</v>
      </c>
      <c r="X50" s="12" t="s">
        <v>14</v>
      </c>
      <c r="Y50" s="12" t="s">
        <v>14</v>
      </c>
      <c r="Z50" s="13" t="s">
        <v>342</v>
      </c>
    </row>
    <row r="51" spans="1:26" ht="19.5" customHeight="1" x14ac:dyDescent="0.25">
      <c r="A51" s="6">
        <v>45933</v>
      </c>
      <c r="B51" s="7" t="s">
        <v>400</v>
      </c>
      <c r="C51" s="8" t="s">
        <v>419</v>
      </c>
      <c r="D51" s="8" t="s">
        <v>291</v>
      </c>
      <c r="E51" s="8" t="s">
        <v>413</v>
      </c>
      <c r="F51" s="9" t="s">
        <v>420</v>
      </c>
      <c r="G51" s="9" t="s">
        <v>418</v>
      </c>
      <c r="H51" s="9" t="s">
        <v>421</v>
      </c>
      <c r="I51" s="9" t="s">
        <v>66</v>
      </c>
      <c r="J51" s="10" t="s">
        <v>241</v>
      </c>
      <c r="K51" s="15" t="str">
        <f>VLOOKUP(J51,DADOS!$A$3:$B$105,2,FALSE)</f>
        <v>EE-GI-221-048</v>
      </c>
      <c r="L51" s="15" t="s">
        <v>389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1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0</v>
      </c>
      <c r="W51" s="11" t="s">
        <v>291</v>
      </c>
      <c r="X51" s="12" t="s">
        <v>14</v>
      </c>
      <c r="Y51" s="12" t="s">
        <v>14</v>
      </c>
      <c r="Z51" s="13" t="s">
        <v>342</v>
      </c>
    </row>
    <row r="52" spans="1:26" ht="19.5" customHeight="1" x14ac:dyDescent="0.25">
      <c r="A52" s="6">
        <v>45934</v>
      </c>
      <c r="B52" s="7" t="s">
        <v>400</v>
      </c>
      <c r="C52" s="8" t="s">
        <v>415</v>
      </c>
      <c r="D52" s="8" t="s">
        <v>408</v>
      </c>
      <c r="E52" s="8" t="s">
        <v>403</v>
      </c>
      <c r="F52" s="9" t="s">
        <v>423</v>
      </c>
      <c r="G52" s="9" t="s">
        <v>418</v>
      </c>
      <c r="H52" s="9" t="s">
        <v>424</v>
      </c>
      <c r="I52" s="9" t="s">
        <v>68</v>
      </c>
      <c r="J52" s="10" t="s">
        <v>241</v>
      </c>
      <c r="K52" s="15" t="str">
        <f>VLOOKUP(J52,DADOS!$A$3:$B$105,2,FALSE)</f>
        <v>EE-GI-221-048</v>
      </c>
      <c r="L52" s="15" t="s">
        <v>389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1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1" t="s">
        <v>408</v>
      </c>
      <c r="X52" s="12" t="s">
        <v>14</v>
      </c>
      <c r="Y52" s="12" t="s">
        <v>14</v>
      </c>
      <c r="Z52" s="13" t="s">
        <v>342</v>
      </c>
    </row>
    <row r="53" spans="1:26" ht="19.899999999999999" customHeight="1" x14ac:dyDescent="0.25">
      <c r="A53" s="6">
        <v>45934</v>
      </c>
      <c r="B53" s="7" t="s">
        <v>400</v>
      </c>
      <c r="C53" s="8" t="s">
        <v>425</v>
      </c>
      <c r="D53" s="8" t="s">
        <v>426</v>
      </c>
      <c r="E53" s="8" t="s">
        <v>403</v>
      </c>
      <c r="F53" s="9" t="s">
        <v>427</v>
      </c>
      <c r="G53" s="9" t="s">
        <v>418</v>
      </c>
      <c r="H53" s="9" t="s">
        <v>428</v>
      </c>
      <c r="I53" s="9" t="s">
        <v>68</v>
      </c>
      <c r="J53" s="10" t="s">
        <v>241</v>
      </c>
      <c r="K53" s="15" t="str">
        <f>VLOOKUP(J53,DADOS!$A$3:$B$105,2,FALSE)</f>
        <v>EE-GI-221-048</v>
      </c>
      <c r="L53" s="15" t="s">
        <v>389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1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0</v>
      </c>
      <c r="W53" s="11" t="s">
        <v>426</v>
      </c>
      <c r="X53" s="12" t="s">
        <v>14</v>
      </c>
      <c r="Y53" s="12" t="s">
        <v>14</v>
      </c>
      <c r="Z53" s="13" t="s">
        <v>342</v>
      </c>
    </row>
    <row r="54" spans="1:26" ht="19.899999999999999" customHeight="1" x14ac:dyDescent="0.25">
      <c r="A54" s="6">
        <v>45934</v>
      </c>
      <c r="B54" s="7" t="s">
        <v>400</v>
      </c>
      <c r="C54" s="8" t="s">
        <v>425</v>
      </c>
      <c r="D54" s="8" t="s">
        <v>353</v>
      </c>
      <c r="E54" s="8" t="s">
        <v>403</v>
      </c>
      <c r="F54" s="9" t="s">
        <v>427</v>
      </c>
      <c r="G54" s="9" t="s">
        <v>418</v>
      </c>
      <c r="H54" s="9" t="s">
        <v>428</v>
      </c>
      <c r="I54" s="9" t="s">
        <v>68</v>
      </c>
      <c r="J54" s="10" t="s">
        <v>241</v>
      </c>
      <c r="K54" s="15" t="str">
        <f>VLOOKUP(J54,DADOS!$A$3:$B$105,2,FALSE)</f>
        <v>EE-GI-221-048</v>
      </c>
      <c r="L54" s="15" t="s">
        <v>389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1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0</v>
      </c>
      <c r="W54" s="11" t="s">
        <v>353</v>
      </c>
      <c r="X54" s="12" t="s">
        <v>14</v>
      </c>
      <c r="Y54" s="12" t="s">
        <v>14</v>
      </c>
      <c r="Z54" s="13" t="s">
        <v>342</v>
      </c>
    </row>
    <row r="55" spans="1:26" ht="19.5" customHeight="1" x14ac:dyDescent="0.25">
      <c r="A55" s="6">
        <v>45934</v>
      </c>
      <c r="B55" s="7" t="s">
        <v>400</v>
      </c>
      <c r="C55" s="8" t="s">
        <v>429</v>
      </c>
      <c r="D55" s="8" t="s">
        <v>430</v>
      </c>
      <c r="E55" s="8" t="s">
        <v>403</v>
      </c>
      <c r="F55" s="9" t="s">
        <v>431</v>
      </c>
      <c r="G55" s="9" t="s">
        <v>432</v>
      </c>
      <c r="H55" s="9" t="s">
        <v>433</v>
      </c>
      <c r="I55" s="9" t="s">
        <v>68</v>
      </c>
      <c r="J55" s="10" t="s">
        <v>233</v>
      </c>
      <c r="K55" s="15" t="str">
        <f>VLOOKUP(J55,DADOS!$A$3:$B$105,2,FALSE)</f>
        <v>EE-GI-221-031</v>
      </c>
      <c r="L55" s="15" t="s">
        <v>389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1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0</v>
      </c>
      <c r="W55" s="11" t="s">
        <v>408</v>
      </c>
      <c r="X55" s="12" t="s">
        <v>14</v>
      </c>
      <c r="Y55" s="12" t="s">
        <v>14</v>
      </c>
      <c r="Z55" s="13" t="s">
        <v>342</v>
      </c>
    </row>
    <row r="56" spans="1:26" ht="19.5" customHeight="1" x14ac:dyDescent="0.25">
      <c r="A56" s="6">
        <v>45934</v>
      </c>
      <c r="B56" s="7" t="s">
        <v>400</v>
      </c>
      <c r="C56" s="8" t="s">
        <v>429</v>
      </c>
      <c r="D56" s="8" t="s">
        <v>430</v>
      </c>
      <c r="E56" s="8" t="s">
        <v>403</v>
      </c>
      <c r="F56" s="9" t="s">
        <v>434</v>
      </c>
      <c r="G56" s="9" t="s">
        <v>432</v>
      </c>
      <c r="H56" s="9" t="s">
        <v>433</v>
      </c>
      <c r="I56" s="9" t="s">
        <v>68</v>
      </c>
      <c r="J56" s="10" t="s">
        <v>233</v>
      </c>
      <c r="K56" s="15" t="str">
        <f>VLOOKUP(J56,DADOS!$A$3:$B$105,2,FALSE)</f>
        <v>EE-GI-221-031</v>
      </c>
      <c r="L56" s="15" t="s">
        <v>389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1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0</v>
      </c>
      <c r="W56" s="11" t="s">
        <v>408</v>
      </c>
      <c r="X56" s="12" t="s">
        <v>14</v>
      </c>
      <c r="Y56" s="12" t="s">
        <v>14</v>
      </c>
      <c r="Z56" s="13" t="s">
        <v>342</v>
      </c>
    </row>
    <row r="57" spans="1:26" ht="19.5" customHeight="1" x14ac:dyDescent="0.25">
      <c r="A57" s="6">
        <v>45934</v>
      </c>
      <c r="B57" s="7" t="s">
        <v>400</v>
      </c>
      <c r="C57" s="8" t="s">
        <v>435</v>
      </c>
      <c r="D57" s="8" t="s">
        <v>264</v>
      </c>
      <c r="E57" s="8" t="s">
        <v>403</v>
      </c>
      <c r="F57" s="9" t="s">
        <v>436</v>
      </c>
      <c r="G57" s="9" t="s">
        <v>418</v>
      </c>
      <c r="H57" s="9" t="s">
        <v>437</v>
      </c>
      <c r="I57" s="9" t="s">
        <v>68</v>
      </c>
      <c r="J57" s="10" t="s">
        <v>241</v>
      </c>
      <c r="K57" s="15" t="str">
        <f>VLOOKUP(J57,DADOS!$A$3:$B$105,2,FALSE)</f>
        <v>EE-GI-221-048</v>
      </c>
      <c r="L57" s="15" t="s">
        <v>389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1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0</v>
      </c>
      <c r="W57" s="11" t="s">
        <v>264</v>
      </c>
      <c r="X57" s="12" t="s">
        <v>14</v>
      </c>
      <c r="Y57" s="12" t="s">
        <v>14</v>
      </c>
      <c r="Z57" s="13" t="s">
        <v>342</v>
      </c>
    </row>
    <row r="58" spans="1:26" ht="19.5" customHeight="1" x14ac:dyDescent="0.25">
      <c r="A58" s="6">
        <v>45934</v>
      </c>
      <c r="B58" s="7" t="s">
        <v>400</v>
      </c>
      <c r="C58" s="8" t="s">
        <v>438</v>
      </c>
      <c r="D58" s="8" t="s">
        <v>291</v>
      </c>
      <c r="E58" s="8" t="s">
        <v>403</v>
      </c>
      <c r="F58" s="9" t="s">
        <v>439</v>
      </c>
      <c r="G58" s="9" t="s">
        <v>418</v>
      </c>
      <c r="H58" s="9" t="s">
        <v>440</v>
      </c>
      <c r="I58" s="9" t="s">
        <v>68</v>
      </c>
      <c r="J58" s="10" t="s">
        <v>241</v>
      </c>
      <c r="K58" s="15" t="str">
        <f>VLOOKUP(J58,DADOS!$A$3:$B$105,2,FALSE)</f>
        <v>EE-GI-221-048</v>
      </c>
      <c r="L58" s="15" t="s">
        <v>389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1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0</v>
      </c>
      <c r="W58" s="11" t="s">
        <v>291</v>
      </c>
      <c r="X58" s="12" t="s">
        <v>14</v>
      </c>
      <c r="Y58" s="12" t="s">
        <v>14</v>
      </c>
      <c r="Z58" s="13" t="s">
        <v>342</v>
      </c>
    </row>
    <row r="59" spans="1:26" ht="19.5" customHeight="1" x14ac:dyDescent="0.25">
      <c r="A59" s="6">
        <v>45934</v>
      </c>
      <c r="B59" s="7" t="s">
        <v>400</v>
      </c>
      <c r="C59" s="8" t="s">
        <v>441</v>
      </c>
      <c r="D59" s="8" t="s">
        <v>353</v>
      </c>
      <c r="E59" s="8" t="s">
        <v>403</v>
      </c>
      <c r="F59" s="9" t="s">
        <v>442</v>
      </c>
      <c r="G59" s="9" t="s">
        <v>443</v>
      </c>
      <c r="H59" s="9" t="s">
        <v>444</v>
      </c>
      <c r="I59" s="9" t="s">
        <v>66</v>
      </c>
      <c r="J59" s="10" t="s">
        <v>21</v>
      </c>
      <c r="K59" s="15" t="str">
        <f>VLOOKUP(J59,DADOS!$A$3:$B$105,2,FALSE)</f>
        <v>EE-GI-221-064</v>
      </c>
      <c r="L59" s="15" t="s">
        <v>389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1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0</v>
      </c>
      <c r="W59" s="11" t="s">
        <v>353</v>
      </c>
      <c r="X59" s="12" t="s">
        <v>14</v>
      </c>
      <c r="Y59" s="12" t="s">
        <v>14</v>
      </c>
      <c r="Z59" s="13" t="s">
        <v>342</v>
      </c>
    </row>
    <row r="60" spans="1:26" ht="19.5" customHeight="1" x14ac:dyDescent="0.25">
      <c r="A60" s="6">
        <v>45934</v>
      </c>
      <c r="B60" s="7" t="s">
        <v>400</v>
      </c>
      <c r="C60" s="8" t="s">
        <v>445</v>
      </c>
      <c r="D60" s="8" t="s">
        <v>426</v>
      </c>
      <c r="E60" s="8" t="s">
        <v>403</v>
      </c>
      <c r="F60" s="9" t="s">
        <v>446</v>
      </c>
      <c r="G60" s="9" t="s">
        <v>447</v>
      </c>
      <c r="H60" s="9" t="s">
        <v>448</v>
      </c>
      <c r="I60" s="9" t="s">
        <v>66</v>
      </c>
      <c r="J60" s="10" t="s">
        <v>238</v>
      </c>
      <c r="K60" s="15" t="str">
        <f>VLOOKUP(J60,DADOS!$A$3:$B$105,2,FALSE)</f>
        <v>EE-GI-221-040</v>
      </c>
      <c r="L60" s="15" t="s">
        <v>389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1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0</v>
      </c>
      <c r="W60" s="11" t="s">
        <v>426</v>
      </c>
      <c r="X60" s="12" t="s">
        <v>14</v>
      </c>
      <c r="Y60" s="12" t="s">
        <v>14</v>
      </c>
      <c r="Z60" s="13" t="s">
        <v>342</v>
      </c>
    </row>
    <row r="61" spans="1:26" ht="19.5" customHeight="1" x14ac:dyDescent="0.25">
      <c r="A61" s="6">
        <v>45934</v>
      </c>
      <c r="B61" s="7" t="s">
        <v>400</v>
      </c>
      <c r="C61" s="8" t="s">
        <v>449</v>
      </c>
      <c r="D61" s="8" t="s">
        <v>344</v>
      </c>
      <c r="E61" s="8" t="s">
        <v>403</v>
      </c>
      <c r="F61" s="9" t="s">
        <v>450</v>
      </c>
      <c r="G61" s="9" t="s">
        <v>418</v>
      </c>
      <c r="H61" s="9" t="s">
        <v>451</v>
      </c>
      <c r="I61" s="9" t="s">
        <v>66</v>
      </c>
      <c r="J61" s="10" t="s">
        <v>19</v>
      </c>
      <c r="K61" s="15" t="str">
        <f>VLOOKUP(J61,DADOS!$A$3:$B$105,2,FALSE)</f>
        <v>EE-GI-221-033</v>
      </c>
      <c r="L61" s="15" t="s">
        <v>389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1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1" t="s">
        <v>344</v>
      </c>
      <c r="X61" s="12" t="s">
        <v>14</v>
      </c>
      <c r="Y61" s="12" t="s">
        <v>14</v>
      </c>
      <c r="Z61" s="13" t="s">
        <v>342</v>
      </c>
    </row>
    <row r="62" spans="1:26" ht="19.5" customHeight="1" x14ac:dyDescent="0.25">
      <c r="A62" s="6">
        <v>45934</v>
      </c>
      <c r="B62" s="7" t="s">
        <v>400</v>
      </c>
      <c r="C62" s="8" t="s">
        <v>411</v>
      </c>
      <c r="D62" s="8" t="s">
        <v>408</v>
      </c>
      <c r="E62" s="8" t="s">
        <v>403</v>
      </c>
      <c r="F62" s="9" t="s">
        <v>452</v>
      </c>
      <c r="G62" s="9" t="s">
        <v>443</v>
      </c>
      <c r="H62" s="9" t="s">
        <v>453</v>
      </c>
      <c r="I62" s="9" t="s">
        <v>66</v>
      </c>
      <c r="J62" s="10" t="s">
        <v>21</v>
      </c>
      <c r="K62" s="15" t="str">
        <f>VLOOKUP(J62,DADOS!$A$3:$B$105,2,FALSE)</f>
        <v>EE-GI-221-064</v>
      </c>
      <c r="L62" s="15" t="s">
        <v>389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1</v>
      </c>
      <c r="R62" s="17" t="b">
        <v>0</v>
      </c>
      <c r="S62" s="17" t="b">
        <v>0</v>
      </c>
      <c r="T62" s="17" t="b">
        <v>0</v>
      </c>
      <c r="U62" s="17" t="b">
        <v>0</v>
      </c>
      <c r="V62" s="17" t="b">
        <v>0</v>
      </c>
      <c r="W62" s="11" t="s">
        <v>408</v>
      </c>
      <c r="X62" s="12" t="s">
        <v>14</v>
      </c>
      <c r="Y62" s="12" t="s">
        <v>14</v>
      </c>
      <c r="Z62" s="13" t="s">
        <v>342</v>
      </c>
    </row>
    <row r="63" spans="1:26" ht="19.5" customHeight="1" x14ac:dyDescent="0.25">
      <c r="A63" s="6">
        <v>45934</v>
      </c>
      <c r="B63" s="7" t="s">
        <v>400</v>
      </c>
      <c r="C63" s="8" t="s">
        <v>411</v>
      </c>
      <c r="D63" s="8" t="s">
        <v>408</v>
      </c>
      <c r="E63" s="8" t="s">
        <v>403</v>
      </c>
      <c r="F63" s="9" t="s">
        <v>454</v>
      </c>
      <c r="G63" s="9" t="s">
        <v>443</v>
      </c>
      <c r="H63" s="9" t="s">
        <v>453</v>
      </c>
      <c r="I63" s="9" t="s">
        <v>66</v>
      </c>
      <c r="J63" s="10" t="s">
        <v>21</v>
      </c>
      <c r="K63" s="15" t="str">
        <f>VLOOKUP(J63,DADOS!$A$3:$B$105,2,FALSE)</f>
        <v>EE-GI-221-064</v>
      </c>
      <c r="L63" s="15" t="s">
        <v>389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1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0</v>
      </c>
      <c r="W63" s="11" t="s">
        <v>331</v>
      </c>
      <c r="X63" s="12" t="s">
        <v>14</v>
      </c>
      <c r="Y63" s="12" t="s">
        <v>14</v>
      </c>
      <c r="Z63" s="13" t="s">
        <v>342</v>
      </c>
    </row>
    <row r="64" spans="1:26" ht="19.5" customHeight="1" x14ac:dyDescent="0.25">
      <c r="A64" s="6">
        <v>45934</v>
      </c>
      <c r="B64" s="7" t="s">
        <v>400</v>
      </c>
      <c r="C64" s="8" t="s">
        <v>455</v>
      </c>
      <c r="D64" s="8" t="s">
        <v>456</v>
      </c>
      <c r="E64" s="8" t="s">
        <v>403</v>
      </c>
      <c r="F64" s="9" t="s">
        <v>457</v>
      </c>
      <c r="G64" s="9" t="s">
        <v>418</v>
      </c>
      <c r="H64" s="9" t="s">
        <v>458</v>
      </c>
      <c r="I64" s="9" t="s">
        <v>66</v>
      </c>
      <c r="J64" s="10" t="s">
        <v>241</v>
      </c>
      <c r="K64" s="15" t="str">
        <f>VLOOKUP(J64,DADOS!$A$3:$B$105,2,FALSE)</f>
        <v>EE-GI-221-048</v>
      </c>
      <c r="L64" s="15" t="s">
        <v>389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1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0</v>
      </c>
      <c r="W64" s="11" t="s">
        <v>456</v>
      </c>
      <c r="X64" s="12" t="s">
        <v>14</v>
      </c>
      <c r="Y64" s="12" t="s">
        <v>14</v>
      </c>
      <c r="Z64" s="13" t="s">
        <v>342</v>
      </c>
    </row>
    <row r="65" spans="1:26" ht="19.5" customHeight="1" x14ac:dyDescent="0.25">
      <c r="A65" s="6">
        <v>45934</v>
      </c>
      <c r="B65" s="7" t="s">
        <v>400</v>
      </c>
      <c r="C65" s="8" t="s">
        <v>459</v>
      </c>
      <c r="D65" s="8" t="s">
        <v>331</v>
      </c>
      <c r="E65" s="8" t="s">
        <v>403</v>
      </c>
      <c r="F65" s="9" t="s">
        <v>460</v>
      </c>
      <c r="G65" s="9" t="s">
        <v>461</v>
      </c>
      <c r="H65" s="9" t="s">
        <v>462</v>
      </c>
      <c r="I65" s="9" t="s">
        <v>66</v>
      </c>
      <c r="J65" s="10" t="s">
        <v>233</v>
      </c>
      <c r="K65" s="15" t="str">
        <f>VLOOKUP(J65,DADOS!$A$3:$B$105,2,FALSE)</f>
        <v>EE-GI-221-031</v>
      </c>
      <c r="L65" s="15" t="s">
        <v>389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1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0</v>
      </c>
      <c r="W65" s="11" t="s">
        <v>331</v>
      </c>
      <c r="X65" s="12" t="s">
        <v>14</v>
      </c>
      <c r="Y65" s="12" t="s">
        <v>14</v>
      </c>
      <c r="Z65" s="13" t="s">
        <v>342</v>
      </c>
    </row>
    <row r="66" spans="1:26" ht="19.5" customHeight="1" x14ac:dyDescent="0.25">
      <c r="A66" s="6">
        <v>45936</v>
      </c>
      <c r="B66" s="7" t="s">
        <v>334</v>
      </c>
      <c r="C66" s="8" t="s">
        <v>778</v>
      </c>
      <c r="D66" s="8" t="s">
        <v>517</v>
      </c>
      <c r="E66" s="8" t="s">
        <v>571</v>
      </c>
      <c r="F66" s="9" t="s">
        <v>779</v>
      </c>
      <c r="G66" s="9" t="s">
        <v>328</v>
      </c>
      <c r="H66" s="9" t="s">
        <v>340</v>
      </c>
      <c r="I66" s="9" t="s">
        <v>66</v>
      </c>
      <c r="J66" s="10" t="s">
        <v>15</v>
      </c>
      <c r="K66" s="15" t="str">
        <f>VLOOKUP(J66,DADOS!$A$3:$B$105,2,FALSE)</f>
        <v>EE-GI-001-002</v>
      </c>
      <c r="L66" s="15" t="s">
        <v>636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292</v>
      </c>
      <c r="X66" s="12" t="s">
        <v>14</v>
      </c>
      <c r="Y66" s="12" t="s">
        <v>14</v>
      </c>
      <c r="Z66" s="13" t="s">
        <v>342</v>
      </c>
    </row>
    <row r="67" spans="1:26" ht="19.899999999999999" customHeight="1" x14ac:dyDescent="0.25">
      <c r="A67" s="6">
        <v>45936</v>
      </c>
      <c r="B67" s="7" t="s">
        <v>400</v>
      </c>
      <c r="C67" s="8" t="s">
        <v>463</v>
      </c>
      <c r="D67" s="8" t="s">
        <v>291</v>
      </c>
      <c r="E67" s="8" t="s">
        <v>403</v>
      </c>
      <c r="F67" s="9" t="s">
        <v>464</v>
      </c>
      <c r="G67" s="9" t="s">
        <v>465</v>
      </c>
      <c r="H67" s="9" t="s">
        <v>418</v>
      </c>
      <c r="I67" s="9" t="s">
        <v>66</v>
      </c>
      <c r="J67" s="10" t="s">
        <v>241</v>
      </c>
      <c r="K67" s="15" t="str">
        <f>VLOOKUP(J67,DADOS!$A$3:$B$105,2,FALSE)</f>
        <v>EE-GI-221-048</v>
      </c>
      <c r="L67" s="15" t="s">
        <v>466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1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0</v>
      </c>
      <c r="W67" s="11" t="s">
        <v>291</v>
      </c>
      <c r="X67" s="12" t="s">
        <v>14</v>
      </c>
      <c r="Y67" s="12" t="s">
        <v>14</v>
      </c>
      <c r="Z67" s="13" t="s">
        <v>342</v>
      </c>
    </row>
    <row r="68" spans="1:26" ht="19.899999999999999" customHeight="1" x14ac:dyDescent="0.25">
      <c r="A68" s="6">
        <v>45936</v>
      </c>
      <c r="B68" s="7" t="s">
        <v>400</v>
      </c>
      <c r="C68" s="8" t="s">
        <v>467</v>
      </c>
      <c r="D68" s="8" t="s">
        <v>264</v>
      </c>
      <c r="E68" s="8" t="s">
        <v>403</v>
      </c>
      <c r="F68" s="9" t="s">
        <v>468</v>
      </c>
      <c r="G68" s="9" t="s">
        <v>469</v>
      </c>
      <c r="H68" s="9" t="s">
        <v>418</v>
      </c>
      <c r="I68" s="9" t="s">
        <v>68</v>
      </c>
      <c r="J68" s="10" t="s">
        <v>241</v>
      </c>
      <c r="K68" s="15" t="str">
        <f>VLOOKUP(J68,DADOS!$A$3:$B$105,2,FALSE)</f>
        <v>EE-GI-221-048</v>
      </c>
      <c r="L68" s="15" t="s">
        <v>466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1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0</v>
      </c>
      <c r="W68" s="11" t="s">
        <v>264</v>
      </c>
      <c r="X68" s="12" t="s">
        <v>14</v>
      </c>
      <c r="Y68" s="12" t="s">
        <v>14</v>
      </c>
      <c r="Z68" s="13" t="s">
        <v>342</v>
      </c>
    </row>
    <row r="69" spans="1:26" ht="19.899999999999999" customHeight="1" x14ac:dyDescent="0.25">
      <c r="A69" s="6">
        <v>45936</v>
      </c>
      <c r="B69" s="7" t="s">
        <v>400</v>
      </c>
      <c r="C69" s="8" t="s">
        <v>470</v>
      </c>
      <c r="D69" s="8" t="s">
        <v>264</v>
      </c>
      <c r="E69" s="8" t="s">
        <v>403</v>
      </c>
      <c r="F69" s="9" t="s">
        <v>471</v>
      </c>
      <c r="G69" s="9" t="s">
        <v>472</v>
      </c>
      <c r="H69" s="9" t="s">
        <v>473</v>
      </c>
      <c r="I69" s="9" t="s">
        <v>66</v>
      </c>
      <c r="J69" s="10" t="s">
        <v>235</v>
      </c>
      <c r="K69" s="15" t="str">
        <f>VLOOKUP(J69,DADOS!$A$3:$B$105,2,FALSE)</f>
        <v>EE-GI-221-035</v>
      </c>
      <c r="L69" s="15" t="s">
        <v>466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1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0</v>
      </c>
      <c r="W69" s="11" t="s">
        <v>264</v>
      </c>
      <c r="X69" s="12" t="s">
        <v>14</v>
      </c>
      <c r="Y69" s="12" t="s">
        <v>14</v>
      </c>
      <c r="Z69" s="13" t="s">
        <v>342</v>
      </c>
    </row>
    <row r="70" spans="1:26" ht="19.899999999999999" customHeight="1" x14ac:dyDescent="0.25">
      <c r="A70" s="6">
        <v>45936</v>
      </c>
      <c r="B70" s="7" t="s">
        <v>400</v>
      </c>
      <c r="C70" s="8" t="s">
        <v>470</v>
      </c>
      <c r="D70" s="8" t="s">
        <v>264</v>
      </c>
      <c r="E70" s="8" t="s">
        <v>403</v>
      </c>
      <c r="F70" s="9" t="s">
        <v>474</v>
      </c>
      <c r="G70" s="9" t="s">
        <v>472</v>
      </c>
      <c r="H70" s="9" t="s">
        <v>473</v>
      </c>
      <c r="I70" s="9" t="s">
        <v>66</v>
      </c>
      <c r="J70" s="10" t="s">
        <v>235</v>
      </c>
      <c r="K70" s="15" t="str">
        <f>VLOOKUP(J70,DADOS!$A$3:$B$105,2,FALSE)</f>
        <v>EE-GI-221-035</v>
      </c>
      <c r="L70" s="15" t="s">
        <v>466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1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0</v>
      </c>
      <c r="W70" s="11" t="s">
        <v>264</v>
      </c>
      <c r="X70" s="12" t="s">
        <v>14</v>
      </c>
      <c r="Y70" s="12" t="s">
        <v>14</v>
      </c>
      <c r="Z70" s="13" t="s">
        <v>342</v>
      </c>
    </row>
    <row r="71" spans="1:26" ht="19.899999999999999" customHeight="1" x14ac:dyDescent="0.25">
      <c r="A71" s="6">
        <v>45936</v>
      </c>
      <c r="B71" s="7" t="s">
        <v>400</v>
      </c>
      <c r="C71" s="8" t="s">
        <v>477</v>
      </c>
      <c r="D71" s="8" t="s">
        <v>264</v>
      </c>
      <c r="E71" s="8" t="s">
        <v>403</v>
      </c>
      <c r="F71" s="9" t="s">
        <v>475</v>
      </c>
      <c r="G71" s="9" t="s">
        <v>476</v>
      </c>
      <c r="H71" s="9" t="s">
        <v>432</v>
      </c>
      <c r="I71" s="9" t="s">
        <v>66</v>
      </c>
      <c r="J71" s="10" t="s">
        <v>235</v>
      </c>
      <c r="K71" s="15" t="str">
        <f>VLOOKUP(J71,DADOS!$A$3:$B$105,2,FALSE)</f>
        <v>EE-GI-221-035</v>
      </c>
      <c r="L71" s="15" t="s">
        <v>466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1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0</v>
      </c>
      <c r="W71" s="11" t="s">
        <v>264</v>
      </c>
      <c r="X71" s="12" t="s">
        <v>14</v>
      </c>
      <c r="Y71" s="12" t="s">
        <v>14</v>
      </c>
      <c r="Z71" s="13" t="s">
        <v>342</v>
      </c>
    </row>
    <row r="72" spans="1:26" ht="19.899999999999999" customHeight="1" x14ac:dyDescent="0.25">
      <c r="A72" s="6">
        <v>45936</v>
      </c>
      <c r="B72" s="7" t="s">
        <v>400</v>
      </c>
      <c r="C72" s="8" t="s">
        <v>478</v>
      </c>
      <c r="D72" s="8" t="s">
        <v>479</v>
      </c>
      <c r="E72" s="8" t="s">
        <v>403</v>
      </c>
      <c r="F72" s="9" t="s">
        <v>480</v>
      </c>
      <c r="G72" s="9" t="s">
        <v>481</v>
      </c>
      <c r="H72" s="9" t="s">
        <v>418</v>
      </c>
      <c r="I72" s="9" t="s">
        <v>66</v>
      </c>
      <c r="J72" s="10" t="s">
        <v>235</v>
      </c>
      <c r="K72" s="15" t="str">
        <f>VLOOKUP(J72,DADOS!$A$3:$B$105,2,FALSE)</f>
        <v>EE-GI-221-035</v>
      </c>
      <c r="L72" s="15" t="s">
        <v>466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1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479</v>
      </c>
      <c r="X72" s="12" t="s">
        <v>14</v>
      </c>
      <c r="Y72" s="12" t="s">
        <v>14</v>
      </c>
      <c r="Z72" s="13" t="s">
        <v>342</v>
      </c>
    </row>
    <row r="73" spans="1:26" ht="19.899999999999999" customHeight="1" x14ac:dyDescent="0.25">
      <c r="A73" s="6">
        <v>45936</v>
      </c>
      <c r="B73" s="7" t="s">
        <v>390</v>
      </c>
      <c r="C73" s="8" t="s">
        <v>396</v>
      </c>
      <c r="D73" s="8" t="s">
        <v>408</v>
      </c>
      <c r="E73" s="8" t="s">
        <v>482</v>
      </c>
      <c r="F73" s="9" t="s">
        <v>397</v>
      </c>
      <c r="G73" s="9" t="s">
        <v>398</v>
      </c>
      <c r="H73" s="9" t="s">
        <v>522</v>
      </c>
      <c r="I73" s="9" t="s">
        <v>74</v>
      </c>
      <c r="J73" s="10" t="s">
        <v>17</v>
      </c>
      <c r="K73" s="15" t="str">
        <f>VLOOKUP(J73,DADOS!$A$3:$B$105,2,FALSE)</f>
        <v>EE-GI-001-001</v>
      </c>
      <c r="L73" s="15" t="s">
        <v>383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408</v>
      </c>
      <c r="X73" s="12" t="s">
        <v>14</v>
      </c>
      <c r="Y73" s="12" t="s">
        <v>14</v>
      </c>
      <c r="Z73" s="13" t="s">
        <v>270</v>
      </c>
    </row>
    <row r="74" spans="1:26" ht="19.899999999999999" customHeight="1" x14ac:dyDescent="0.25">
      <c r="A74" s="6">
        <v>45936</v>
      </c>
      <c r="B74" s="7" t="s">
        <v>483</v>
      </c>
      <c r="C74" s="8" t="s">
        <v>484</v>
      </c>
      <c r="D74" s="8" t="s">
        <v>485</v>
      </c>
      <c r="E74" s="8" t="s">
        <v>486</v>
      </c>
      <c r="F74" s="9" t="s">
        <v>487</v>
      </c>
      <c r="G74" s="9" t="s">
        <v>488</v>
      </c>
      <c r="H74" s="9" t="s">
        <v>489</v>
      </c>
      <c r="I74" s="9" t="s">
        <v>66</v>
      </c>
      <c r="J74" s="10" t="s">
        <v>174</v>
      </c>
      <c r="K74" s="15" t="str">
        <f>VLOOKUP(J74,DADOS!$A$3:$B$105,2,FALSE)</f>
        <v>EE-GI-001-007</v>
      </c>
      <c r="L74" s="15" t="s">
        <v>341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1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0</v>
      </c>
      <c r="W74" s="11" t="s">
        <v>485</v>
      </c>
      <c r="X74" s="12" t="s">
        <v>14</v>
      </c>
      <c r="Y74" s="12" t="s">
        <v>14</v>
      </c>
      <c r="Z74" s="13" t="s">
        <v>342</v>
      </c>
    </row>
    <row r="75" spans="1:26" ht="19.899999999999999" customHeight="1" x14ac:dyDescent="0.25">
      <c r="A75" s="6">
        <v>45936</v>
      </c>
      <c r="B75" s="7" t="s">
        <v>490</v>
      </c>
      <c r="C75" s="8" t="s">
        <v>491</v>
      </c>
      <c r="D75" s="8" t="s">
        <v>426</v>
      </c>
      <c r="E75" s="8" t="s">
        <v>492</v>
      </c>
      <c r="F75" s="9" t="s">
        <v>493</v>
      </c>
      <c r="G75" s="9" t="s">
        <v>494</v>
      </c>
      <c r="H75" s="9" t="s">
        <v>495</v>
      </c>
      <c r="I75" s="9" t="s">
        <v>66</v>
      </c>
      <c r="J75" s="10" t="s">
        <v>185</v>
      </c>
      <c r="K75" s="15" t="str">
        <f>VLOOKUP(J75,DADOS!$A$3:$B$105,2,FALSE)</f>
        <v>EE-GI-001-031</v>
      </c>
      <c r="L75" s="15" t="s">
        <v>299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0</v>
      </c>
      <c r="W75" s="11" t="s">
        <v>426</v>
      </c>
      <c r="X75" s="12" t="s">
        <v>14</v>
      </c>
      <c r="Y75" s="12" t="s">
        <v>14</v>
      </c>
      <c r="Z75" s="13" t="s">
        <v>270</v>
      </c>
    </row>
    <row r="76" spans="1:26" ht="19.899999999999999" customHeight="1" x14ac:dyDescent="0.25">
      <c r="A76" s="6">
        <v>45936</v>
      </c>
      <c r="B76" s="7" t="s">
        <v>490</v>
      </c>
      <c r="C76" s="8" t="s">
        <v>1370</v>
      </c>
      <c r="D76" s="8" t="s">
        <v>264</v>
      </c>
      <c r="E76" s="8" t="s">
        <v>492</v>
      </c>
      <c r="F76" s="9" t="s">
        <v>497</v>
      </c>
      <c r="G76" s="9" t="s">
        <v>498</v>
      </c>
      <c r="H76" s="9" t="s">
        <v>496</v>
      </c>
      <c r="I76" s="9" t="s">
        <v>97</v>
      </c>
      <c r="J76" s="10" t="s">
        <v>185</v>
      </c>
      <c r="K76" s="15" t="str">
        <f>VLOOKUP(J76,DADOS!$A$3:$B$105,2,FALSE)</f>
        <v>EE-GI-001-031</v>
      </c>
      <c r="L76" s="15" t="s">
        <v>268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0</v>
      </c>
      <c r="W76" s="11" t="s">
        <v>264</v>
      </c>
      <c r="X76" s="12" t="s">
        <v>14</v>
      </c>
      <c r="Y76" s="12" t="s">
        <v>14</v>
      </c>
      <c r="Z76" s="13" t="s">
        <v>270</v>
      </c>
    </row>
    <row r="77" spans="1:26" ht="19.899999999999999" customHeight="1" x14ac:dyDescent="0.25">
      <c r="A77" s="6">
        <v>45936</v>
      </c>
      <c r="B77" s="7" t="s">
        <v>490</v>
      </c>
      <c r="C77" s="8" t="s">
        <v>516</v>
      </c>
      <c r="D77" s="8" t="s">
        <v>517</v>
      </c>
      <c r="E77" s="8" t="s">
        <v>518</v>
      </c>
      <c r="F77" s="9" t="s">
        <v>519</v>
      </c>
      <c r="G77" s="9" t="s">
        <v>520</v>
      </c>
      <c r="H77" s="9" t="s">
        <v>521</v>
      </c>
      <c r="I77" s="9" t="s">
        <v>69</v>
      </c>
      <c r="J77" s="10" t="s">
        <v>185</v>
      </c>
      <c r="K77" s="15" t="str">
        <f>VLOOKUP(J77,DADOS!$A$3:$B$105,2,FALSE)</f>
        <v>EE-GI-001-031</v>
      </c>
      <c r="L77" s="15" t="s">
        <v>299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0</v>
      </c>
      <c r="W77" s="11" t="s">
        <v>517</v>
      </c>
      <c r="X77" s="12" t="s">
        <v>14</v>
      </c>
      <c r="Y77" s="12" t="s">
        <v>14</v>
      </c>
      <c r="Z77" s="13" t="s">
        <v>270</v>
      </c>
    </row>
    <row r="78" spans="1:26" ht="19.899999999999999" customHeight="1" x14ac:dyDescent="0.25">
      <c r="A78" s="6">
        <v>45936</v>
      </c>
      <c r="B78" s="7" t="s">
        <v>499</v>
      </c>
      <c r="C78" s="8" t="s">
        <v>500</v>
      </c>
      <c r="D78" s="8" t="s">
        <v>408</v>
      </c>
      <c r="E78" s="8" t="s">
        <v>501</v>
      </c>
      <c r="F78" s="9" t="s">
        <v>502</v>
      </c>
      <c r="G78" s="9" t="s">
        <v>503</v>
      </c>
      <c r="H78" s="9" t="s">
        <v>504</v>
      </c>
      <c r="I78" s="9" t="s">
        <v>69</v>
      </c>
      <c r="J78" s="10" t="s">
        <v>176</v>
      </c>
      <c r="K78" s="15" t="str">
        <f>VLOOKUP(J78,DADOS!$A$3:$B$105,2,FALSE)</f>
        <v>EE-GI-001-011</v>
      </c>
      <c r="L78" s="15" t="s">
        <v>341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1</v>
      </c>
      <c r="S78" s="17" t="b">
        <v>0</v>
      </c>
      <c r="T78" s="17" t="b">
        <v>0</v>
      </c>
      <c r="U78" s="17" t="b">
        <v>0</v>
      </c>
      <c r="V78" s="17" t="b">
        <v>0</v>
      </c>
      <c r="W78" s="11" t="s">
        <v>408</v>
      </c>
      <c r="X78" s="12" t="s">
        <v>14</v>
      </c>
      <c r="Y78" s="12" t="s">
        <v>14</v>
      </c>
      <c r="Z78" s="13" t="s">
        <v>342</v>
      </c>
    </row>
    <row r="79" spans="1:26" ht="19.899999999999999" customHeight="1" x14ac:dyDescent="0.25">
      <c r="A79" s="6">
        <v>45936</v>
      </c>
      <c r="B79" s="7" t="s">
        <v>499</v>
      </c>
      <c r="C79" s="8" t="s">
        <v>500</v>
      </c>
      <c r="D79" s="8" t="s">
        <v>408</v>
      </c>
      <c r="E79" s="8" t="s">
        <v>505</v>
      </c>
      <c r="F79" s="9" t="s">
        <v>506</v>
      </c>
      <c r="G79" s="9" t="s">
        <v>503</v>
      </c>
      <c r="H79" s="9" t="s">
        <v>504</v>
      </c>
      <c r="I79" s="9" t="s">
        <v>69</v>
      </c>
      <c r="J79" s="10" t="s">
        <v>176</v>
      </c>
      <c r="K79" s="15" t="str">
        <f>VLOOKUP(J79,DADOS!$A$3:$B$105,2,FALSE)</f>
        <v>EE-GI-001-011</v>
      </c>
      <c r="L79" s="15" t="s">
        <v>341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1</v>
      </c>
      <c r="S79" s="17" t="b">
        <v>0</v>
      </c>
      <c r="T79" s="17" t="b">
        <v>0</v>
      </c>
      <c r="U79" s="17" t="b">
        <v>0</v>
      </c>
      <c r="V79" s="17" t="b">
        <v>0</v>
      </c>
      <c r="W79" s="11" t="s">
        <v>408</v>
      </c>
      <c r="X79" s="12" t="s">
        <v>14</v>
      </c>
      <c r="Y79" s="12" t="s">
        <v>14</v>
      </c>
      <c r="Z79" s="13" t="s">
        <v>342</v>
      </c>
    </row>
    <row r="80" spans="1:26" ht="19.899999999999999" customHeight="1" x14ac:dyDescent="0.25">
      <c r="A80" s="6">
        <v>45936</v>
      </c>
      <c r="B80" s="7" t="s">
        <v>334</v>
      </c>
      <c r="C80" s="8" t="s">
        <v>507</v>
      </c>
      <c r="D80" s="8" t="s">
        <v>331</v>
      </c>
      <c r="E80" s="8" t="s">
        <v>508</v>
      </c>
      <c r="F80" s="9" t="s">
        <v>509</v>
      </c>
      <c r="G80" s="9" t="s">
        <v>510</v>
      </c>
      <c r="H80" s="9" t="s">
        <v>340</v>
      </c>
      <c r="I80" s="9" t="s">
        <v>69</v>
      </c>
      <c r="J80" s="10" t="s">
        <v>176</v>
      </c>
      <c r="K80" s="15" t="str">
        <f>VLOOKUP(J80,DADOS!$A$3:$B$105,2,FALSE)</f>
        <v>EE-GI-001-011</v>
      </c>
      <c r="L80" s="15" t="s">
        <v>341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1</v>
      </c>
      <c r="S80" s="17" t="b">
        <v>0</v>
      </c>
      <c r="T80" s="17" t="b">
        <v>0</v>
      </c>
      <c r="U80" s="17" t="b">
        <v>0</v>
      </c>
      <c r="V80" s="17" t="b">
        <v>0</v>
      </c>
      <c r="W80" s="11" t="s">
        <v>331</v>
      </c>
      <c r="X80" s="12" t="s">
        <v>14</v>
      </c>
      <c r="Y80" s="12" t="s">
        <v>14</v>
      </c>
      <c r="Z80" s="13" t="s">
        <v>342</v>
      </c>
    </row>
    <row r="81" spans="1:26" ht="19.5" customHeight="1" x14ac:dyDescent="0.25">
      <c r="A81" s="6">
        <v>45936</v>
      </c>
      <c r="B81" s="7" t="s">
        <v>334</v>
      </c>
      <c r="C81" s="8" t="s">
        <v>778</v>
      </c>
      <c r="D81" s="8" t="s">
        <v>517</v>
      </c>
      <c r="E81" s="8" t="s">
        <v>533</v>
      </c>
      <c r="F81" s="9" t="s">
        <v>779</v>
      </c>
      <c r="G81" s="9" t="s">
        <v>867</v>
      </c>
      <c r="H81" s="9" t="s">
        <v>340</v>
      </c>
      <c r="I81" s="9" t="s">
        <v>66</v>
      </c>
      <c r="J81" s="10" t="s">
        <v>15</v>
      </c>
      <c r="K81" s="15" t="str">
        <f>VLOOKUP(J81,DADOS!$A$3:$B$105,2,FALSE)</f>
        <v>EE-GI-001-002</v>
      </c>
      <c r="L81" s="15" t="s">
        <v>636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517</v>
      </c>
      <c r="X81" s="12" t="s">
        <v>14</v>
      </c>
      <c r="Y81" s="12" t="s">
        <v>14</v>
      </c>
      <c r="Z81" s="13" t="s">
        <v>342</v>
      </c>
    </row>
    <row r="82" spans="1:26" ht="19.5" customHeight="1" x14ac:dyDescent="0.25">
      <c r="A82" s="6">
        <v>45936</v>
      </c>
      <c r="B82" s="7" t="s">
        <v>499</v>
      </c>
      <c r="C82" s="8" t="s">
        <v>511</v>
      </c>
      <c r="D82" s="8" t="s">
        <v>273</v>
      </c>
      <c r="E82" s="8" t="s">
        <v>512</v>
      </c>
      <c r="F82" s="9" t="s">
        <v>513</v>
      </c>
      <c r="G82" s="9" t="s">
        <v>514</v>
      </c>
      <c r="H82" s="9" t="s">
        <v>515</v>
      </c>
      <c r="I82" s="9" t="s">
        <v>69</v>
      </c>
      <c r="J82" s="10" t="s">
        <v>176</v>
      </c>
      <c r="K82" s="15" t="str">
        <f>VLOOKUP(J82,DADOS!$A$3:$B$105,2,FALSE)</f>
        <v>EE-GI-001-011</v>
      </c>
      <c r="L82" s="15" t="s">
        <v>341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1</v>
      </c>
      <c r="S82" s="17" t="b">
        <v>0</v>
      </c>
      <c r="T82" s="17" t="b">
        <v>0</v>
      </c>
      <c r="U82" s="17" t="b">
        <v>0</v>
      </c>
      <c r="V82" s="17" t="b">
        <v>0</v>
      </c>
      <c r="W82" s="11" t="s">
        <v>408</v>
      </c>
      <c r="X82" s="12" t="s">
        <v>264</v>
      </c>
      <c r="Y82" s="12" t="s">
        <v>529</v>
      </c>
      <c r="Z82" s="12" t="s">
        <v>342</v>
      </c>
    </row>
    <row r="83" spans="1:26" ht="19.5" customHeight="1" x14ac:dyDescent="0.25">
      <c r="A83" s="6">
        <v>45936</v>
      </c>
      <c r="B83" s="7" t="s">
        <v>523</v>
      </c>
      <c r="C83" s="8" t="s">
        <v>524</v>
      </c>
      <c r="D83" s="8" t="s">
        <v>402</v>
      </c>
      <c r="E83" s="8" t="s">
        <v>525</v>
      </c>
      <c r="F83" s="9" t="s">
        <v>526</v>
      </c>
      <c r="G83" s="9" t="s">
        <v>527</v>
      </c>
      <c r="H83" s="9" t="s">
        <v>528</v>
      </c>
      <c r="I83" s="9" t="s">
        <v>67</v>
      </c>
      <c r="J83" s="10" t="s">
        <v>186</v>
      </c>
      <c r="K83" s="15" t="str">
        <f>VLOOKUP(J83,DADOS!$A$3:$B$105,2,FALSE)</f>
        <v>EE-GI-001-008</v>
      </c>
      <c r="L83" s="15" t="s">
        <v>341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402</v>
      </c>
      <c r="X83" s="12" t="s">
        <v>14</v>
      </c>
      <c r="Y83" s="12" t="s">
        <v>14</v>
      </c>
      <c r="Z83" s="13" t="s">
        <v>342</v>
      </c>
    </row>
    <row r="84" spans="1:26" ht="19.5" customHeight="1" x14ac:dyDescent="0.25">
      <c r="A84" s="6">
        <v>45936</v>
      </c>
      <c r="B84" s="7" t="s">
        <v>523</v>
      </c>
      <c r="C84" s="8" t="s">
        <v>524</v>
      </c>
      <c r="D84" s="8" t="s">
        <v>402</v>
      </c>
      <c r="E84" s="8" t="s">
        <v>530</v>
      </c>
      <c r="F84" s="9" t="s">
        <v>531</v>
      </c>
      <c r="G84" s="9" t="s">
        <v>527</v>
      </c>
      <c r="H84" s="9" t="s">
        <v>528</v>
      </c>
      <c r="I84" s="9" t="s">
        <v>67</v>
      </c>
      <c r="J84" s="10" t="s">
        <v>186</v>
      </c>
      <c r="K84" s="15" t="str">
        <f>VLOOKUP(J84,DADOS!$A$3:$B$105,2,FALSE)</f>
        <v>EE-GI-001-008</v>
      </c>
      <c r="L84" s="15" t="s">
        <v>341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291</v>
      </c>
      <c r="X84" s="12" t="s">
        <v>14</v>
      </c>
      <c r="Y84" s="12" t="s">
        <v>14</v>
      </c>
      <c r="Z84" s="13" t="s">
        <v>342</v>
      </c>
    </row>
    <row r="85" spans="1:26" ht="19.5" customHeight="1" x14ac:dyDescent="0.25">
      <c r="A85" s="6">
        <v>45936</v>
      </c>
      <c r="B85" s="7" t="s">
        <v>262</v>
      </c>
      <c r="C85" s="8" t="s">
        <v>1087</v>
      </c>
      <c r="D85" s="8" t="s">
        <v>264</v>
      </c>
      <c r="E85" s="8" t="s">
        <v>1088</v>
      </c>
      <c r="F85" s="9" t="s">
        <v>1089</v>
      </c>
      <c r="G85" s="9" t="s">
        <v>1090</v>
      </c>
      <c r="H85" s="9" t="s">
        <v>1091</v>
      </c>
      <c r="I85" s="9" t="s">
        <v>69</v>
      </c>
      <c r="J85" s="10" t="s">
        <v>17</v>
      </c>
      <c r="K85" s="15" t="str">
        <f>VLOOKUP(J85,DADOS!$A$3:$B$105,2,FALSE)</f>
        <v>EE-GI-001-001</v>
      </c>
      <c r="L85" s="15" t="s">
        <v>853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1</v>
      </c>
      <c r="U85" s="17" t="b">
        <v>1</v>
      </c>
      <c r="V85" s="17" t="b">
        <v>1</v>
      </c>
      <c r="W85" s="11" t="s">
        <v>264</v>
      </c>
      <c r="X85" s="12" t="s">
        <v>14</v>
      </c>
      <c r="Y85" s="12" t="s">
        <v>14</v>
      </c>
      <c r="Z85" s="13" t="s">
        <v>854</v>
      </c>
    </row>
    <row r="86" spans="1:26" ht="19.5" customHeight="1" x14ac:dyDescent="0.25">
      <c r="A86" s="6">
        <v>45936</v>
      </c>
      <c r="B86" s="7" t="s">
        <v>262</v>
      </c>
      <c r="C86" s="8" t="s">
        <v>1092</v>
      </c>
      <c r="D86" s="8" t="s">
        <v>273</v>
      </c>
      <c r="E86" s="8" t="s">
        <v>1088</v>
      </c>
      <c r="F86" s="9" t="s">
        <v>1093</v>
      </c>
      <c r="G86" s="9" t="s">
        <v>539</v>
      </c>
      <c r="H86" s="9" t="s">
        <v>1094</v>
      </c>
      <c r="I86" s="9" t="s">
        <v>69</v>
      </c>
      <c r="J86" s="10" t="s">
        <v>17</v>
      </c>
      <c r="K86" s="15" t="str">
        <f>VLOOKUP(J86,DADOS!$A$3:$B$105,2,FALSE)</f>
        <v>EE-GI-001-001</v>
      </c>
      <c r="L86" s="15" t="s">
        <v>853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1</v>
      </c>
      <c r="U86" s="17" t="b">
        <v>1</v>
      </c>
      <c r="V86" s="17" t="b">
        <v>1</v>
      </c>
      <c r="W86" s="11" t="s">
        <v>273</v>
      </c>
      <c r="X86" s="12" t="s">
        <v>14</v>
      </c>
      <c r="Y86" s="12" t="s">
        <v>14</v>
      </c>
      <c r="Z86" s="13" t="s">
        <v>854</v>
      </c>
    </row>
    <row r="87" spans="1:26" ht="19.5" customHeight="1" x14ac:dyDescent="0.25">
      <c r="A87" s="6">
        <v>45936</v>
      </c>
      <c r="B87" s="7" t="s">
        <v>262</v>
      </c>
      <c r="C87" s="8" t="s">
        <v>1095</v>
      </c>
      <c r="D87" s="8" t="s">
        <v>264</v>
      </c>
      <c r="E87" s="8" t="s">
        <v>1088</v>
      </c>
      <c r="F87" s="9" t="s">
        <v>1096</v>
      </c>
      <c r="G87" s="9" t="s">
        <v>1100</v>
      </c>
      <c r="H87" s="9" t="s">
        <v>1098</v>
      </c>
      <c r="I87" s="9" t="s">
        <v>69</v>
      </c>
      <c r="J87" s="10" t="s">
        <v>17</v>
      </c>
      <c r="K87" s="15" t="str">
        <f>VLOOKUP(J87,DADOS!$A$3:$B$105,2,FALSE)</f>
        <v>EE-GI-001-001</v>
      </c>
      <c r="L87" s="15" t="s">
        <v>853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1</v>
      </c>
      <c r="U87" s="17" t="b">
        <v>1</v>
      </c>
      <c r="V87" s="17" t="b">
        <v>1</v>
      </c>
      <c r="W87" s="11" t="s">
        <v>264</v>
      </c>
      <c r="X87" s="12" t="s">
        <v>14</v>
      </c>
      <c r="Y87" s="12" t="s">
        <v>14</v>
      </c>
      <c r="Z87" s="13" t="s">
        <v>854</v>
      </c>
    </row>
    <row r="88" spans="1:26" ht="19.5" customHeight="1" x14ac:dyDescent="0.25">
      <c r="A88" s="6">
        <v>45936</v>
      </c>
      <c r="B88" s="7" t="s">
        <v>262</v>
      </c>
      <c r="C88" s="8" t="s">
        <v>1095</v>
      </c>
      <c r="D88" s="8" t="s">
        <v>264</v>
      </c>
      <c r="E88" s="8" t="s">
        <v>1088</v>
      </c>
      <c r="F88" s="9" t="s">
        <v>1097</v>
      </c>
      <c r="G88" s="9" t="s">
        <v>1100</v>
      </c>
      <c r="H88" s="9" t="s">
        <v>1098</v>
      </c>
      <c r="I88" s="9" t="s">
        <v>69</v>
      </c>
      <c r="J88" s="10" t="s">
        <v>17</v>
      </c>
      <c r="K88" s="15" t="str">
        <f>VLOOKUP(J88,DADOS!$A$3:$B$105,2,FALSE)</f>
        <v>EE-GI-001-001</v>
      </c>
      <c r="L88" s="15" t="s">
        <v>853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1</v>
      </c>
      <c r="U88" s="17" t="b">
        <v>1</v>
      </c>
      <c r="V88" s="17" t="b">
        <v>1</v>
      </c>
      <c r="W88" s="11" t="s">
        <v>264</v>
      </c>
      <c r="X88" s="12" t="s">
        <v>14</v>
      </c>
      <c r="Y88" s="12" t="s">
        <v>14</v>
      </c>
      <c r="Z88" s="13" t="s">
        <v>854</v>
      </c>
    </row>
    <row r="89" spans="1:26" ht="19.899999999999999" customHeight="1" x14ac:dyDescent="0.25">
      <c r="A89" s="6">
        <v>45936</v>
      </c>
      <c r="B89" s="7" t="s">
        <v>262</v>
      </c>
      <c r="C89" s="8" t="s">
        <v>1101</v>
      </c>
      <c r="D89" s="8" t="s">
        <v>331</v>
      </c>
      <c r="E89" s="8" t="s">
        <v>1088</v>
      </c>
      <c r="F89" s="9" t="s">
        <v>1102</v>
      </c>
      <c r="G89" s="9" t="s">
        <v>1103</v>
      </c>
      <c r="H89" s="9" t="s">
        <v>1099</v>
      </c>
      <c r="I89" s="9" t="s">
        <v>65</v>
      </c>
      <c r="J89" s="10" t="s">
        <v>17</v>
      </c>
      <c r="K89" s="15" t="str">
        <f>VLOOKUP(J89,DADOS!$A$3:$B$105,2,FALSE)</f>
        <v>EE-GI-001-001</v>
      </c>
      <c r="L89" s="15" t="s">
        <v>853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1</v>
      </c>
      <c r="U89" s="17" t="b">
        <v>1</v>
      </c>
      <c r="V89" s="17" t="b">
        <v>1</v>
      </c>
      <c r="W89" s="11" t="s">
        <v>331</v>
      </c>
      <c r="X89" s="12" t="s">
        <v>14</v>
      </c>
      <c r="Y89" s="12" t="s">
        <v>14</v>
      </c>
      <c r="Z89" s="13" t="s">
        <v>854</v>
      </c>
    </row>
    <row r="90" spans="1:26" ht="19.899999999999999" customHeight="1" x14ac:dyDescent="0.25">
      <c r="A90" s="6">
        <v>45936</v>
      </c>
      <c r="B90" s="7" t="s">
        <v>1181</v>
      </c>
      <c r="C90" s="8" t="s">
        <v>1800</v>
      </c>
      <c r="D90" s="8" t="s">
        <v>308</v>
      </c>
      <c r="E90" s="8" t="s">
        <v>1801</v>
      </c>
      <c r="F90" s="9" t="s">
        <v>1802</v>
      </c>
      <c r="G90" s="9" t="s">
        <v>1803</v>
      </c>
      <c r="H90" s="9" t="s">
        <v>1803</v>
      </c>
      <c r="I90" s="9" t="s">
        <v>69</v>
      </c>
      <c r="J90" s="10" t="s">
        <v>24</v>
      </c>
      <c r="K90" s="15" t="str">
        <f>VLOOKUP(J90,DADOS!$A$3:$B$105,2,FALSE)</f>
        <v>EE-GI-021-005</v>
      </c>
      <c r="L90" s="15" t="s">
        <v>268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308</v>
      </c>
      <c r="X90" s="12" t="s">
        <v>14</v>
      </c>
      <c r="Y90" s="12" t="s">
        <v>14</v>
      </c>
      <c r="Z90" s="13" t="s">
        <v>270</v>
      </c>
    </row>
    <row r="91" spans="1:26" ht="19.899999999999999" customHeight="1" x14ac:dyDescent="0.25">
      <c r="A91" s="6">
        <v>45936</v>
      </c>
      <c r="B91" s="7" t="s">
        <v>1181</v>
      </c>
      <c r="C91" s="8" t="s">
        <v>1851</v>
      </c>
      <c r="D91" s="8" t="s">
        <v>408</v>
      </c>
      <c r="E91" s="8" t="s">
        <v>1862</v>
      </c>
      <c r="F91" s="9" t="s">
        <v>1863</v>
      </c>
      <c r="G91" s="9" t="s">
        <v>1864</v>
      </c>
      <c r="H91" s="9" t="s">
        <v>1864</v>
      </c>
      <c r="I91" s="9" t="s">
        <v>69</v>
      </c>
      <c r="J91" s="10" t="s">
        <v>250</v>
      </c>
      <c r="K91" s="15" t="str">
        <f>VLOOKUP(J91,DADOS!$A$3:$B$105,2,FALSE)</f>
        <v>EE-GI-001-028</v>
      </c>
      <c r="L91" s="15" t="s">
        <v>299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408</v>
      </c>
      <c r="X91" s="12" t="s">
        <v>14</v>
      </c>
      <c r="Y91" s="12" t="s">
        <v>14</v>
      </c>
      <c r="Z91" s="13" t="s">
        <v>270</v>
      </c>
    </row>
    <row r="92" spans="1:26" ht="19.899999999999999" customHeight="1" x14ac:dyDescent="0.25">
      <c r="A92" s="6">
        <v>45936</v>
      </c>
      <c r="B92" s="7" t="s">
        <v>1181</v>
      </c>
      <c r="C92" s="8" t="s">
        <v>1865</v>
      </c>
      <c r="D92" s="8" t="s">
        <v>331</v>
      </c>
      <c r="E92" s="8" t="s">
        <v>1801</v>
      </c>
      <c r="F92" s="9" t="s">
        <v>1866</v>
      </c>
      <c r="G92" s="9" t="s">
        <v>1867</v>
      </c>
      <c r="H92" s="9" t="s">
        <v>1867</v>
      </c>
      <c r="I92" s="9" t="s">
        <v>69</v>
      </c>
      <c r="J92" s="10" t="s">
        <v>250</v>
      </c>
      <c r="K92" s="15" t="str">
        <f>VLOOKUP(J92,DADOS!$A$3:$B$105,2,FALSE)</f>
        <v>EE-GI-001-028</v>
      </c>
      <c r="L92" s="15" t="s">
        <v>268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331</v>
      </c>
      <c r="X92" s="12" t="s">
        <v>14</v>
      </c>
      <c r="Y92" s="12" t="s">
        <v>14</v>
      </c>
      <c r="Z92" s="13" t="s">
        <v>270</v>
      </c>
    </row>
    <row r="93" spans="1:26" ht="19.899999999999999" customHeight="1" x14ac:dyDescent="0.25">
      <c r="A93" s="6">
        <v>45936</v>
      </c>
      <c r="B93" s="7" t="s">
        <v>1181</v>
      </c>
      <c r="C93" s="8" t="s">
        <v>1868</v>
      </c>
      <c r="D93" s="8" t="s">
        <v>273</v>
      </c>
      <c r="E93" s="8" t="s">
        <v>1801</v>
      </c>
      <c r="F93" s="9" t="s">
        <v>1869</v>
      </c>
      <c r="G93" s="9" t="s">
        <v>1870</v>
      </c>
      <c r="H93" s="9" t="s">
        <v>1870</v>
      </c>
      <c r="I93" s="9" t="s">
        <v>69</v>
      </c>
      <c r="J93" s="10" t="s">
        <v>250</v>
      </c>
      <c r="K93" s="15" t="str">
        <f>VLOOKUP(J93,DADOS!$A$3:$B$105,2,FALSE)</f>
        <v>EE-GI-001-028</v>
      </c>
      <c r="L93" s="15" t="s">
        <v>299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273</v>
      </c>
      <c r="X93" s="12" t="s">
        <v>14</v>
      </c>
      <c r="Y93" s="12" t="s">
        <v>14</v>
      </c>
      <c r="Z93" s="13" t="s">
        <v>270</v>
      </c>
    </row>
    <row r="94" spans="1:26" ht="19.899999999999999" customHeight="1" x14ac:dyDescent="0.25">
      <c r="A94" s="6">
        <v>45936</v>
      </c>
      <c r="B94" s="7" t="s">
        <v>1181</v>
      </c>
      <c r="C94" s="8" t="s">
        <v>1851</v>
      </c>
      <c r="D94" s="8" t="s">
        <v>881</v>
      </c>
      <c r="E94" s="8" t="s">
        <v>1801</v>
      </c>
      <c r="F94" s="9" t="s">
        <v>1871</v>
      </c>
      <c r="G94" s="9" t="s">
        <v>1872</v>
      </c>
      <c r="H94" s="9" t="s">
        <v>1872</v>
      </c>
      <c r="I94" s="9" t="s">
        <v>69</v>
      </c>
      <c r="J94" s="10" t="s">
        <v>250</v>
      </c>
      <c r="K94" s="15" t="str">
        <f>VLOOKUP(J94,DADOS!$A$3:$B$105,2,FALSE)</f>
        <v>EE-GI-001-028</v>
      </c>
      <c r="L94" s="15" t="s">
        <v>299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0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881</v>
      </c>
      <c r="X94" s="12" t="s">
        <v>14</v>
      </c>
      <c r="Y94" s="12" t="s">
        <v>14</v>
      </c>
      <c r="Z94" s="13" t="s">
        <v>270</v>
      </c>
    </row>
    <row r="95" spans="1:26" ht="19.899999999999999" customHeight="1" x14ac:dyDescent="0.25">
      <c r="A95" s="6">
        <v>45936</v>
      </c>
      <c r="B95" s="7" t="s">
        <v>262</v>
      </c>
      <c r="C95" s="8" t="s">
        <v>1950</v>
      </c>
      <c r="D95" s="8" t="s">
        <v>264</v>
      </c>
      <c r="E95" s="8" t="s">
        <v>1088</v>
      </c>
      <c r="F95" s="9" t="s">
        <v>1096</v>
      </c>
      <c r="G95" s="9" t="s">
        <v>1100</v>
      </c>
      <c r="H95" s="9" t="s">
        <v>1098</v>
      </c>
      <c r="I95" s="9" t="s">
        <v>69</v>
      </c>
      <c r="J95" s="10" t="s">
        <v>17</v>
      </c>
      <c r="K95" s="15" t="str">
        <f>VLOOKUP(J95,DADOS!$A$3:$B$105,2,FALSE)</f>
        <v>EE-GI-001-001</v>
      </c>
      <c r="L95" s="15" t="s">
        <v>853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0</v>
      </c>
      <c r="S95" s="17" t="b">
        <v>0</v>
      </c>
      <c r="T95" s="17" t="b">
        <v>1</v>
      </c>
      <c r="U95" s="17" t="b">
        <v>1</v>
      </c>
      <c r="V95" s="17" t="b">
        <v>1</v>
      </c>
      <c r="W95" s="11" t="s">
        <v>264</v>
      </c>
      <c r="X95" s="12" t="s">
        <v>14</v>
      </c>
      <c r="Y95" s="12" t="s">
        <v>14</v>
      </c>
      <c r="Z95" s="13" t="s">
        <v>854</v>
      </c>
    </row>
    <row r="96" spans="1:26" ht="19.899999999999999" customHeight="1" x14ac:dyDescent="0.25">
      <c r="A96" s="6">
        <v>45936</v>
      </c>
      <c r="B96" s="7" t="s">
        <v>262</v>
      </c>
      <c r="C96" s="8" t="s">
        <v>1950</v>
      </c>
      <c r="D96" s="8" t="s">
        <v>264</v>
      </c>
      <c r="E96" s="8" t="s">
        <v>1088</v>
      </c>
      <c r="F96" s="9" t="s">
        <v>1097</v>
      </c>
      <c r="G96" s="9" t="s">
        <v>1100</v>
      </c>
      <c r="H96" s="9" t="s">
        <v>1098</v>
      </c>
      <c r="I96" s="9" t="s">
        <v>69</v>
      </c>
      <c r="J96" s="10" t="s">
        <v>17</v>
      </c>
      <c r="K96" s="15" t="str">
        <f>VLOOKUP(J96,DADOS!$A$3:$B$105,2,FALSE)</f>
        <v>EE-GI-001-001</v>
      </c>
      <c r="L96" s="15" t="s">
        <v>853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0</v>
      </c>
      <c r="S96" s="17" t="b">
        <v>0</v>
      </c>
      <c r="T96" s="17" t="b">
        <v>1</v>
      </c>
      <c r="U96" s="17" t="b">
        <v>1</v>
      </c>
      <c r="V96" s="17" t="b">
        <v>1</v>
      </c>
      <c r="W96" s="11" t="s">
        <v>264</v>
      </c>
      <c r="X96" s="12" t="s">
        <v>14</v>
      </c>
      <c r="Y96" s="12" t="s">
        <v>14</v>
      </c>
      <c r="Z96" s="13" t="s">
        <v>854</v>
      </c>
    </row>
    <row r="97" spans="1:26" ht="19.899999999999999" customHeight="1" x14ac:dyDescent="0.25">
      <c r="A97" s="6">
        <v>45936</v>
      </c>
      <c r="B97" s="7" t="s">
        <v>262</v>
      </c>
      <c r="C97" s="8" t="s">
        <v>1092</v>
      </c>
      <c r="D97" s="8" t="s">
        <v>273</v>
      </c>
      <c r="E97" s="8" t="s">
        <v>1088</v>
      </c>
      <c r="F97" s="9" t="s">
        <v>1093</v>
      </c>
      <c r="G97" s="9" t="s">
        <v>539</v>
      </c>
      <c r="H97" s="9" t="s">
        <v>1094</v>
      </c>
      <c r="I97" s="9" t="s">
        <v>69</v>
      </c>
      <c r="J97" s="10" t="s">
        <v>17</v>
      </c>
      <c r="K97" s="15" t="str">
        <f>VLOOKUP(J97,DADOS!$A$3:$B$105,2,FALSE)</f>
        <v>EE-GI-001-001</v>
      </c>
      <c r="L97" s="15" t="s">
        <v>853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1</v>
      </c>
      <c r="U97" s="17" t="b">
        <v>1</v>
      </c>
      <c r="V97" s="17" t="b">
        <v>1</v>
      </c>
      <c r="W97" s="11" t="s">
        <v>273</v>
      </c>
      <c r="X97" s="12" t="s">
        <v>14</v>
      </c>
      <c r="Y97" s="12" t="s">
        <v>14</v>
      </c>
      <c r="Z97" s="13" t="s">
        <v>854</v>
      </c>
    </row>
    <row r="98" spans="1:26" ht="19.899999999999999" customHeight="1" x14ac:dyDescent="0.25">
      <c r="A98" s="6">
        <v>45936</v>
      </c>
      <c r="B98" s="7" t="s">
        <v>262</v>
      </c>
      <c r="C98" s="8" t="s">
        <v>1951</v>
      </c>
      <c r="D98" s="8" t="s">
        <v>331</v>
      </c>
      <c r="E98" s="8" t="s">
        <v>1527</v>
      </c>
      <c r="F98" s="9" t="s">
        <v>1952</v>
      </c>
      <c r="G98" s="9" t="s">
        <v>1090</v>
      </c>
      <c r="H98" s="9" t="s">
        <v>1953</v>
      </c>
      <c r="I98" s="9" t="s">
        <v>69</v>
      </c>
      <c r="J98" s="10" t="s">
        <v>17</v>
      </c>
      <c r="K98" s="15" t="str">
        <f>VLOOKUP(J98,DADOS!$A$3:$B$105,2,FALSE)</f>
        <v>EE-GI-001-001</v>
      </c>
      <c r="L98" s="15" t="s">
        <v>853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0</v>
      </c>
      <c r="S98" s="17" t="b">
        <v>0</v>
      </c>
      <c r="T98" s="17" t="b">
        <v>1</v>
      </c>
      <c r="U98" s="17" t="b">
        <v>1</v>
      </c>
      <c r="V98" s="17" t="b">
        <v>1</v>
      </c>
      <c r="W98" s="11" t="s">
        <v>331</v>
      </c>
      <c r="X98" s="12" t="s">
        <v>14</v>
      </c>
      <c r="Y98" s="12" t="s">
        <v>14</v>
      </c>
      <c r="Z98" s="13" t="s">
        <v>854</v>
      </c>
    </row>
    <row r="99" spans="1:26" ht="19.899999999999999" customHeight="1" x14ac:dyDescent="0.25">
      <c r="A99" s="6">
        <v>45936</v>
      </c>
      <c r="B99" s="7" t="s">
        <v>262</v>
      </c>
      <c r="C99" s="8" t="s">
        <v>1954</v>
      </c>
      <c r="D99" s="8" t="s">
        <v>331</v>
      </c>
      <c r="E99" s="8" t="s">
        <v>1088</v>
      </c>
      <c r="F99" s="9" t="s">
        <v>1102</v>
      </c>
      <c r="G99" s="9" t="s">
        <v>1956</v>
      </c>
      <c r="H99" s="9" t="s">
        <v>1955</v>
      </c>
      <c r="I99" s="9" t="s">
        <v>65</v>
      </c>
      <c r="J99" s="10" t="s">
        <v>17</v>
      </c>
      <c r="K99" s="15" t="str">
        <f>VLOOKUP(J99,DADOS!$A$3:$B$105,2,FALSE)</f>
        <v>EE-GI-001-001</v>
      </c>
      <c r="L99" s="15" t="s">
        <v>853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1</v>
      </c>
      <c r="U99" s="17" t="b">
        <v>1</v>
      </c>
      <c r="V99" s="17" t="b">
        <v>1</v>
      </c>
      <c r="W99" s="11" t="s">
        <v>331</v>
      </c>
      <c r="X99" s="12" t="s">
        <v>14</v>
      </c>
      <c r="Y99" s="12" t="s">
        <v>14</v>
      </c>
      <c r="Z99" s="13" t="s">
        <v>854</v>
      </c>
    </row>
    <row r="100" spans="1:26" ht="19.899999999999999" customHeight="1" x14ac:dyDescent="0.25">
      <c r="A100" s="6">
        <v>45936</v>
      </c>
      <c r="B100" s="7" t="s">
        <v>262</v>
      </c>
      <c r="C100" s="8" t="s">
        <v>1087</v>
      </c>
      <c r="D100" s="8" t="s">
        <v>264</v>
      </c>
      <c r="E100" s="8" t="s">
        <v>1088</v>
      </c>
      <c r="F100" s="9" t="s">
        <v>1089</v>
      </c>
      <c r="G100" s="9" t="s">
        <v>1090</v>
      </c>
      <c r="H100" s="9" t="s">
        <v>1091</v>
      </c>
      <c r="I100" s="9" t="s">
        <v>69</v>
      </c>
      <c r="J100" s="10" t="s">
        <v>17</v>
      </c>
      <c r="K100" s="15" t="str">
        <f>VLOOKUP(J100,DADOS!$A$3:$B$105,2,FALSE)</f>
        <v>EE-GI-001-001</v>
      </c>
      <c r="L100" s="15" t="s">
        <v>853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1</v>
      </c>
      <c r="U100" s="17" t="b">
        <v>1</v>
      </c>
      <c r="V100" s="17" t="b">
        <v>1</v>
      </c>
      <c r="W100" s="11" t="s">
        <v>264</v>
      </c>
      <c r="X100" s="12" t="s">
        <v>14</v>
      </c>
      <c r="Y100" s="12" t="s">
        <v>14</v>
      </c>
      <c r="Z100" s="13" t="s">
        <v>854</v>
      </c>
    </row>
    <row r="101" spans="1:26" ht="19.899999999999999" customHeight="1" x14ac:dyDescent="0.25">
      <c r="A101" s="6">
        <v>45936</v>
      </c>
      <c r="B101" s="7" t="s">
        <v>262</v>
      </c>
      <c r="C101" s="8" t="s">
        <v>2025</v>
      </c>
      <c r="D101" s="8" t="s">
        <v>273</v>
      </c>
      <c r="E101" s="8" t="s">
        <v>568</v>
      </c>
      <c r="F101" s="9" t="s">
        <v>2026</v>
      </c>
      <c r="G101" s="9" t="s">
        <v>2027</v>
      </c>
      <c r="H101" s="9" t="s">
        <v>2028</v>
      </c>
      <c r="I101" s="9" t="s">
        <v>97</v>
      </c>
      <c r="J101" s="10" t="s">
        <v>210</v>
      </c>
      <c r="K101" s="15" t="str">
        <f>VLOOKUP(J101,DADOS!$A$3:$B$105,2,FALSE)</f>
        <v>EE-GI-021-008</v>
      </c>
      <c r="L101" s="15" t="s">
        <v>853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1</v>
      </c>
      <c r="U101" s="17" t="b">
        <v>1</v>
      </c>
      <c r="V101" s="17" t="b">
        <v>1</v>
      </c>
      <c r="W101" s="11" t="s">
        <v>273</v>
      </c>
      <c r="X101" s="12" t="s">
        <v>14</v>
      </c>
      <c r="Y101" s="12" t="s">
        <v>14</v>
      </c>
      <c r="Z101" s="13" t="s">
        <v>854</v>
      </c>
    </row>
    <row r="102" spans="1:26" ht="19.899999999999999" customHeight="1" x14ac:dyDescent="0.25">
      <c r="A102" s="6">
        <v>45937</v>
      </c>
      <c r="B102" s="7" t="s">
        <v>490</v>
      </c>
      <c r="C102" s="8" t="s">
        <v>1001</v>
      </c>
      <c r="D102" s="8" t="s">
        <v>331</v>
      </c>
      <c r="E102" s="8" t="s">
        <v>1003</v>
      </c>
      <c r="F102" s="8" t="s">
        <v>1002</v>
      </c>
      <c r="G102" s="9" t="s">
        <v>1006</v>
      </c>
      <c r="H102" s="9" t="s">
        <v>1007</v>
      </c>
      <c r="I102" s="9" t="s">
        <v>97</v>
      </c>
      <c r="J102" s="10" t="s">
        <v>185</v>
      </c>
      <c r="K102" s="15" t="str">
        <f>VLOOKUP(J102,DADOS!$A$3:$B$105,2,FALSE)</f>
        <v>EE-GI-001-031</v>
      </c>
      <c r="L102" s="15" t="s">
        <v>268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0</v>
      </c>
      <c r="W102" s="11" t="s">
        <v>331</v>
      </c>
      <c r="X102" s="12" t="s">
        <v>14</v>
      </c>
      <c r="Y102" s="12" t="s">
        <v>14</v>
      </c>
      <c r="Z102" s="13" t="s">
        <v>270</v>
      </c>
    </row>
    <row r="103" spans="1:26" ht="19.899999999999999" customHeight="1" x14ac:dyDescent="0.25">
      <c r="A103" s="6">
        <v>45937</v>
      </c>
      <c r="B103" s="7" t="s">
        <v>490</v>
      </c>
      <c r="C103" s="8" t="s">
        <v>1370</v>
      </c>
      <c r="D103" s="8" t="s">
        <v>264</v>
      </c>
      <c r="E103" s="8" t="s">
        <v>1004</v>
      </c>
      <c r="F103" s="9" t="s">
        <v>1005</v>
      </c>
      <c r="G103" s="9" t="s">
        <v>1008</v>
      </c>
      <c r="H103" s="9" t="s">
        <v>1009</v>
      </c>
      <c r="I103" s="9" t="s">
        <v>97</v>
      </c>
      <c r="J103" s="10" t="s">
        <v>185</v>
      </c>
      <c r="K103" s="15" t="str">
        <f>VLOOKUP(J103,DADOS!$A$3:$B$105,2,FALSE)</f>
        <v>EE-GI-001-031</v>
      </c>
      <c r="L103" s="15" t="s">
        <v>268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1" t="s">
        <v>264</v>
      </c>
      <c r="X103" s="12" t="s">
        <v>14</v>
      </c>
      <c r="Y103" s="12" t="s">
        <v>14</v>
      </c>
      <c r="Z103" s="13" t="s">
        <v>270</v>
      </c>
    </row>
    <row r="104" spans="1:26" ht="19.899999999999999" customHeight="1" x14ac:dyDescent="0.25">
      <c r="A104" s="6">
        <v>45937</v>
      </c>
      <c r="B104" s="7" t="s">
        <v>490</v>
      </c>
      <c r="C104" s="8" t="s">
        <v>1013</v>
      </c>
      <c r="D104" s="8" t="s">
        <v>308</v>
      </c>
      <c r="E104" s="8" t="s">
        <v>1004</v>
      </c>
      <c r="F104" s="9" t="s">
        <v>1014</v>
      </c>
      <c r="G104" s="9" t="s">
        <v>1015</v>
      </c>
      <c r="H104" s="9" t="s">
        <v>1016</v>
      </c>
      <c r="I104" s="9" t="s">
        <v>97</v>
      </c>
      <c r="J104" s="10" t="s">
        <v>185</v>
      </c>
      <c r="K104" s="15" t="str">
        <f>VLOOKUP(J104,DADOS!$A$3:$B$105,2,FALSE)</f>
        <v>EE-GI-001-031</v>
      </c>
      <c r="L104" s="15" t="s">
        <v>268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1" t="s">
        <v>308</v>
      </c>
      <c r="X104" s="12" t="s">
        <v>14</v>
      </c>
      <c r="Y104" s="12" t="s">
        <v>14</v>
      </c>
      <c r="Z104" s="13" t="s">
        <v>270</v>
      </c>
    </row>
    <row r="105" spans="1:26" ht="19.899999999999999" customHeight="1" x14ac:dyDescent="0.25">
      <c r="A105" s="6">
        <v>45937</v>
      </c>
      <c r="B105" s="7" t="s">
        <v>490</v>
      </c>
      <c r="C105" s="8" t="s">
        <v>1017</v>
      </c>
      <c r="D105" s="8" t="s">
        <v>264</v>
      </c>
      <c r="E105" s="8" t="s">
        <v>1003</v>
      </c>
      <c r="F105" s="9" t="s">
        <v>1018</v>
      </c>
      <c r="G105" s="9" t="s">
        <v>1019</v>
      </c>
      <c r="H105" s="9" t="s">
        <v>1020</v>
      </c>
      <c r="I105" s="9" t="s">
        <v>97</v>
      </c>
      <c r="J105" s="10" t="s">
        <v>185</v>
      </c>
      <c r="K105" s="15" t="str">
        <f>VLOOKUP(J105,DADOS!$A$3:$B$105,2,FALSE)</f>
        <v>EE-GI-001-031</v>
      </c>
      <c r="L105" s="15" t="s">
        <v>299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0</v>
      </c>
      <c r="W105" s="11" t="s">
        <v>264</v>
      </c>
      <c r="X105" s="12" t="s">
        <v>14</v>
      </c>
      <c r="Y105" s="12" t="s">
        <v>14</v>
      </c>
      <c r="Z105" s="13" t="s">
        <v>270</v>
      </c>
    </row>
    <row r="106" spans="1:26" ht="19.899999999999999" customHeight="1" x14ac:dyDescent="0.25">
      <c r="A106" s="6">
        <v>45937</v>
      </c>
      <c r="B106" s="7" t="s">
        <v>334</v>
      </c>
      <c r="C106" s="8" t="s">
        <v>532</v>
      </c>
      <c r="D106" s="8" t="s">
        <v>273</v>
      </c>
      <c r="E106" s="8" t="s">
        <v>533</v>
      </c>
      <c r="F106" s="9" t="s">
        <v>534</v>
      </c>
      <c r="G106" s="9" t="s">
        <v>535</v>
      </c>
      <c r="H106" s="9" t="s">
        <v>340</v>
      </c>
      <c r="I106" s="9" t="s">
        <v>66</v>
      </c>
      <c r="J106" s="10" t="s">
        <v>186</v>
      </c>
      <c r="K106" s="15" t="str">
        <f>VLOOKUP(J106,DADOS!$A$3:$B$105,2,FALSE)</f>
        <v>EE-GI-001-008</v>
      </c>
      <c r="L106" s="15" t="s">
        <v>536</v>
      </c>
      <c r="M106" s="18" t="b">
        <v>0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0</v>
      </c>
      <c r="W106" s="11" t="s">
        <v>273</v>
      </c>
      <c r="X106" s="12" t="s">
        <v>14</v>
      </c>
      <c r="Y106" s="12" t="s">
        <v>14</v>
      </c>
      <c r="Z106" s="13" t="s">
        <v>342</v>
      </c>
    </row>
    <row r="107" spans="1:26" ht="19.899999999999999" customHeight="1" x14ac:dyDescent="0.25">
      <c r="A107" s="6">
        <v>45937</v>
      </c>
      <c r="B107" s="7" t="s">
        <v>334</v>
      </c>
      <c r="C107" s="8" t="s">
        <v>537</v>
      </c>
      <c r="D107" s="8" t="s">
        <v>264</v>
      </c>
      <c r="E107" s="8" t="s">
        <v>533</v>
      </c>
      <c r="F107" s="9" t="s">
        <v>538</v>
      </c>
      <c r="G107" s="9" t="s">
        <v>539</v>
      </c>
      <c r="H107" s="9" t="s">
        <v>340</v>
      </c>
      <c r="I107" s="9" t="s">
        <v>66</v>
      </c>
      <c r="J107" s="10" t="s">
        <v>17</v>
      </c>
      <c r="K107" s="15" t="str">
        <f>VLOOKUP(J107,DADOS!$A$3:$B$105,2,FALSE)</f>
        <v>EE-GI-001-001</v>
      </c>
      <c r="L107" s="15" t="s">
        <v>341</v>
      </c>
      <c r="M107" s="18" t="b">
        <v>0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0</v>
      </c>
      <c r="W107" s="11" t="s">
        <v>264</v>
      </c>
      <c r="X107" s="12" t="s">
        <v>14</v>
      </c>
      <c r="Y107" s="12" t="s">
        <v>14</v>
      </c>
      <c r="Z107" s="13" t="s">
        <v>342</v>
      </c>
    </row>
    <row r="108" spans="1:26" ht="19.899999999999999" customHeight="1" x14ac:dyDescent="0.25">
      <c r="A108" s="6">
        <v>45937</v>
      </c>
      <c r="B108" s="7" t="s">
        <v>334</v>
      </c>
      <c r="C108" s="8" t="s">
        <v>540</v>
      </c>
      <c r="D108" s="8" t="s">
        <v>402</v>
      </c>
      <c r="E108" s="8" t="s">
        <v>533</v>
      </c>
      <c r="F108" s="9" t="s">
        <v>541</v>
      </c>
      <c r="G108" s="9" t="s">
        <v>539</v>
      </c>
      <c r="H108" s="9" t="s">
        <v>340</v>
      </c>
      <c r="I108" s="9" t="s">
        <v>66</v>
      </c>
      <c r="J108" s="10" t="s">
        <v>17</v>
      </c>
      <c r="K108" s="15" t="str">
        <f>VLOOKUP(J108,DADOS!$A$3:$B$105,2,FALSE)</f>
        <v>EE-GI-001-001</v>
      </c>
      <c r="L108" s="15" t="s">
        <v>341</v>
      </c>
      <c r="M108" s="18" t="b">
        <v>0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402</v>
      </c>
      <c r="X108" s="12" t="s">
        <v>14</v>
      </c>
      <c r="Y108" s="12" t="s">
        <v>14</v>
      </c>
      <c r="Z108" s="13" t="s">
        <v>342</v>
      </c>
    </row>
    <row r="109" spans="1:26" ht="19.899999999999999" customHeight="1" x14ac:dyDescent="0.25">
      <c r="A109" s="6">
        <v>45937</v>
      </c>
      <c r="B109" s="7" t="s">
        <v>334</v>
      </c>
      <c r="C109" s="8" t="s">
        <v>542</v>
      </c>
      <c r="D109" s="8" t="s">
        <v>264</v>
      </c>
      <c r="E109" s="8" t="s">
        <v>533</v>
      </c>
      <c r="F109" s="9" t="s">
        <v>543</v>
      </c>
      <c r="G109" s="9" t="s">
        <v>544</v>
      </c>
      <c r="H109" s="9" t="s">
        <v>340</v>
      </c>
      <c r="I109" s="9" t="s">
        <v>67</v>
      </c>
      <c r="J109" s="10" t="s">
        <v>15</v>
      </c>
      <c r="K109" s="15" t="str">
        <f>VLOOKUP(J109,DADOS!$A$3:$B$105,2,FALSE)</f>
        <v>EE-GI-001-002</v>
      </c>
      <c r="L109" s="15" t="s">
        <v>341</v>
      </c>
      <c r="M109" s="18" t="b">
        <v>0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1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545</v>
      </c>
      <c r="X109" s="12" t="s">
        <v>264</v>
      </c>
      <c r="Y109" s="12" t="s">
        <v>546</v>
      </c>
      <c r="Z109" s="12" t="s">
        <v>342</v>
      </c>
    </row>
    <row r="110" spans="1:26" ht="19.899999999999999" customHeight="1" x14ac:dyDescent="0.25">
      <c r="A110" s="6">
        <v>45937</v>
      </c>
      <c r="B110" s="7" t="s">
        <v>334</v>
      </c>
      <c r="C110" s="8" t="s">
        <v>547</v>
      </c>
      <c r="D110" s="8" t="s">
        <v>264</v>
      </c>
      <c r="E110" s="8" t="s">
        <v>533</v>
      </c>
      <c r="F110" s="9" t="s">
        <v>548</v>
      </c>
      <c r="G110" s="9" t="s">
        <v>550</v>
      </c>
      <c r="H110" s="9" t="s">
        <v>340</v>
      </c>
      <c r="I110" s="9" t="s">
        <v>67</v>
      </c>
      <c r="J110" s="10" t="s">
        <v>186</v>
      </c>
      <c r="K110" s="15" t="str">
        <f>VLOOKUP(J110,DADOS!$A$3:$B$105,2,FALSE)</f>
        <v>EE-GI-001-008</v>
      </c>
      <c r="L110" s="15" t="s">
        <v>341</v>
      </c>
      <c r="M110" s="18" t="b">
        <v>0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0</v>
      </c>
      <c r="U110" s="17" t="b">
        <v>0</v>
      </c>
      <c r="V110" s="17" t="b">
        <v>0</v>
      </c>
      <c r="W110" s="11" t="s">
        <v>264</v>
      </c>
      <c r="X110" s="12" t="s">
        <v>14</v>
      </c>
      <c r="Y110" s="12" t="s">
        <v>14</v>
      </c>
      <c r="Z110" s="13" t="s">
        <v>342</v>
      </c>
    </row>
    <row r="111" spans="1:26" ht="19.5" customHeight="1" x14ac:dyDescent="0.25">
      <c r="A111" s="6">
        <v>45937</v>
      </c>
      <c r="B111" s="7" t="s">
        <v>334</v>
      </c>
      <c r="C111" s="8" t="s">
        <v>547</v>
      </c>
      <c r="D111" s="8" t="s">
        <v>264</v>
      </c>
      <c r="E111" s="8" t="s">
        <v>533</v>
      </c>
      <c r="F111" s="9" t="s">
        <v>549</v>
      </c>
      <c r="G111" s="9" t="s">
        <v>550</v>
      </c>
      <c r="H111" s="9" t="s">
        <v>340</v>
      </c>
      <c r="I111" s="9" t="s">
        <v>67</v>
      </c>
      <c r="J111" s="10" t="s">
        <v>186</v>
      </c>
      <c r="K111" s="15" t="str">
        <f>VLOOKUP(J111,DADOS!$A$3:$B$105,2,FALSE)</f>
        <v>EE-GI-001-008</v>
      </c>
      <c r="L111" s="15" t="s">
        <v>341</v>
      </c>
      <c r="M111" s="18" t="b">
        <v>0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0</v>
      </c>
      <c r="U111" s="17" t="b">
        <v>0</v>
      </c>
      <c r="V111" s="17" t="b">
        <v>0</v>
      </c>
      <c r="W111" s="11" t="s">
        <v>292</v>
      </c>
      <c r="X111" s="12" t="s">
        <v>14</v>
      </c>
      <c r="Y111" s="12" t="s">
        <v>14</v>
      </c>
      <c r="Z111" s="13" t="s">
        <v>342</v>
      </c>
    </row>
    <row r="112" spans="1:26" ht="19.5" customHeight="1" x14ac:dyDescent="0.25">
      <c r="A112" s="6">
        <v>45937</v>
      </c>
      <c r="B112" s="7" t="s">
        <v>334</v>
      </c>
      <c r="C112" s="8" t="s">
        <v>547</v>
      </c>
      <c r="D112" s="8" t="s">
        <v>551</v>
      </c>
      <c r="E112" s="8" t="s">
        <v>533</v>
      </c>
      <c r="F112" s="9" t="s">
        <v>552</v>
      </c>
      <c r="G112" s="9" t="s">
        <v>550</v>
      </c>
      <c r="H112" s="9" t="s">
        <v>340</v>
      </c>
      <c r="I112" s="9" t="s">
        <v>67</v>
      </c>
      <c r="J112" s="10" t="s">
        <v>186</v>
      </c>
      <c r="K112" s="15" t="str">
        <f>VLOOKUP(J112,DADOS!$A$3:$B$105,2,FALSE)</f>
        <v>EE-GI-001-008</v>
      </c>
      <c r="L112" s="15" t="s">
        <v>341</v>
      </c>
      <c r="M112" s="18" t="b">
        <v>0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0</v>
      </c>
      <c r="W112" s="11" t="s">
        <v>551</v>
      </c>
      <c r="X112" s="12" t="s">
        <v>14</v>
      </c>
      <c r="Y112" s="12" t="s">
        <v>14</v>
      </c>
      <c r="Z112" s="13" t="s">
        <v>342</v>
      </c>
    </row>
    <row r="113" spans="1:26" ht="19.5" customHeight="1" x14ac:dyDescent="0.25">
      <c r="A113" s="6">
        <v>45937</v>
      </c>
      <c r="B113" s="7" t="s">
        <v>334</v>
      </c>
      <c r="C113" s="8" t="s">
        <v>556</v>
      </c>
      <c r="D113" s="8" t="s">
        <v>336</v>
      </c>
      <c r="E113" s="8" t="s">
        <v>553</v>
      </c>
      <c r="F113" s="9" t="s">
        <v>554</v>
      </c>
      <c r="G113" s="9" t="s">
        <v>555</v>
      </c>
      <c r="H113" s="9" t="s">
        <v>340</v>
      </c>
      <c r="I113" s="9" t="s">
        <v>66</v>
      </c>
      <c r="J113" s="10" t="s">
        <v>186</v>
      </c>
      <c r="K113" s="15" t="str">
        <f>VLOOKUP(J113,DADOS!$A$3:$B$105,2,FALSE)</f>
        <v>EE-GI-001-008</v>
      </c>
      <c r="L113" s="15" t="s">
        <v>341</v>
      </c>
      <c r="M113" s="18" t="b">
        <v>0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0</v>
      </c>
      <c r="W113" s="11" t="s">
        <v>336</v>
      </c>
      <c r="X113" s="12" t="s">
        <v>14</v>
      </c>
      <c r="Y113" s="12" t="s">
        <v>14</v>
      </c>
      <c r="Z113" s="13" t="s">
        <v>342</v>
      </c>
    </row>
    <row r="114" spans="1:26" ht="19.5" customHeight="1" x14ac:dyDescent="0.25">
      <c r="A114" s="6">
        <v>45937</v>
      </c>
      <c r="B114" s="7" t="s">
        <v>334</v>
      </c>
      <c r="C114" s="8" t="s">
        <v>556</v>
      </c>
      <c r="D114" s="8" t="s">
        <v>557</v>
      </c>
      <c r="E114" s="8" t="s">
        <v>553</v>
      </c>
      <c r="F114" s="9" t="s">
        <v>558</v>
      </c>
      <c r="G114" s="9" t="s">
        <v>555</v>
      </c>
      <c r="H114" s="9" t="s">
        <v>340</v>
      </c>
      <c r="I114" s="9" t="s">
        <v>66</v>
      </c>
      <c r="J114" s="10" t="s">
        <v>186</v>
      </c>
      <c r="K114" s="15" t="str">
        <f>VLOOKUP(J114,DADOS!$A$3:$B$105,2,FALSE)</f>
        <v>EE-GI-001-008</v>
      </c>
      <c r="L114" s="15" t="s">
        <v>341</v>
      </c>
      <c r="M114" s="18" t="b">
        <v>0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0</v>
      </c>
      <c r="U114" s="17" t="b">
        <v>0</v>
      </c>
      <c r="V114" s="17" t="b">
        <v>0</v>
      </c>
      <c r="W114" s="11" t="s">
        <v>557</v>
      </c>
      <c r="X114" s="12" t="s">
        <v>14</v>
      </c>
      <c r="Y114" s="12" t="s">
        <v>14</v>
      </c>
      <c r="Z114" s="13" t="s">
        <v>342</v>
      </c>
    </row>
    <row r="115" spans="1:26" ht="19.5" customHeight="1" x14ac:dyDescent="0.25">
      <c r="A115" s="6">
        <v>45937</v>
      </c>
      <c r="B115" s="7" t="s">
        <v>334</v>
      </c>
      <c r="C115" s="8" t="s">
        <v>559</v>
      </c>
      <c r="D115" s="8" t="s">
        <v>264</v>
      </c>
      <c r="E115" s="8" t="s">
        <v>560</v>
      </c>
      <c r="F115" s="9" t="s">
        <v>561</v>
      </c>
      <c r="G115" s="9" t="s">
        <v>562</v>
      </c>
      <c r="H115" s="9" t="s">
        <v>340</v>
      </c>
      <c r="I115" s="9" t="s">
        <v>90</v>
      </c>
      <c r="J115" s="10" t="s">
        <v>173</v>
      </c>
      <c r="K115" s="15" t="str">
        <f>VLOOKUP(J115,DADOS!$A$3:$B$105,2,FALSE)</f>
        <v>EE-GI-001-006</v>
      </c>
      <c r="L115" s="15" t="s">
        <v>268</v>
      </c>
      <c r="M115" s="18" t="b">
        <v>0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1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14</v>
      </c>
      <c r="X115" s="12" t="s">
        <v>264</v>
      </c>
      <c r="Y115" s="12" t="s">
        <v>563</v>
      </c>
      <c r="Z115" s="12" t="s">
        <v>270</v>
      </c>
    </row>
    <row r="116" spans="1:26" ht="19.5" customHeight="1" x14ac:dyDescent="0.25">
      <c r="A116" s="6">
        <v>45937</v>
      </c>
      <c r="B116" s="7" t="s">
        <v>334</v>
      </c>
      <c r="C116" s="8" t="s">
        <v>564</v>
      </c>
      <c r="D116" s="8" t="s">
        <v>264</v>
      </c>
      <c r="E116" s="8" t="s">
        <v>560</v>
      </c>
      <c r="F116" s="9" t="s">
        <v>565</v>
      </c>
      <c r="G116" s="9" t="s">
        <v>562</v>
      </c>
      <c r="H116" s="9" t="s">
        <v>340</v>
      </c>
      <c r="I116" s="9" t="s">
        <v>90</v>
      </c>
      <c r="J116" s="10" t="s">
        <v>173</v>
      </c>
      <c r="K116" s="15" t="str">
        <f>VLOOKUP(J116,DADOS!$A$3:$B$105,2,FALSE)</f>
        <v>EE-GI-001-006</v>
      </c>
      <c r="L116" s="15" t="s">
        <v>299</v>
      </c>
      <c r="M116" s="18" t="b">
        <v>0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1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264</v>
      </c>
      <c r="X116" s="12" t="s">
        <v>14</v>
      </c>
      <c r="Y116" s="12" t="s">
        <v>14</v>
      </c>
      <c r="Z116" s="13" t="s">
        <v>270</v>
      </c>
    </row>
    <row r="117" spans="1:26" ht="19.5" customHeight="1" x14ac:dyDescent="0.25">
      <c r="A117" s="6">
        <v>45937</v>
      </c>
      <c r="B117" s="7" t="s">
        <v>262</v>
      </c>
      <c r="C117" s="8" t="s">
        <v>569</v>
      </c>
      <c r="D117" s="8" t="s">
        <v>264</v>
      </c>
      <c r="E117" s="8" t="s">
        <v>568</v>
      </c>
      <c r="F117" s="9" t="s">
        <v>567</v>
      </c>
      <c r="G117" s="9" t="s">
        <v>304</v>
      </c>
      <c r="H117" s="9" t="s">
        <v>566</v>
      </c>
      <c r="I117" s="9" t="s">
        <v>90</v>
      </c>
      <c r="J117" s="10" t="s">
        <v>15</v>
      </c>
      <c r="K117" s="15" t="str">
        <f>VLOOKUP(J117,DADOS!$A$3:$B$105,2,FALSE)</f>
        <v>EE-GI-001-002</v>
      </c>
      <c r="L117" s="15" t="s">
        <v>383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1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264</v>
      </c>
      <c r="X117" s="12" t="s">
        <v>14</v>
      </c>
      <c r="Y117" s="12" t="s">
        <v>14</v>
      </c>
      <c r="Z117" s="13" t="s">
        <v>270</v>
      </c>
    </row>
    <row r="118" spans="1:26" ht="19.5" customHeight="1" x14ac:dyDescent="0.25">
      <c r="A118" s="6">
        <v>45937</v>
      </c>
      <c r="B118" s="7" t="s">
        <v>262</v>
      </c>
      <c r="C118" s="8" t="s">
        <v>578</v>
      </c>
      <c r="D118" s="8" t="s">
        <v>408</v>
      </c>
      <c r="E118" s="8" t="s">
        <v>579</v>
      </c>
      <c r="F118" s="9" t="s">
        <v>580</v>
      </c>
      <c r="G118" s="9" t="s">
        <v>304</v>
      </c>
      <c r="H118" s="9" t="s">
        <v>581</v>
      </c>
      <c r="I118" s="9" t="s">
        <v>93</v>
      </c>
      <c r="J118" s="10" t="s">
        <v>15</v>
      </c>
      <c r="K118" s="15" t="str">
        <f>VLOOKUP(J118,DADOS!$A$3:$B$105,2,FALSE)</f>
        <v>EE-GI-001-002</v>
      </c>
      <c r="L118" s="15" t="s">
        <v>383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1</v>
      </c>
      <c r="S118" s="17" t="b">
        <v>0</v>
      </c>
      <c r="T118" s="17" t="b">
        <v>0</v>
      </c>
      <c r="U118" s="17" t="b">
        <v>0</v>
      </c>
      <c r="V118" s="17" t="b">
        <v>1</v>
      </c>
      <c r="W118" s="11" t="s">
        <v>408</v>
      </c>
      <c r="X118" s="12" t="s">
        <v>14</v>
      </c>
      <c r="Y118" s="12" t="s">
        <v>14</v>
      </c>
      <c r="Z118" s="13" t="s">
        <v>270</v>
      </c>
    </row>
    <row r="119" spans="1:26" ht="19.5" customHeight="1" x14ac:dyDescent="0.25">
      <c r="A119" s="6">
        <v>45937</v>
      </c>
      <c r="B119" s="7" t="s">
        <v>262</v>
      </c>
      <c r="C119" s="8" t="s">
        <v>582</v>
      </c>
      <c r="D119" s="8" t="s">
        <v>408</v>
      </c>
      <c r="E119" s="8" t="s">
        <v>579</v>
      </c>
      <c r="F119" s="9" t="s">
        <v>583</v>
      </c>
      <c r="G119" s="9" t="s">
        <v>14</v>
      </c>
      <c r="H119" s="9" t="s">
        <v>14</v>
      </c>
      <c r="I119" s="9" t="s">
        <v>93</v>
      </c>
      <c r="J119" s="10" t="s">
        <v>14</v>
      </c>
      <c r="K119" s="15" t="e">
        <f>VLOOKUP(J119,DADOS!$A$3:$B$105,2,FALSE)</f>
        <v>#N/A</v>
      </c>
      <c r="L119" s="15" t="s">
        <v>383</v>
      </c>
      <c r="M119" s="18" t="b">
        <v>0</v>
      </c>
      <c r="N119" s="17" t="b">
        <v>1</v>
      </c>
      <c r="O119" s="17" t="b">
        <v>0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408</v>
      </c>
      <c r="X119" s="12" t="s">
        <v>14</v>
      </c>
      <c r="Y119" s="12" t="s">
        <v>14</v>
      </c>
      <c r="Z119" s="13" t="s">
        <v>270</v>
      </c>
    </row>
    <row r="120" spans="1:26" ht="19.5" customHeight="1" x14ac:dyDescent="0.25">
      <c r="A120" s="6">
        <v>45937</v>
      </c>
      <c r="B120" s="7" t="s">
        <v>262</v>
      </c>
      <c r="C120" s="8" t="s">
        <v>585</v>
      </c>
      <c r="D120" s="8" t="s">
        <v>264</v>
      </c>
      <c r="E120" s="8" t="s">
        <v>586</v>
      </c>
      <c r="F120" s="9" t="s">
        <v>587</v>
      </c>
      <c r="G120" s="9" t="s">
        <v>590</v>
      </c>
      <c r="H120" s="9" t="s">
        <v>589</v>
      </c>
      <c r="I120" s="9" t="s">
        <v>64</v>
      </c>
      <c r="J120" s="10" t="s">
        <v>186</v>
      </c>
      <c r="K120" s="15" t="str">
        <f>VLOOKUP(J120,DADOS!$A$3:$B$105,2,FALSE)</f>
        <v>EE-GI-001-008</v>
      </c>
      <c r="L120" s="15" t="s">
        <v>383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264</v>
      </c>
      <c r="X120" s="12" t="s">
        <v>14</v>
      </c>
      <c r="Y120" s="12" t="s">
        <v>14</v>
      </c>
      <c r="Z120" s="13" t="s">
        <v>270</v>
      </c>
    </row>
    <row r="121" spans="1:26" ht="19.899999999999999" customHeight="1" x14ac:dyDescent="0.25">
      <c r="A121" s="6">
        <v>45937</v>
      </c>
      <c r="B121" s="7" t="s">
        <v>262</v>
      </c>
      <c r="C121" s="8" t="s">
        <v>585</v>
      </c>
      <c r="D121" s="8" t="s">
        <v>264</v>
      </c>
      <c r="E121" s="8" t="s">
        <v>586</v>
      </c>
      <c r="F121" s="9" t="s">
        <v>588</v>
      </c>
      <c r="G121" s="9" t="s">
        <v>590</v>
      </c>
      <c r="H121" s="9" t="s">
        <v>589</v>
      </c>
      <c r="I121" s="9" t="s">
        <v>64</v>
      </c>
      <c r="J121" s="10" t="s">
        <v>186</v>
      </c>
      <c r="K121" s="15" t="str">
        <f>VLOOKUP(J121,DADOS!$A$3:$B$105,2,FALSE)</f>
        <v>EE-GI-001-008</v>
      </c>
      <c r="L121" s="15" t="s">
        <v>383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264</v>
      </c>
      <c r="X121" s="12" t="s">
        <v>14</v>
      </c>
      <c r="Y121" s="12" t="s">
        <v>14</v>
      </c>
      <c r="Z121" s="13" t="s">
        <v>270</v>
      </c>
    </row>
    <row r="122" spans="1:26" ht="19.899999999999999" customHeight="1" x14ac:dyDescent="0.25">
      <c r="A122" s="6">
        <v>45937</v>
      </c>
      <c r="B122" s="7" t="s">
        <v>262</v>
      </c>
      <c r="C122" s="8" t="s">
        <v>591</v>
      </c>
      <c r="D122" s="8" t="s">
        <v>273</v>
      </c>
      <c r="E122" s="8" t="s">
        <v>592</v>
      </c>
      <c r="F122" s="9" t="s">
        <v>593</v>
      </c>
      <c r="G122" s="9" t="s">
        <v>594</v>
      </c>
      <c r="H122" s="9" t="s">
        <v>595</v>
      </c>
      <c r="I122" s="9" t="s">
        <v>64</v>
      </c>
      <c r="J122" s="10" t="s">
        <v>186</v>
      </c>
      <c r="K122" s="15" t="str">
        <f>VLOOKUP(J122,DADOS!$A$3:$B$105,2,FALSE)</f>
        <v>EE-GI-001-008</v>
      </c>
      <c r="L122" s="15" t="s">
        <v>383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1</v>
      </c>
      <c r="U122" s="17" t="b">
        <v>1</v>
      </c>
      <c r="V122" s="17" t="b">
        <v>1</v>
      </c>
      <c r="W122" s="11" t="s">
        <v>273</v>
      </c>
      <c r="X122" s="12" t="s">
        <v>14</v>
      </c>
      <c r="Y122" s="12" t="s">
        <v>14</v>
      </c>
      <c r="Z122" s="13" t="s">
        <v>270</v>
      </c>
    </row>
    <row r="123" spans="1:26" ht="19.899999999999999" customHeight="1" x14ac:dyDescent="0.25">
      <c r="A123" s="6">
        <v>45937</v>
      </c>
      <c r="B123" s="7" t="s">
        <v>334</v>
      </c>
      <c r="C123" s="8" t="s">
        <v>359</v>
      </c>
      <c r="D123" s="8" t="s">
        <v>570</v>
      </c>
      <c r="E123" s="8" t="s">
        <v>571</v>
      </c>
      <c r="F123" s="9" t="s">
        <v>572</v>
      </c>
      <c r="G123" s="9" t="s">
        <v>366</v>
      </c>
      <c r="H123" s="9" t="s">
        <v>340</v>
      </c>
      <c r="I123" s="9" t="s">
        <v>67</v>
      </c>
      <c r="J123" s="10" t="s">
        <v>186</v>
      </c>
      <c r="K123" s="15" t="str">
        <f>VLOOKUP(J123,DADOS!$A$3:$B$105,2,FALSE)</f>
        <v>EE-GI-001-008</v>
      </c>
      <c r="L123" s="15" t="s">
        <v>341</v>
      </c>
      <c r="M123" s="18" t="b">
        <v>0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0</v>
      </c>
      <c r="W123" s="11" t="s">
        <v>292</v>
      </c>
      <c r="X123" s="12" t="s">
        <v>331</v>
      </c>
      <c r="Y123" s="12" t="s">
        <v>573</v>
      </c>
      <c r="Z123" s="12" t="s">
        <v>342</v>
      </c>
    </row>
    <row r="124" spans="1:26" ht="19.899999999999999" customHeight="1" x14ac:dyDescent="0.25">
      <c r="A124" s="6">
        <v>45937</v>
      </c>
      <c r="B124" s="7" t="s">
        <v>334</v>
      </c>
      <c r="C124" s="8" t="s">
        <v>574</v>
      </c>
      <c r="D124" s="8" t="s">
        <v>353</v>
      </c>
      <c r="E124" s="8" t="s">
        <v>571</v>
      </c>
      <c r="F124" s="9" t="s">
        <v>575</v>
      </c>
      <c r="G124" s="9" t="s">
        <v>576</v>
      </c>
      <c r="H124" s="9" t="s">
        <v>340</v>
      </c>
      <c r="I124" s="9" t="s">
        <v>67</v>
      </c>
      <c r="J124" s="10" t="s">
        <v>186</v>
      </c>
      <c r="K124" s="15" t="str">
        <f>VLOOKUP(J124,DADOS!$A$3:$B$105,2,FALSE)</f>
        <v>EE-GI-001-008</v>
      </c>
      <c r="L124" s="15" t="s">
        <v>341</v>
      </c>
      <c r="M124" s="18" t="b">
        <v>0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0</v>
      </c>
      <c r="W124" s="11" t="s">
        <v>353</v>
      </c>
      <c r="X124" s="12" t="s">
        <v>14</v>
      </c>
      <c r="Y124" s="12" t="s">
        <v>14</v>
      </c>
      <c r="Z124" s="13" t="s">
        <v>342</v>
      </c>
    </row>
    <row r="125" spans="1:26" ht="19.899999999999999" customHeight="1" x14ac:dyDescent="0.25">
      <c r="A125" s="6">
        <v>45937</v>
      </c>
      <c r="B125" s="7" t="s">
        <v>334</v>
      </c>
      <c r="C125" s="8" t="s">
        <v>584</v>
      </c>
      <c r="D125" s="8" t="s">
        <v>292</v>
      </c>
      <c r="E125" s="8" t="s">
        <v>571</v>
      </c>
      <c r="F125" s="9" t="s">
        <v>577</v>
      </c>
      <c r="G125" s="9" t="s">
        <v>366</v>
      </c>
      <c r="H125" s="9" t="s">
        <v>340</v>
      </c>
      <c r="I125" s="9" t="s">
        <v>66</v>
      </c>
      <c r="J125" s="10" t="s">
        <v>186</v>
      </c>
      <c r="K125" s="15" t="str">
        <f>VLOOKUP(J125,DADOS!$A$3:$B$105,2,FALSE)</f>
        <v>EE-GI-001-008</v>
      </c>
      <c r="L125" s="15" t="s">
        <v>341</v>
      </c>
      <c r="M125" s="18" t="b">
        <v>0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0</v>
      </c>
      <c r="W125" s="11" t="s">
        <v>292</v>
      </c>
      <c r="X125" s="12" t="s">
        <v>14</v>
      </c>
      <c r="Y125" s="12" t="s">
        <v>14</v>
      </c>
      <c r="Z125" s="13" t="s">
        <v>342</v>
      </c>
    </row>
    <row r="126" spans="1:26" ht="19.899999999999999" customHeight="1" x14ac:dyDescent="0.25">
      <c r="A126" s="6">
        <v>45937</v>
      </c>
      <c r="B126" s="7" t="s">
        <v>262</v>
      </c>
      <c r="C126" s="8" t="s">
        <v>596</v>
      </c>
      <c r="D126" s="8" t="s">
        <v>273</v>
      </c>
      <c r="E126" s="8" t="s">
        <v>597</v>
      </c>
      <c r="F126" s="9" t="s">
        <v>295</v>
      </c>
      <c r="G126" s="9" t="s">
        <v>297</v>
      </c>
      <c r="H126" s="34"/>
      <c r="I126" s="9" t="s">
        <v>65</v>
      </c>
      <c r="J126" s="10" t="s">
        <v>16</v>
      </c>
      <c r="K126" s="15" t="str">
        <f>VLOOKUP(J126,DADOS!$A$3:$B$105,2,FALSE)</f>
        <v>EE-GI-001-003</v>
      </c>
      <c r="L126" s="15" t="s">
        <v>341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1</v>
      </c>
      <c r="S126" s="17" t="b">
        <v>0</v>
      </c>
      <c r="T126" s="17" t="b">
        <v>0</v>
      </c>
      <c r="U126" s="17" t="b">
        <v>0</v>
      </c>
      <c r="V126" s="17" t="b">
        <v>0</v>
      </c>
      <c r="W126" s="11" t="s">
        <v>273</v>
      </c>
      <c r="X126" s="12" t="s">
        <v>14</v>
      </c>
      <c r="Y126" s="12" t="s">
        <v>14</v>
      </c>
      <c r="Z126" s="13" t="s">
        <v>342</v>
      </c>
    </row>
    <row r="127" spans="1:26" ht="19.899999999999999" customHeight="1" x14ac:dyDescent="0.25">
      <c r="A127" s="6">
        <v>45937</v>
      </c>
      <c r="B127" s="7" t="s">
        <v>499</v>
      </c>
      <c r="C127" s="8" t="s">
        <v>991</v>
      </c>
      <c r="D127" s="8" t="s">
        <v>264</v>
      </c>
      <c r="E127" s="8" t="s">
        <v>996</v>
      </c>
      <c r="F127" s="9" t="s">
        <v>1000</v>
      </c>
      <c r="G127" s="9" t="s">
        <v>994</v>
      </c>
      <c r="H127" s="9" t="s">
        <v>995</v>
      </c>
      <c r="I127" s="9" t="s">
        <v>70</v>
      </c>
      <c r="J127" s="10" t="s">
        <v>259</v>
      </c>
      <c r="K127" s="15" t="str">
        <f>VLOOKUP(J127,DADOS!$A$3:$B$105,2,FALSE)</f>
        <v>EE-GI-001-072</v>
      </c>
      <c r="L127" s="15" t="s">
        <v>636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1</v>
      </c>
      <c r="S127" s="17" t="b">
        <v>0</v>
      </c>
      <c r="T127" s="17" t="b">
        <v>0</v>
      </c>
      <c r="U127" s="17" t="b">
        <v>0</v>
      </c>
      <c r="V127" s="17" t="b">
        <v>1</v>
      </c>
      <c r="W127" s="11" t="s">
        <v>264</v>
      </c>
      <c r="X127" s="12" t="s">
        <v>14</v>
      </c>
      <c r="Y127" s="12" t="s">
        <v>14</v>
      </c>
      <c r="Z127" s="13" t="s">
        <v>342</v>
      </c>
    </row>
    <row r="128" spans="1:26" ht="19.899999999999999" customHeight="1" x14ac:dyDescent="0.25">
      <c r="A128" s="6">
        <v>45937</v>
      </c>
      <c r="B128" s="7" t="s">
        <v>499</v>
      </c>
      <c r="C128" s="8" t="s">
        <v>991</v>
      </c>
      <c r="D128" s="8" t="s">
        <v>264</v>
      </c>
      <c r="E128" s="8" t="s">
        <v>996</v>
      </c>
      <c r="F128" s="9" t="s">
        <v>999</v>
      </c>
      <c r="G128" s="9" t="s">
        <v>994</v>
      </c>
      <c r="H128" s="9" t="s">
        <v>995</v>
      </c>
      <c r="I128" s="9" t="s">
        <v>70</v>
      </c>
      <c r="J128" s="10" t="s">
        <v>259</v>
      </c>
      <c r="K128" s="15" t="str">
        <f>VLOOKUP(J128,DADOS!$A$3:$B$105,2,FALSE)</f>
        <v>EE-GI-001-072</v>
      </c>
      <c r="L128" s="15" t="s">
        <v>636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1</v>
      </c>
      <c r="S128" s="17" t="b">
        <v>0</v>
      </c>
      <c r="T128" s="17" t="b">
        <v>0</v>
      </c>
      <c r="U128" s="17" t="b">
        <v>0</v>
      </c>
      <c r="V128" s="17" t="b">
        <v>1</v>
      </c>
      <c r="W128" s="11" t="s">
        <v>264</v>
      </c>
      <c r="X128" s="12" t="s">
        <v>14</v>
      </c>
      <c r="Y128" s="12" t="s">
        <v>14</v>
      </c>
      <c r="Z128" s="13" t="s">
        <v>342</v>
      </c>
    </row>
    <row r="129" spans="1:26" ht="19.899999999999999" customHeight="1" x14ac:dyDescent="0.25">
      <c r="A129" s="6">
        <v>45937</v>
      </c>
      <c r="B129" s="7" t="s">
        <v>499</v>
      </c>
      <c r="C129" s="8" t="s">
        <v>991</v>
      </c>
      <c r="D129" s="8" t="s">
        <v>264</v>
      </c>
      <c r="E129" s="8" t="s">
        <v>996</v>
      </c>
      <c r="F129" s="9" t="s">
        <v>998</v>
      </c>
      <c r="G129" s="9" t="s">
        <v>994</v>
      </c>
      <c r="H129" s="9" t="s">
        <v>995</v>
      </c>
      <c r="I129" s="9" t="s">
        <v>70</v>
      </c>
      <c r="J129" s="10" t="s">
        <v>259</v>
      </c>
      <c r="K129" s="15" t="str">
        <f>VLOOKUP(J129,DADOS!$A$3:$B$105,2,FALSE)</f>
        <v>EE-GI-001-072</v>
      </c>
      <c r="L129" s="15" t="s">
        <v>636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1</v>
      </c>
      <c r="S129" s="17" t="b">
        <v>0</v>
      </c>
      <c r="T129" s="17" t="b">
        <v>0</v>
      </c>
      <c r="U129" s="17" t="b">
        <v>0</v>
      </c>
      <c r="V129" s="17" t="b">
        <v>1</v>
      </c>
      <c r="W129" s="11" t="s">
        <v>264</v>
      </c>
      <c r="X129" s="12" t="s">
        <v>14</v>
      </c>
      <c r="Y129" s="12" t="s">
        <v>14</v>
      </c>
      <c r="Z129" s="13" t="s">
        <v>342</v>
      </c>
    </row>
    <row r="130" spans="1:26" ht="19.899999999999999" customHeight="1" x14ac:dyDescent="0.25">
      <c r="A130" s="6">
        <v>45937</v>
      </c>
      <c r="B130" s="7" t="s">
        <v>499</v>
      </c>
      <c r="C130" s="8" t="s">
        <v>991</v>
      </c>
      <c r="D130" s="8" t="s">
        <v>273</v>
      </c>
      <c r="E130" s="8" t="s">
        <v>992</v>
      </c>
      <c r="F130" s="9" t="s">
        <v>993</v>
      </c>
      <c r="G130" s="9" t="s">
        <v>994</v>
      </c>
      <c r="H130" s="9" t="s">
        <v>995</v>
      </c>
      <c r="I130" s="9" t="s">
        <v>70</v>
      </c>
      <c r="J130" s="10" t="s">
        <v>259</v>
      </c>
      <c r="K130" s="15" t="str">
        <f>VLOOKUP(J130,DADOS!$A$3:$B$105,2,FALSE)</f>
        <v>EE-GI-001-072</v>
      </c>
      <c r="L130" s="15" t="s">
        <v>636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1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273</v>
      </c>
      <c r="X130" s="12" t="s">
        <v>14</v>
      </c>
      <c r="Y130" s="12" t="s">
        <v>14</v>
      </c>
      <c r="Z130" s="13" t="s">
        <v>342</v>
      </c>
    </row>
    <row r="131" spans="1:26" ht="19.899999999999999" customHeight="1" x14ac:dyDescent="0.25">
      <c r="A131" s="6">
        <v>45937</v>
      </c>
      <c r="B131" s="7" t="s">
        <v>499</v>
      </c>
      <c r="C131" s="8" t="s">
        <v>991</v>
      </c>
      <c r="D131" s="8" t="s">
        <v>264</v>
      </c>
      <c r="E131" s="8" t="s">
        <v>996</v>
      </c>
      <c r="F131" s="9" t="s">
        <v>997</v>
      </c>
      <c r="G131" s="9" t="s">
        <v>994</v>
      </c>
      <c r="H131" s="9" t="s">
        <v>995</v>
      </c>
      <c r="I131" s="9" t="s">
        <v>70</v>
      </c>
      <c r="J131" s="10" t="s">
        <v>259</v>
      </c>
      <c r="K131" s="15" t="str">
        <f>VLOOKUP(J131,DADOS!$A$3:$B$105,2,FALSE)</f>
        <v>EE-GI-001-072</v>
      </c>
      <c r="L131" s="15" t="s">
        <v>636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1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264</v>
      </c>
      <c r="X131" s="12" t="s">
        <v>14</v>
      </c>
      <c r="Y131" s="12" t="s">
        <v>14</v>
      </c>
      <c r="Z131" s="13" t="s">
        <v>342</v>
      </c>
    </row>
    <row r="132" spans="1:26" ht="19.899999999999999" customHeight="1" x14ac:dyDescent="0.25">
      <c r="A132" s="6">
        <v>45937</v>
      </c>
      <c r="B132" s="7" t="s">
        <v>262</v>
      </c>
      <c r="C132" s="8" t="s">
        <v>598</v>
      </c>
      <c r="D132" s="8" t="s">
        <v>402</v>
      </c>
      <c r="E132" s="8" t="s">
        <v>597</v>
      </c>
      <c r="F132" s="9" t="s">
        <v>599</v>
      </c>
      <c r="G132" s="9" t="s">
        <v>600</v>
      </c>
      <c r="H132" s="34"/>
      <c r="I132" s="9" t="s">
        <v>65</v>
      </c>
      <c r="J132" s="10" t="s">
        <v>16</v>
      </c>
      <c r="K132" s="15" t="str">
        <f>VLOOKUP(J132,DADOS!$A$3:$B$105,2,FALSE)</f>
        <v>EE-GI-001-003</v>
      </c>
      <c r="L132" s="15" t="s">
        <v>341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1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 t="s">
        <v>402</v>
      </c>
      <c r="X132" s="12" t="s">
        <v>14</v>
      </c>
      <c r="Y132" s="12" t="s">
        <v>14</v>
      </c>
      <c r="Z132" s="13" t="s">
        <v>342</v>
      </c>
    </row>
    <row r="133" spans="1:26" ht="19.899999999999999" customHeight="1" x14ac:dyDescent="0.25">
      <c r="A133" s="6">
        <v>45938</v>
      </c>
      <c r="B133" s="7" t="s">
        <v>262</v>
      </c>
      <c r="C133" s="8" t="s">
        <v>601</v>
      </c>
      <c r="D133" s="8" t="s">
        <v>331</v>
      </c>
      <c r="E133" s="8" t="s">
        <v>586</v>
      </c>
      <c r="F133" s="9" t="s">
        <v>602</v>
      </c>
      <c r="G133" s="9" t="s">
        <v>603</v>
      </c>
      <c r="H133" s="9" t="s">
        <v>604</v>
      </c>
      <c r="I133" s="9" t="s">
        <v>64</v>
      </c>
      <c r="J133" s="10" t="s">
        <v>186</v>
      </c>
      <c r="K133" s="15" t="str">
        <f>VLOOKUP(J133,DADOS!$A$3:$B$105,2,FALSE)</f>
        <v>EE-GI-001-008</v>
      </c>
      <c r="L133" s="15" t="s">
        <v>605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0</v>
      </c>
      <c r="R133" s="17" t="b">
        <v>0</v>
      </c>
      <c r="S133" s="17" t="b">
        <v>0</v>
      </c>
      <c r="T133" s="17" t="b">
        <v>1</v>
      </c>
      <c r="U133" s="17" t="b">
        <v>1</v>
      </c>
      <c r="V133" s="17" t="b">
        <v>1</v>
      </c>
      <c r="W133" s="11" t="s">
        <v>14</v>
      </c>
      <c r="X133" s="12" t="s">
        <v>331</v>
      </c>
      <c r="Y133" s="12" t="s">
        <v>606</v>
      </c>
      <c r="Z133" s="12" t="s">
        <v>342</v>
      </c>
    </row>
    <row r="134" spans="1:26" ht="19.899999999999999" customHeight="1" x14ac:dyDescent="0.25">
      <c r="A134" s="6">
        <v>45938</v>
      </c>
      <c r="B134" s="7" t="s">
        <v>262</v>
      </c>
      <c r="C134" s="8" t="s">
        <v>645</v>
      </c>
      <c r="D134" s="8" t="s">
        <v>264</v>
      </c>
      <c r="E134" s="8" t="s">
        <v>592</v>
      </c>
      <c r="F134" s="9" t="s">
        <v>646</v>
      </c>
      <c r="G134" s="9" t="s">
        <v>647</v>
      </c>
      <c r="H134" s="9" t="s">
        <v>648</v>
      </c>
      <c r="I134" s="9" t="s">
        <v>64</v>
      </c>
      <c r="J134" s="10" t="s">
        <v>186</v>
      </c>
      <c r="K134" s="15" t="str">
        <f>VLOOKUP(J134,DADOS!$A$3:$B$105,2,FALSE)</f>
        <v>EE-GI-001-008</v>
      </c>
      <c r="L134" s="15" t="s">
        <v>383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0</v>
      </c>
      <c r="R134" s="17" t="b">
        <v>0</v>
      </c>
      <c r="S134" s="17" t="b">
        <v>0</v>
      </c>
      <c r="T134" s="17" t="b">
        <v>1</v>
      </c>
      <c r="U134" s="17" t="b">
        <v>1</v>
      </c>
      <c r="V134" s="17" t="b">
        <v>1</v>
      </c>
      <c r="W134" s="11" t="s">
        <v>264</v>
      </c>
      <c r="X134" s="12" t="s">
        <v>14</v>
      </c>
      <c r="Y134" s="12" t="s">
        <v>14</v>
      </c>
      <c r="Z134" s="13" t="s">
        <v>270</v>
      </c>
    </row>
    <row r="135" spans="1:26" ht="19.899999999999999" customHeight="1" x14ac:dyDescent="0.25">
      <c r="A135" s="6">
        <v>45938</v>
      </c>
      <c r="B135" s="7" t="s">
        <v>262</v>
      </c>
      <c r="C135" s="8" t="s">
        <v>681</v>
      </c>
      <c r="D135" s="8" t="s">
        <v>402</v>
      </c>
      <c r="E135" s="8" t="s">
        <v>597</v>
      </c>
      <c r="F135" s="9" t="s">
        <v>682</v>
      </c>
      <c r="G135" s="9" t="s">
        <v>683</v>
      </c>
      <c r="H135" s="34"/>
      <c r="I135" s="9" t="s">
        <v>65</v>
      </c>
      <c r="J135" s="10" t="s">
        <v>16</v>
      </c>
      <c r="K135" s="15" t="str">
        <f>VLOOKUP(J135,DADOS!$A$3:$B$105,2,FALSE)</f>
        <v>EE-GI-001-003</v>
      </c>
      <c r="L135" s="15" t="s">
        <v>268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0</v>
      </c>
      <c r="R135" s="17" t="b">
        <v>1</v>
      </c>
      <c r="S135" s="17" t="b">
        <v>0</v>
      </c>
      <c r="T135" s="17" t="b">
        <v>1</v>
      </c>
      <c r="U135" s="17" t="b">
        <v>1</v>
      </c>
      <c r="V135" s="17" t="b">
        <v>1</v>
      </c>
      <c r="W135" s="11" t="s">
        <v>402</v>
      </c>
      <c r="X135" s="12" t="s">
        <v>14</v>
      </c>
      <c r="Y135" s="12" t="s">
        <v>14</v>
      </c>
      <c r="Z135" s="13" t="s">
        <v>270</v>
      </c>
    </row>
    <row r="136" spans="1:26" ht="19.899999999999999" customHeight="1" x14ac:dyDescent="0.25">
      <c r="A136" s="6">
        <v>45938</v>
      </c>
      <c r="B136" s="7" t="s">
        <v>607</v>
      </c>
      <c r="C136" s="8" t="s">
        <v>608</v>
      </c>
      <c r="D136" s="8" t="s">
        <v>273</v>
      </c>
      <c r="E136" s="8" t="s">
        <v>609</v>
      </c>
      <c r="F136" s="9" t="s">
        <v>610</v>
      </c>
      <c r="G136" s="9" t="s">
        <v>611</v>
      </c>
      <c r="H136" s="9" t="s">
        <v>612</v>
      </c>
      <c r="I136" s="9" t="s">
        <v>14</v>
      </c>
      <c r="J136" s="10" t="s">
        <v>14</v>
      </c>
      <c r="K136" s="15" t="e">
        <f>VLOOKUP(J136,DADOS!$A$3:$B$105,2,FALSE)</f>
        <v>#N/A</v>
      </c>
      <c r="L136" s="15" t="s">
        <v>299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14</v>
      </c>
      <c r="X136" s="12" t="s">
        <v>273</v>
      </c>
      <c r="Y136" s="12" t="s">
        <v>613</v>
      </c>
      <c r="Z136" s="12" t="s">
        <v>270</v>
      </c>
    </row>
    <row r="137" spans="1:26" ht="19.899999999999999" customHeight="1" x14ac:dyDescent="0.25">
      <c r="A137" s="6">
        <v>45938</v>
      </c>
      <c r="B137" s="7" t="s">
        <v>607</v>
      </c>
      <c r="C137" s="8" t="s">
        <v>614</v>
      </c>
      <c r="D137" s="8" t="s">
        <v>273</v>
      </c>
      <c r="E137" s="8" t="s">
        <v>609</v>
      </c>
      <c r="F137" s="9" t="s">
        <v>615</v>
      </c>
      <c r="G137" s="9" t="s">
        <v>616</v>
      </c>
      <c r="H137" s="9" t="s">
        <v>617</v>
      </c>
      <c r="I137" s="9" t="s">
        <v>14</v>
      </c>
      <c r="J137" s="10" t="s">
        <v>14</v>
      </c>
      <c r="K137" s="15" t="e">
        <f>VLOOKUP(J137,DADOS!$A$3:$B$105,2,FALSE)</f>
        <v>#N/A</v>
      </c>
      <c r="L137" s="15" t="s">
        <v>299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273</v>
      </c>
      <c r="X137" s="12" t="s">
        <v>14</v>
      </c>
      <c r="Y137" s="12" t="s">
        <v>14</v>
      </c>
      <c r="Z137" s="13" t="s">
        <v>270</v>
      </c>
    </row>
    <row r="138" spans="1:26" ht="19.899999999999999" customHeight="1" x14ac:dyDescent="0.25">
      <c r="A138" s="6">
        <v>45938</v>
      </c>
      <c r="B138" s="7" t="s">
        <v>607</v>
      </c>
      <c r="C138" s="8" t="s">
        <v>618</v>
      </c>
      <c r="D138" s="8" t="s">
        <v>408</v>
      </c>
      <c r="E138" s="8" t="s">
        <v>609</v>
      </c>
      <c r="F138" s="9" t="s">
        <v>619</v>
      </c>
      <c r="G138" s="9" t="s">
        <v>620</v>
      </c>
      <c r="H138" s="9" t="s">
        <v>621</v>
      </c>
      <c r="I138" s="9" t="s">
        <v>14</v>
      </c>
      <c r="J138" s="10" t="s">
        <v>14</v>
      </c>
      <c r="K138" s="15" t="e">
        <f>VLOOKUP(J138,DADOS!$A$3:$B$105,2,FALSE)</f>
        <v>#N/A</v>
      </c>
      <c r="L138" s="15" t="s">
        <v>299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408</v>
      </c>
      <c r="X138" s="12" t="s">
        <v>14</v>
      </c>
      <c r="Y138" s="12" t="s">
        <v>14</v>
      </c>
      <c r="Z138" s="13" t="s">
        <v>270</v>
      </c>
    </row>
    <row r="139" spans="1:26" ht="19.5" customHeight="1" x14ac:dyDescent="0.25">
      <c r="A139" s="6">
        <v>45938</v>
      </c>
      <c r="B139" s="7" t="s">
        <v>607</v>
      </c>
      <c r="C139" s="8" t="s">
        <v>623</v>
      </c>
      <c r="D139" s="8" t="s">
        <v>264</v>
      </c>
      <c r="E139" s="8" t="s">
        <v>609</v>
      </c>
      <c r="F139" s="9" t="s">
        <v>622</v>
      </c>
      <c r="G139" s="9" t="s">
        <v>624</v>
      </c>
      <c r="H139" s="9" t="s">
        <v>625</v>
      </c>
      <c r="I139" s="9" t="s">
        <v>14</v>
      </c>
      <c r="J139" s="10" t="s">
        <v>14</v>
      </c>
      <c r="K139" s="15" t="e">
        <f>VLOOKUP(J139,DADOS!$A$3:$B$105,2,FALSE)</f>
        <v>#N/A</v>
      </c>
      <c r="L139" s="15" t="s">
        <v>299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264</v>
      </c>
      <c r="X139" s="12" t="s">
        <v>14</v>
      </c>
      <c r="Y139" s="12" t="s">
        <v>14</v>
      </c>
      <c r="Z139" s="13" t="s">
        <v>270</v>
      </c>
    </row>
    <row r="140" spans="1:26" ht="19.899999999999999" customHeight="1" x14ac:dyDescent="0.25">
      <c r="A140" s="6">
        <v>45938</v>
      </c>
      <c r="B140" s="7" t="s">
        <v>367</v>
      </c>
      <c r="C140" s="8" t="s">
        <v>626</v>
      </c>
      <c r="D140" s="8" t="s">
        <v>344</v>
      </c>
      <c r="E140" s="8" t="s">
        <v>627</v>
      </c>
      <c r="F140" s="9" t="s">
        <v>628</v>
      </c>
      <c r="G140" s="9" t="s">
        <v>328</v>
      </c>
      <c r="H140" s="9" t="s">
        <v>346</v>
      </c>
      <c r="I140" s="9" t="s">
        <v>66</v>
      </c>
      <c r="J140" s="10" t="s">
        <v>15</v>
      </c>
      <c r="K140" s="15" t="str">
        <f>VLOOKUP(J140,DADOS!$A$3:$B$105,2,FALSE)</f>
        <v>EE-GI-001-002</v>
      </c>
      <c r="L140" s="15" t="s">
        <v>341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283</v>
      </c>
      <c r="X140" s="12" t="s">
        <v>264</v>
      </c>
      <c r="Y140" s="12" t="s">
        <v>629</v>
      </c>
      <c r="Z140" s="12" t="s">
        <v>342</v>
      </c>
    </row>
    <row r="141" spans="1:26" ht="19.899999999999999" customHeight="1" x14ac:dyDescent="0.25">
      <c r="A141" s="6">
        <v>45938</v>
      </c>
      <c r="B141" s="7" t="s">
        <v>367</v>
      </c>
      <c r="C141" s="8" t="s">
        <v>626</v>
      </c>
      <c r="D141" s="8" t="s">
        <v>344</v>
      </c>
      <c r="E141" s="8" t="s">
        <v>627</v>
      </c>
      <c r="F141" s="9" t="s">
        <v>630</v>
      </c>
      <c r="G141" s="9" t="s">
        <v>328</v>
      </c>
      <c r="H141" s="9" t="s">
        <v>346</v>
      </c>
      <c r="I141" s="9" t="s">
        <v>66</v>
      </c>
      <c r="J141" s="10" t="s">
        <v>15</v>
      </c>
      <c r="K141" s="15" t="str">
        <f>VLOOKUP(J141,DADOS!$A$3:$B$105,2,FALSE)</f>
        <v>EE-GI-001-002</v>
      </c>
      <c r="L141" s="15" t="s">
        <v>341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283</v>
      </c>
      <c r="X141" s="12" t="s">
        <v>14</v>
      </c>
      <c r="Y141" s="12" t="s">
        <v>14</v>
      </c>
      <c r="Z141" s="13" t="s">
        <v>342</v>
      </c>
    </row>
    <row r="142" spans="1:26" ht="19.899999999999999" customHeight="1" x14ac:dyDescent="0.25">
      <c r="A142" s="6">
        <v>45938</v>
      </c>
      <c r="B142" s="7" t="s">
        <v>367</v>
      </c>
      <c r="C142" s="8" t="s">
        <v>626</v>
      </c>
      <c r="D142" s="8" t="s">
        <v>402</v>
      </c>
      <c r="E142" s="8" t="s">
        <v>627</v>
      </c>
      <c r="F142" s="9" t="s">
        <v>631</v>
      </c>
      <c r="G142" s="9" t="s">
        <v>328</v>
      </c>
      <c r="H142" s="9" t="s">
        <v>346</v>
      </c>
      <c r="I142" s="9" t="s">
        <v>66</v>
      </c>
      <c r="J142" s="10" t="s">
        <v>15</v>
      </c>
      <c r="K142" s="15" t="str">
        <f>VLOOKUP(J142,DADOS!$A$3:$B$105,2,FALSE)</f>
        <v>EE-GI-001-002</v>
      </c>
      <c r="L142" s="15" t="s">
        <v>341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402</v>
      </c>
      <c r="X142" s="12" t="s">
        <v>14</v>
      </c>
      <c r="Y142" s="12" t="s">
        <v>14</v>
      </c>
      <c r="Z142" s="13" t="s">
        <v>342</v>
      </c>
    </row>
    <row r="143" spans="1:26" ht="19.899999999999999" customHeight="1" x14ac:dyDescent="0.25">
      <c r="A143" s="6">
        <v>45938</v>
      </c>
      <c r="B143" s="7" t="s">
        <v>367</v>
      </c>
      <c r="C143" s="8" t="s">
        <v>584</v>
      </c>
      <c r="D143" s="8" t="s">
        <v>282</v>
      </c>
      <c r="E143" s="8" t="s">
        <v>632</v>
      </c>
      <c r="F143" s="9" t="s">
        <v>577</v>
      </c>
      <c r="G143" s="9" t="s">
        <v>366</v>
      </c>
      <c r="H143" s="9" t="s">
        <v>340</v>
      </c>
      <c r="I143" s="9" t="s">
        <v>66</v>
      </c>
      <c r="J143" s="10" t="s">
        <v>186</v>
      </c>
      <c r="K143" s="15" t="str">
        <f>VLOOKUP(J143,DADOS!$A$3:$B$105,2,FALSE)</f>
        <v>EE-GI-001-008</v>
      </c>
      <c r="L143" s="15" t="s">
        <v>636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282</v>
      </c>
      <c r="X143" s="12" t="s">
        <v>14</v>
      </c>
      <c r="Y143" s="12" t="s">
        <v>14</v>
      </c>
      <c r="Z143" s="13" t="s">
        <v>342</v>
      </c>
    </row>
    <row r="144" spans="1:26" ht="19.899999999999999" customHeight="1" x14ac:dyDescent="0.25">
      <c r="A144" s="6">
        <v>45938</v>
      </c>
      <c r="B144" s="7" t="s">
        <v>367</v>
      </c>
      <c r="C144" s="8" t="s">
        <v>633</v>
      </c>
      <c r="D144" s="8" t="s">
        <v>264</v>
      </c>
      <c r="E144" s="8" t="s">
        <v>632</v>
      </c>
      <c r="F144" s="9" t="s">
        <v>634</v>
      </c>
      <c r="G144" s="9" t="s">
        <v>635</v>
      </c>
      <c r="H144" s="9" t="s">
        <v>340</v>
      </c>
      <c r="I144" s="9" t="s">
        <v>66</v>
      </c>
      <c r="J144" s="10" t="s">
        <v>17</v>
      </c>
      <c r="K144" s="15" t="str">
        <f>VLOOKUP(J144,DADOS!$A$3:$B$105,2,FALSE)</f>
        <v>EE-GI-001-001</v>
      </c>
      <c r="L144" s="15" t="s">
        <v>636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0</v>
      </c>
      <c r="U144" s="17" t="b">
        <v>0</v>
      </c>
      <c r="V144" s="17" t="b">
        <v>1</v>
      </c>
      <c r="W144" s="11" t="s">
        <v>264</v>
      </c>
      <c r="X144" s="12" t="s">
        <v>14</v>
      </c>
      <c r="Y144" s="12" t="s">
        <v>14</v>
      </c>
      <c r="Z144" s="13" t="s">
        <v>342</v>
      </c>
    </row>
    <row r="145" spans="1:26" ht="19.899999999999999" customHeight="1" x14ac:dyDescent="0.25">
      <c r="A145" s="6">
        <v>45938</v>
      </c>
      <c r="B145" s="7" t="s">
        <v>367</v>
      </c>
      <c r="C145" s="8" t="s">
        <v>524</v>
      </c>
      <c r="D145" s="8" t="s">
        <v>402</v>
      </c>
      <c r="E145" s="8" t="s">
        <v>632</v>
      </c>
      <c r="F145" s="9" t="s">
        <v>637</v>
      </c>
      <c r="G145" s="9" t="s">
        <v>366</v>
      </c>
      <c r="H145" s="9" t="s">
        <v>340</v>
      </c>
      <c r="I145" s="9" t="s">
        <v>66</v>
      </c>
      <c r="J145" s="10" t="s">
        <v>17</v>
      </c>
      <c r="K145" s="15" t="str">
        <f>VLOOKUP(J145,DADOS!$A$3:$B$105,2,FALSE)</f>
        <v>EE-GI-001-001</v>
      </c>
      <c r="L145" s="15" t="s">
        <v>636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264</v>
      </c>
      <c r="X145" s="12" t="s">
        <v>14</v>
      </c>
      <c r="Y145" s="12" t="s">
        <v>14</v>
      </c>
      <c r="Z145" s="13" t="s">
        <v>342</v>
      </c>
    </row>
    <row r="146" spans="1:26" ht="19.899999999999999" customHeight="1" x14ac:dyDescent="0.25">
      <c r="A146" s="6">
        <v>45938</v>
      </c>
      <c r="B146" s="7" t="s">
        <v>400</v>
      </c>
      <c r="C146" s="8" t="s">
        <v>638</v>
      </c>
      <c r="D146" s="8" t="s">
        <v>264</v>
      </c>
      <c r="E146" s="8" t="s">
        <v>639</v>
      </c>
      <c r="F146" s="9" t="s">
        <v>640</v>
      </c>
      <c r="G146" s="9" t="s">
        <v>641</v>
      </c>
      <c r="H146" s="9" t="s">
        <v>642</v>
      </c>
      <c r="I146" s="9" t="s">
        <v>70</v>
      </c>
      <c r="J146" s="10" t="s">
        <v>19</v>
      </c>
      <c r="K146" s="15" t="str">
        <f>VLOOKUP(J146,DADOS!$A$3:$B$105,2,FALSE)</f>
        <v>EE-GI-221-033</v>
      </c>
      <c r="L146" s="15" t="s">
        <v>389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1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0</v>
      </c>
      <c r="W146" s="11" t="s">
        <v>264</v>
      </c>
      <c r="X146" s="12" t="s">
        <v>14</v>
      </c>
      <c r="Y146" s="12" t="s">
        <v>14</v>
      </c>
      <c r="Z146" s="13" t="s">
        <v>342</v>
      </c>
    </row>
    <row r="147" spans="1:26" ht="19.899999999999999" customHeight="1" x14ac:dyDescent="0.25">
      <c r="A147" s="6">
        <v>45938</v>
      </c>
      <c r="B147" s="7" t="s">
        <v>400</v>
      </c>
      <c r="C147" s="8" t="s">
        <v>419</v>
      </c>
      <c r="D147" s="8" t="s">
        <v>643</v>
      </c>
      <c r="E147" s="8" t="s">
        <v>403</v>
      </c>
      <c r="F147" s="9" t="s">
        <v>420</v>
      </c>
      <c r="G147" s="9" t="s">
        <v>418</v>
      </c>
      <c r="H147" s="9" t="s">
        <v>644</v>
      </c>
      <c r="I147" s="9" t="s">
        <v>70</v>
      </c>
      <c r="J147" s="10" t="s">
        <v>19</v>
      </c>
      <c r="K147" s="15" t="str">
        <f>VLOOKUP(J147,DADOS!$A$3:$B$105,2,FALSE)</f>
        <v>EE-GI-221-033</v>
      </c>
      <c r="L147" s="15" t="s">
        <v>389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1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0</v>
      </c>
      <c r="W147" s="11" t="s">
        <v>643</v>
      </c>
      <c r="X147" s="12" t="s">
        <v>14</v>
      </c>
      <c r="Y147" s="12" t="s">
        <v>14</v>
      </c>
      <c r="Z147" s="13" t="s">
        <v>342</v>
      </c>
    </row>
    <row r="148" spans="1:26" ht="19.899999999999999" customHeight="1" x14ac:dyDescent="0.25">
      <c r="A148" s="6">
        <v>45938</v>
      </c>
      <c r="B148" s="7" t="s">
        <v>483</v>
      </c>
      <c r="C148" s="8" t="s">
        <v>484</v>
      </c>
      <c r="D148" s="8" t="s">
        <v>649</v>
      </c>
      <c r="E148" s="8" t="s">
        <v>650</v>
      </c>
      <c r="F148" s="9" t="s">
        <v>651</v>
      </c>
      <c r="G148" s="9" t="s">
        <v>652</v>
      </c>
      <c r="H148" s="9" t="s">
        <v>653</v>
      </c>
      <c r="I148" s="9" t="s">
        <v>66</v>
      </c>
      <c r="J148" s="10" t="s">
        <v>174</v>
      </c>
      <c r="K148" s="15" t="str">
        <f>VLOOKUP(J148,DADOS!$A$3:$B$105,2,FALSE)</f>
        <v>EE-GI-001-007</v>
      </c>
      <c r="L148" s="15" t="s">
        <v>341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1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0</v>
      </c>
      <c r="W148" s="11" t="s">
        <v>649</v>
      </c>
      <c r="X148" s="12" t="s">
        <v>14</v>
      </c>
      <c r="Y148" s="12" t="s">
        <v>14</v>
      </c>
      <c r="Z148" s="13" t="s">
        <v>342</v>
      </c>
    </row>
    <row r="149" spans="1:26" ht="19.899999999999999" customHeight="1" x14ac:dyDescent="0.25">
      <c r="A149" s="6">
        <v>45938</v>
      </c>
      <c r="B149" s="7" t="s">
        <v>483</v>
      </c>
      <c r="C149" s="8" t="s">
        <v>654</v>
      </c>
      <c r="D149" s="8" t="s">
        <v>655</v>
      </c>
      <c r="E149" s="8" t="s">
        <v>656</v>
      </c>
      <c r="F149" s="9" t="s">
        <v>657</v>
      </c>
      <c r="G149" s="9" t="s">
        <v>658</v>
      </c>
      <c r="H149" s="9" t="s">
        <v>659</v>
      </c>
      <c r="I149" s="9" t="s">
        <v>66</v>
      </c>
      <c r="J149" s="10" t="s">
        <v>174</v>
      </c>
      <c r="K149" s="15" t="str">
        <f>VLOOKUP(J149,DADOS!$A$3:$B$105,2,FALSE)</f>
        <v>EE-GI-001-007</v>
      </c>
      <c r="L149" s="15" t="s">
        <v>341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1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655</v>
      </c>
      <c r="X149" s="12" t="s">
        <v>14</v>
      </c>
      <c r="Y149" s="12" t="s">
        <v>14</v>
      </c>
      <c r="Z149" s="13" t="s">
        <v>342</v>
      </c>
    </row>
    <row r="150" spans="1:26" ht="19.899999999999999" customHeight="1" x14ac:dyDescent="0.25">
      <c r="A150" s="6">
        <v>45938</v>
      </c>
      <c r="B150" s="7" t="s">
        <v>483</v>
      </c>
      <c r="C150" s="8" t="s">
        <v>654</v>
      </c>
      <c r="D150" s="8" t="s">
        <v>660</v>
      </c>
      <c r="E150" s="8" t="s">
        <v>661</v>
      </c>
      <c r="F150" s="9" t="s">
        <v>662</v>
      </c>
      <c r="G150" s="9" t="s">
        <v>658</v>
      </c>
      <c r="H150" s="9" t="s">
        <v>663</v>
      </c>
      <c r="I150" s="9" t="s">
        <v>66</v>
      </c>
      <c r="J150" s="10" t="s">
        <v>174</v>
      </c>
      <c r="K150" s="15" t="str">
        <f>VLOOKUP(J150,DADOS!$A$3:$B$105,2,FALSE)</f>
        <v>EE-GI-001-007</v>
      </c>
      <c r="L150" s="15" t="s">
        <v>341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1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0</v>
      </c>
      <c r="W150" s="11" t="s">
        <v>660</v>
      </c>
      <c r="X150" s="12" t="s">
        <v>14</v>
      </c>
      <c r="Y150" s="12" t="s">
        <v>14</v>
      </c>
      <c r="Z150" s="13" t="s">
        <v>342</v>
      </c>
    </row>
    <row r="151" spans="1:26" ht="19.899999999999999" customHeight="1" x14ac:dyDescent="0.25">
      <c r="A151" s="6">
        <v>45938</v>
      </c>
      <c r="B151" s="7" t="s">
        <v>483</v>
      </c>
      <c r="C151" s="8" t="s">
        <v>654</v>
      </c>
      <c r="D151" s="8" t="s">
        <v>664</v>
      </c>
      <c r="E151" s="8" t="s">
        <v>661</v>
      </c>
      <c r="F151" s="9" t="s">
        <v>665</v>
      </c>
      <c r="G151" s="9" t="s">
        <v>658</v>
      </c>
      <c r="H151" s="9" t="s">
        <v>663</v>
      </c>
      <c r="I151" s="9" t="s">
        <v>66</v>
      </c>
      <c r="J151" s="10" t="s">
        <v>174</v>
      </c>
      <c r="K151" s="15" t="str">
        <f>VLOOKUP(J151,DADOS!$A$3:$B$105,2,FALSE)</f>
        <v>EE-GI-001-007</v>
      </c>
      <c r="L151" s="15" t="s">
        <v>341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1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0</v>
      </c>
      <c r="W151" s="11" t="s">
        <v>664</v>
      </c>
      <c r="X151" s="12" t="s">
        <v>14</v>
      </c>
      <c r="Y151" s="12" t="s">
        <v>14</v>
      </c>
      <c r="Z151" s="13" t="s">
        <v>342</v>
      </c>
    </row>
    <row r="152" spans="1:26" ht="19.899999999999999" customHeight="1" x14ac:dyDescent="0.25">
      <c r="A152" s="6">
        <v>45938</v>
      </c>
      <c r="B152" s="7" t="s">
        <v>666</v>
      </c>
      <c r="C152" s="8" t="s">
        <v>667</v>
      </c>
      <c r="D152" s="8" t="s">
        <v>668</v>
      </c>
      <c r="E152" s="8" t="s">
        <v>669</v>
      </c>
      <c r="F152" s="9" t="s">
        <v>670</v>
      </c>
      <c r="G152" s="9" t="s">
        <v>671</v>
      </c>
      <c r="H152" s="9" t="s">
        <v>672</v>
      </c>
      <c r="I152" s="9" t="s">
        <v>66</v>
      </c>
      <c r="J152" s="10" t="s">
        <v>174</v>
      </c>
      <c r="K152" s="15" t="str">
        <f>VLOOKUP(J152,DADOS!$A$3:$B$105,2,FALSE)</f>
        <v>EE-GI-001-007</v>
      </c>
      <c r="L152" s="15" t="s">
        <v>341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1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668</v>
      </c>
      <c r="X152" s="12" t="s">
        <v>14</v>
      </c>
      <c r="Y152" s="12" t="s">
        <v>14</v>
      </c>
      <c r="Z152" s="13" t="s">
        <v>342</v>
      </c>
    </row>
    <row r="153" spans="1:26" ht="19.899999999999999" customHeight="1" x14ac:dyDescent="0.25">
      <c r="A153" s="6">
        <v>45938</v>
      </c>
      <c r="B153" s="7" t="s">
        <v>666</v>
      </c>
      <c r="C153" s="8" t="s">
        <v>667</v>
      </c>
      <c r="D153" s="8" t="s">
        <v>655</v>
      </c>
      <c r="E153" s="8" t="s">
        <v>673</v>
      </c>
      <c r="F153" s="9" t="s">
        <v>674</v>
      </c>
      <c r="G153" s="9" t="s">
        <v>671</v>
      </c>
      <c r="H153" s="9" t="s">
        <v>675</v>
      </c>
      <c r="I153" s="9" t="s">
        <v>66</v>
      </c>
      <c r="J153" s="10" t="s">
        <v>174</v>
      </c>
      <c r="K153" s="15" t="str">
        <f>VLOOKUP(J153,DADOS!$A$3:$B$105,2,FALSE)</f>
        <v>EE-GI-001-007</v>
      </c>
      <c r="L153" s="15" t="s">
        <v>341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1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655</v>
      </c>
      <c r="X153" s="12" t="s">
        <v>14</v>
      </c>
      <c r="Y153" s="12" t="s">
        <v>14</v>
      </c>
      <c r="Z153" s="13" t="s">
        <v>342</v>
      </c>
    </row>
    <row r="154" spans="1:26" ht="19.899999999999999" customHeight="1" x14ac:dyDescent="0.25">
      <c r="A154" s="6">
        <v>45938</v>
      </c>
      <c r="B154" s="7" t="s">
        <v>666</v>
      </c>
      <c r="C154" s="8" t="s">
        <v>676</v>
      </c>
      <c r="D154" s="8" t="s">
        <v>456</v>
      </c>
      <c r="E154" s="8" t="s">
        <v>677</v>
      </c>
      <c r="F154" s="9" t="s">
        <v>678</v>
      </c>
      <c r="G154" s="9" t="s">
        <v>679</v>
      </c>
      <c r="H154" s="9" t="s">
        <v>680</v>
      </c>
      <c r="I154" s="9" t="s">
        <v>66</v>
      </c>
      <c r="J154" s="10" t="s">
        <v>174</v>
      </c>
      <c r="K154" s="15" t="str">
        <f>VLOOKUP(J154,DADOS!$A$3:$B$105,2,FALSE)</f>
        <v>EE-GI-001-007</v>
      </c>
      <c r="L154" s="15" t="s">
        <v>341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1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456</v>
      </c>
      <c r="X154" s="12" t="s">
        <v>14</v>
      </c>
      <c r="Y154" s="12" t="s">
        <v>14</v>
      </c>
      <c r="Z154" s="13" t="s">
        <v>342</v>
      </c>
    </row>
    <row r="155" spans="1:26" ht="19.899999999999999" customHeight="1" x14ac:dyDescent="0.25">
      <c r="A155" s="6">
        <v>45938</v>
      </c>
      <c r="B155" s="7" t="s">
        <v>483</v>
      </c>
      <c r="C155" s="8" t="s">
        <v>684</v>
      </c>
      <c r="D155" s="8" t="s">
        <v>517</v>
      </c>
      <c r="E155" s="8" t="s">
        <v>685</v>
      </c>
      <c r="F155" s="9" t="s">
        <v>686</v>
      </c>
      <c r="G155" s="9" t="s">
        <v>687</v>
      </c>
      <c r="H155" s="9" t="s">
        <v>688</v>
      </c>
      <c r="I155" s="9" t="s">
        <v>66</v>
      </c>
      <c r="J155" s="10" t="s">
        <v>174</v>
      </c>
      <c r="K155" s="15" t="str">
        <f>VLOOKUP(J155,DADOS!$A$3:$B$105,2,FALSE)</f>
        <v>EE-GI-001-007</v>
      </c>
      <c r="L155" s="15" t="s">
        <v>341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1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517</v>
      </c>
      <c r="X155" s="12" t="s">
        <v>14</v>
      </c>
      <c r="Y155" s="12" t="s">
        <v>14</v>
      </c>
      <c r="Z155" s="13" t="s">
        <v>342</v>
      </c>
    </row>
    <row r="156" spans="1:26" ht="19.899999999999999" customHeight="1" x14ac:dyDescent="0.25">
      <c r="A156" s="6">
        <v>45938</v>
      </c>
      <c r="B156" s="7" t="s">
        <v>483</v>
      </c>
      <c r="C156" s="8" t="s">
        <v>684</v>
      </c>
      <c r="D156" s="8" t="s">
        <v>689</v>
      </c>
      <c r="E156" s="8" t="s">
        <v>690</v>
      </c>
      <c r="F156" s="9" t="s">
        <v>691</v>
      </c>
      <c r="G156" s="9" t="s">
        <v>687</v>
      </c>
      <c r="H156" s="9" t="s">
        <v>692</v>
      </c>
      <c r="I156" s="9" t="s">
        <v>66</v>
      </c>
      <c r="J156" s="10" t="s">
        <v>174</v>
      </c>
      <c r="K156" s="15" t="str">
        <f>VLOOKUP(J156,DADOS!$A$3:$B$105,2,FALSE)</f>
        <v>EE-GI-001-007</v>
      </c>
      <c r="L156" s="15" t="s">
        <v>341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1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689</v>
      </c>
      <c r="X156" s="12" t="s">
        <v>14</v>
      </c>
      <c r="Y156" s="12" t="s">
        <v>14</v>
      </c>
      <c r="Z156" s="13" t="s">
        <v>342</v>
      </c>
    </row>
    <row r="157" spans="1:26" ht="19.899999999999999" customHeight="1" x14ac:dyDescent="0.25">
      <c r="A157" s="6">
        <v>45938</v>
      </c>
      <c r="B157" s="7" t="s">
        <v>334</v>
      </c>
      <c r="C157" s="8" t="s">
        <v>846</v>
      </c>
      <c r="D157" s="8" t="s">
        <v>264</v>
      </c>
      <c r="E157" s="8" t="s">
        <v>632</v>
      </c>
      <c r="F157" s="9" t="s">
        <v>1113</v>
      </c>
      <c r="G157" s="9" t="s">
        <v>328</v>
      </c>
      <c r="H157" s="9" t="s">
        <v>340</v>
      </c>
      <c r="I157" s="9" t="s">
        <v>66</v>
      </c>
      <c r="J157" s="10" t="s">
        <v>15</v>
      </c>
      <c r="K157" s="15" t="str">
        <f>VLOOKUP(J157,DADOS!$A$3:$B$105,2,FALSE)</f>
        <v>EE-GI-001-002</v>
      </c>
      <c r="L157" s="15" t="s">
        <v>636</v>
      </c>
      <c r="M157" s="18" t="b">
        <v>0</v>
      </c>
      <c r="N157" s="17" t="b">
        <v>1</v>
      </c>
      <c r="O157" s="17" t="b">
        <v>1</v>
      </c>
      <c r="P157" s="17" t="b">
        <v>1</v>
      </c>
      <c r="Q157" s="17" t="b">
        <v>1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0</v>
      </c>
      <c r="W157" s="11" t="s">
        <v>264</v>
      </c>
      <c r="X157" s="12" t="s">
        <v>14</v>
      </c>
      <c r="Y157" s="12" t="s">
        <v>14</v>
      </c>
      <c r="Z157" s="13" t="s">
        <v>342</v>
      </c>
    </row>
    <row r="158" spans="1:26" ht="19.899999999999999" customHeight="1" x14ac:dyDescent="0.25">
      <c r="A158" s="6">
        <v>45938</v>
      </c>
      <c r="B158" s="7" t="s">
        <v>334</v>
      </c>
      <c r="C158" s="8" t="s">
        <v>846</v>
      </c>
      <c r="D158" s="8" t="s">
        <v>264</v>
      </c>
      <c r="E158" s="8" t="s">
        <v>632</v>
      </c>
      <c r="F158" s="9" t="s">
        <v>1112</v>
      </c>
      <c r="G158" s="9" t="s">
        <v>328</v>
      </c>
      <c r="H158" s="9" t="s">
        <v>340</v>
      </c>
      <c r="I158" s="9" t="s">
        <v>66</v>
      </c>
      <c r="J158" s="10" t="s">
        <v>15</v>
      </c>
      <c r="K158" s="15" t="str">
        <f>VLOOKUP(J158,DADOS!$A$3:$B$105,2,FALSE)</f>
        <v>EE-GI-001-002</v>
      </c>
      <c r="L158" s="15" t="s">
        <v>636</v>
      </c>
      <c r="M158" s="18" t="b">
        <v>0</v>
      </c>
      <c r="N158" s="17" t="b">
        <v>1</v>
      </c>
      <c r="O158" s="17" t="b">
        <v>1</v>
      </c>
      <c r="P158" s="17" t="b">
        <v>1</v>
      </c>
      <c r="Q158" s="17" t="b">
        <v>1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0</v>
      </c>
      <c r="W158" s="11" t="s">
        <v>264</v>
      </c>
      <c r="X158" s="12" t="s">
        <v>14</v>
      </c>
      <c r="Y158" s="12" t="s">
        <v>14</v>
      </c>
      <c r="Z158" s="13" t="s">
        <v>342</v>
      </c>
    </row>
    <row r="159" spans="1:26" ht="19.899999999999999" customHeight="1" x14ac:dyDescent="0.25">
      <c r="A159" s="6">
        <v>45938</v>
      </c>
      <c r="B159" s="7" t="s">
        <v>334</v>
      </c>
      <c r="C159" s="8" t="s">
        <v>626</v>
      </c>
      <c r="D159" s="8" t="s">
        <v>1111</v>
      </c>
      <c r="E159" s="8" t="s">
        <v>632</v>
      </c>
      <c r="F159" s="9" t="s">
        <v>845</v>
      </c>
      <c r="G159" s="9" t="s">
        <v>328</v>
      </c>
      <c r="H159" s="9" t="s">
        <v>340</v>
      </c>
      <c r="I159" s="9" t="s">
        <v>66</v>
      </c>
      <c r="J159" s="10" t="s">
        <v>15</v>
      </c>
      <c r="K159" s="15" t="str">
        <f>VLOOKUP(J159,DADOS!$A$3:$B$105,2,FALSE)</f>
        <v>EE-GI-001-002</v>
      </c>
      <c r="L159" s="15" t="s">
        <v>341</v>
      </c>
      <c r="M159" s="18" t="b">
        <v>0</v>
      </c>
      <c r="N159" s="17" t="b">
        <v>1</v>
      </c>
      <c r="O159" s="17" t="b">
        <v>1</v>
      </c>
      <c r="P159" s="17" t="b">
        <v>1</v>
      </c>
      <c r="Q159" s="17" t="b">
        <v>1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0</v>
      </c>
      <c r="W159" s="11" t="s">
        <v>1111</v>
      </c>
      <c r="X159" s="12" t="s">
        <v>14</v>
      </c>
      <c r="Y159" s="12" t="s">
        <v>14</v>
      </c>
      <c r="Z159" s="13" t="s">
        <v>342</v>
      </c>
    </row>
    <row r="160" spans="1:26" ht="19.899999999999999" customHeight="1" x14ac:dyDescent="0.25">
      <c r="A160" s="6">
        <v>45938</v>
      </c>
      <c r="B160" s="7" t="s">
        <v>483</v>
      </c>
      <c r="C160" s="8" t="s">
        <v>693</v>
      </c>
      <c r="D160" s="8" t="s">
        <v>696</v>
      </c>
      <c r="E160" s="8" t="s">
        <v>697</v>
      </c>
      <c r="F160" s="9" t="s">
        <v>698</v>
      </c>
      <c r="G160" s="9" t="s">
        <v>695</v>
      </c>
      <c r="H160" s="9" t="s">
        <v>699</v>
      </c>
      <c r="I160" s="9" t="s">
        <v>66</v>
      </c>
      <c r="J160" s="10" t="s">
        <v>174</v>
      </c>
      <c r="K160" s="15" t="str">
        <f>VLOOKUP(J160,DADOS!$A$3:$B$105,2,FALSE)</f>
        <v>EE-GI-001-007</v>
      </c>
      <c r="L160" s="15" t="s">
        <v>341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1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0</v>
      </c>
      <c r="W160" s="11" t="s">
        <v>696</v>
      </c>
      <c r="X160" s="12" t="s">
        <v>14</v>
      </c>
      <c r="Y160" s="12" t="s">
        <v>14</v>
      </c>
      <c r="Z160" s="13" t="s">
        <v>342</v>
      </c>
    </row>
    <row r="161" spans="1:26" ht="19.899999999999999" customHeight="1" x14ac:dyDescent="0.25">
      <c r="A161" s="6">
        <v>45939</v>
      </c>
      <c r="B161" s="7" t="s">
        <v>400</v>
      </c>
      <c r="C161" s="8" t="s">
        <v>1873</v>
      </c>
      <c r="D161" s="8" t="s">
        <v>282</v>
      </c>
      <c r="E161" s="8" t="s">
        <v>842</v>
      </c>
      <c r="F161" s="9" t="s">
        <v>442</v>
      </c>
      <c r="G161" s="9" t="s">
        <v>443</v>
      </c>
      <c r="H161" s="9" t="s">
        <v>1081</v>
      </c>
      <c r="I161" s="9" t="s">
        <v>66</v>
      </c>
      <c r="J161" s="10" t="s">
        <v>21</v>
      </c>
      <c r="K161" s="15" t="str">
        <f>VLOOKUP(J161,DADOS!$A$3:$B$105,2,FALSE)</f>
        <v>EE-GI-221-064</v>
      </c>
      <c r="L161" s="15" t="s">
        <v>736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1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0</v>
      </c>
      <c r="W161" s="11" t="s">
        <v>282</v>
      </c>
      <c r="X161" s="12" t="s">
        <v>14</v>
      </c>
      <c r="Y161" s="12" t="s">
        <v>14</v>
      </c>
      <c r="Z161" s="13" t="s">
        <v>342</v>
      </c>
    </row>
    <row r="162" spans="1:26" ht="19.899999999999999" customHeight="1" x14ac:dyDescent="0.25">
      <c r="A162" s="6">
        <v>45939</v>
      </c>
      <c r="B162" s="7" t="s">
        <v>400</v>
      </c>
      <c r="C162" s="8" t="s">
        <v>441</v>
      </c>
      <c r="D162" s="8" t="s">
        <v>881</v>
      </c>
      <c r="E162" s="8" t="s">
        <v>842</v>
      </c>
      <c r="F162" s="9" t="s">
        <v>1082</v>
      </c>
      <c r="G162" s="9" t="s">
        <v>443</v>
      </c>
      <c r="H162" s="9" t="s">
        <v>1081</v>
      </c>
      <c r="I162" s="9" t="s">
        <v>66</v>
      </c>
      <c r="J162" s="10" t="s">
        <v>21</v>
      </c>
      <c r="K162" s="15" t="str">
        <f>VLOOKUP(J162,DADOS!$A$3:$B$105,2,FALSE)</f>
        <v>EE-GI-221-064</v>
      </c>
      <c r="L162" s="15" t="s">
        <v>736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1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0</v>
      </c>
      <c r="W162" s="11" t="s">
        <v>881</v>
      </c>
      <c r="X162" s="12" t="s">
        <v>14</v>
      </c>
      <c r="Y162" s="12" t="s">
        <v>14</v>
      </c>
      <c r="Z162" s="13" t="s">
        <v>342</v>
      </c>
    </row>
    <row r="163" spans="1:26" ht="19.899999999999999" customHeight="1" x14ac:dyDescent="0.25">
      <c r="A163" s="6">
        <v>45939</v>
      </c>
      <c r="B163" s="7" t="s">
        <v>400</v>
      </c>
      <c r="C163" s="8" t="s">
        <v>401</v>
      </c>
      <c r="D163" s="8" t="s">
        <v>409</v>
      </c>
      <c r="E163" s="8" t="s">
        <v>842</v>
      </c>
      <c r="F163" s="9" t="s">
        <v>1083</v>
      </c>
      <c r="G163" s="9" t="s">
        <v>443</v>
      </c>
      <c r="H163" s="9" t="s">
        <v>1084</v>
      </c>
      <c r="I163" s="9" t="s">
        <v>66</v>
      </c>
      <c r="J163" s="10" t="s">
        <v>21</v>
      </c>
      <c r="K163" s="15" t="str">
        <f>VLOOKUP(J163,DADOS!$A$3:$B$105,2,FALSE)</f>
        <v>EE-GI-221-064</v>
      </c>
      <c r="L163" s="15" t="s">
        <v>736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1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0</v>
      </c>
      <c r="W163" s="11" t="s">
        <v>409</v>
      </c>
      <c r="X163" s="12" t="s">
        <v>14</v>
      </c>
      <c r="Y163" s="12" t="s">
        <v>14</v>
      </c>
      <c r="Z163" s="13" t="s">
        <v>342</v>
      </c>
    </row>
    <row r="164" spans="1:26" ht="19.899999999999999" customHeight="1" x14ac:dyDescent="0.25">
      <c r="A164" s="6">
        <v>45939</v>
      </c>
      <c r="B164" s="7" t="s">
        <v>400</v>
      </c>
      <c r="C164" s="8" t="s">
        <v>401</v>
      </c>
      <c r="D164" s="8" t="s">
        <v>409</v>
      </c>
      <c r="E164" s="8" t="s">
        <v>842</v>
      </c>
      <c r="F164" s="9" t="s">
        <v>1085</v>
      </c>
      <c r="G164" s="9" t="s">
        <v>443</v>
      </c>
      <c r="H164" s="9" t="s">
        <v>1084</v>
      </c>
      <c r="I164" s="9" t="s">
        <v>66</v>
      </c>
      <c r="J164" s="10" t="s">
        <v>21</v>
      </c>
      <c r="K164" s="15" t="str">
        <f>VLOOKUP(J164,DADOS!$A$3:$B$105,2,FALSE)</f>
        <v>EE-GI-221-064</v>
      </c>
      <c r="L164" s="15" t="s">
        <v>736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1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0</v>
      </c>
      <c r="W164" s="11" t="s">
        <v>409</v>
      </c>
      <c r="X164" s="12" t="s">
        <v>14</v>
      </c>
      <c r="Y164" s="12" t="s">
        <v>14</v>
      </c>
      <c r="Z164" s="13" t="s">
        <v>342</v>
      </c>
    </row>
    <row r="165" spans="1:26" ht="19.899999999999999" customHeight="1" x14ac:dyDescent="0.25">
      <c r="A165" s="6">
        <v>45939</v>
      </c>
      <c r="B165" s="7" t="s">
        <v>400</v>
      </c>
      <c r="C165" s="8" t="s">
        <v>401</v>
      </c>
      <c r="D165" s="8" t="s">
        <v>264</v>
      </c>
      <c r="E165" s="8" t="s">
        <v>842</v>
      </c>
      <c r="F165" s="9" t="s">
        <v>1086</v>
      </c>
      <c r="G165" s="9" t="s">
        <v>443</v>
      </c>
      <c r="H165" s="9" t="s">
        <v>1084</v>
      </c>
      <c r="I165" s="9" t="s">
        <v>66</v>
      </c>
      <c r="J165" s="10" t="s">
        <v>21</v>
      </c>
      <c r="K165" s="15" t="str">
        <f>VLOOKUP(J165,DADOS!$A$3:$B$105,2,FALSE)</f>
        <v>EE-GI-221-064</v>
      </c>
      <c r="L165" s="15" t="s">
        <v>736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1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0</v>
      </c>
      <c r="W165" s="11" t="s">
        <v>264</v>
      </c>
      <c r="X165" s="12" t="s">
        <v>14</v>
      </c>
      <c r="Y165" s="12" t="s">
        <v>14</v>
      </c>
      <c r="Z165" s="13" t="s">
        <v>342</v>
      </c>
    </row>
    <row r="166" spans="1:26" ht="19.899999999999999" customHeight="1" x14ac:dyDescent="0.25">
      <c r="A166" s="6">
        <v>45939</v>
      </c>
      <c r="B166" s="7" t="s">
        <v>713</v>
      </c>
      <c r="C166" s="8" t="s">
        <v>714</v>
      </c>
      <c r="D166" s="8" t="s">
        <v>264</v>
      </c>
      <c r="E166" s="8" t="s">
        <v>715</v>
      </c>
      <c r="F166" s="9" t="s">
        <v>716</v>
      </c>
      <c r="G166" s="9" t="s">
        <v>719</v>
      </c>
      <c r="H166" s="9" t="s">
        <v>720</v>
      </c>
      <c r="I166" s="9" t="s">
        <v>97</v>
      </c>
      <c r="J166" s="10" t="s">
        <v>194</v>
      </c>
      <c r="K166" s="15" t="str">
        <f>VLOOKUP(J166,DADOS!$A$3:$B$105,2,FALSE)</f>
        <v>EE-GI-001-046</v>
      </c>
      <c r="L166" s="15" t="s">
        <v>299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1</v>
      </c>
      <c r="S166" s="17" t="b">
        <v>0</v>
      </c>
      <c r="T166" s="17" t="b">
        <v>0</v>
      </c>
      <c r="U166" s="17" t="b">
        <v>0</v>
      </c>
      <c r="V166" s="17" t="b">
        <v>0</v>
      </c>
      <c r="W166" s="11" t="s">
        <v>14</v>
      </c>
      <c r="X166" s="12" t="s">
        <v>264</v>
      </c>
      <c r="Y166" s="12" t="s">
        <v>721</v>
      </c>
      <c r="Z166" s="12" t="s">
        <v>270</v>
      </c>
    </row>
    <row r="167" spans="1:26" ht="19.899999999999999" customHeight="1" x14ac:dyDescent="0.25">
      <c r="A167" s="6">
        <v>45939</v>
      </c>
      <c r="B167" s="7" t="s">
        <v>713</v>
      </c>
      <c r="C167" s="8" t="s">
        <v>714</v>
      </c>
      <c r="D167" s="8" t="s">
        <v>264</v>
      </c>
      <c r="E167" s="8" t="s">
        <v>715</v>
      </c>
      <c r="F167" s="9" t="s">
        <v>718</v>
      </c>
      <c r="G167" s="9" t="s">
        <v>719</v>
      </c>
      <c r="H167" s="9" t="s">
        <v>720</v>
      </c>
      <c r="I167" s="9" t="s">
        <v>97</v>
      </c>
      <c r="J167" s="10" t="s">
        <v>194</v>
      </c>
      <c r="K167" s="15" t="str">
        <f>VLOOKUP(J167,DADOS!$A$3:$B$105,2,FALSE)</f>
        <v>EE-GI-001-046</v>
      </c>
      <c r="L167" s="15" t="s">
        <v>299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1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14</v>
      </c>
      <c r="X167" s="12" t="s">
        <v>264</v>
      </c>
      <c r="Y167" s="12" t="s">
        <v>721</v>
      </c>
      <c r="Z167" s="12" t="s">
        <v>270</v>
      </c>
    </row>
    <row r="168" spans="1:26" ht="19.899999999999999" customHeight="1" x14ac:dyDescent="0.25">
      <c r="A168" s="6">
        <v>45939</v>
      </c>
      <c r="B168" s="7" t="s">
        <v>713</v>
      </c>
      <c r="C168" s="8" t="s">
        <v>722</v>
      </c>
      <c r="D168" s="8" t="s">
        <v>264</v>
      </c>
      <c r="E168" s="8" t="s">
        <v>715</v>
      </c>
      <c r="F168" s="9" t="s">
        <v>723</v>
      </c>
      <c r="G168" s="9" t="s">
        <v>724</v>
      </c>
      <c r="H168" s="9" t="s">
        <v>725</v>
      </c>
      <c r="I168" s="9" t="s">
        <v>97</v>
      </c>
      <c r="J168" s="10" t="s">
        <v>194</v>
      </c>
      <c r="K168" s="15" t="str">
        <f>VLOOKUP(J168,DADOS!$A$3:$B$105,2,FALSE)</f>
        <v>EE-GI-001-046</v>
      </c>
      <c r="L168" s="15" t="s">
        <v>299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0</v>
      </c>
      <c r="W168" s="11" t="s">
        <v>14</v>
      </c>
      <c r="X168" s="12" t="s">
        <v>264</v>
      </c>
      <c r="Y168" s="12" t="s">
        <v>726</v>
      </c>
      <c r="Z168" s="12" t="s">
        <v>270</v>
      </c>
    </row>
    <row r="169" spans="1:26" ht="19.899999999999999" customHeight="1" x14ac:dyDescent="0.25">
      <c r="A169" s="6">
        <v>45939</v>
      </c>
      <c r="B169" s="7" t="s">
        <v>713</v>
      </c>
      <c r="C169" s="8" t="s">
        <v>722</v>
      </c>
      <c r="D169" s="8" t="s">
        <v>264</v>
      </c>
      <c r="E169" s="8" t="s">
        <v>715</v>
      </c>
      <c r="F169" s="9" t="s">
        <v>717</v>
      </c>
      <c r="G169" s="9" t="s">
        <v>724</v>
      </c>
      <c r="H169" s="9" t="s">
        <v>725</v>
      </c>
      <c r="I169" s="9" t="s">
        <v>97</v>
      </c>
      <c r="J169" s="10" t="s">
        <v>194</v>
      </c>
      <c r="K169" s="15" t="str">
        <f>VLOOKUP(J169,DADOS!$A$3:$B$105,2,FALSE)</f>
        <v>EE-GI-001-046</v>
      </c>
      <c r="L169" s="15" t="s">
        <v>299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1</v>
      </c>
      <c r="S169" s="17" t="b">
        <v>0</v>
      </c>
      <c r="T169" s="17" t="b">
        <v>0</v>
      </c>
      <c r="U169" s="17" t="b">
        <v>0</v>
      </c>
      <c r="V169" s="17" t="b">
        <v>0</v>
      </c>
      <c r="W169" s="11" t="s">
        <v>14</v>
      </c>
      <c r="X169" s="12" t="s">
        <v>264</v>
      </c>
      <c r="Y169" s="12" t="s">
        <v>726</v>
      </c>
      <c r="Z169" s="12" t="s">
        <v>270</v>
      </c>
    </row>
    <row r="170" spans="1:26" ht="19.899999999999999" customHeight="1" x14ac:dyDescent="0.25">
      <c r="A170" s="6">
        <v>45939</v>
      </c>
      <c r="B170" s="7" t="s">
        <v>713</v>
      </c>
      <c r="C170" s="8" t="s">
        <v>727</v>
      </c>
      <c r="D170" s="8" t="s">
        <v>264</v>
      </c>
      <c r="E170" s="8" t="s">
        <v>715</v>
      </c>
      <c r="F170" s="9" t="s">
        <v>728</v>
      </c>
      <c r="G170" s="9" t="s">
        <v>729</v>
      </c>
      <c r="H170" s="9" t="s">
        <v>730</v>
      </c>
      <c r="I170" s="9" t="s">
        <v>97</v>
      </c>
      <c r="J170" s="10" t="s">
        <v>194</v>
      </c>
      <c r="K170" s="15" t="str">
        <f>VLOOKUP(J170,DADOS!$A$3:$B$105,2,FALSE)</f>
        <v>EE-GI-001-046</v>
      </c>
      <c r="L170" s="15" t="s">
        <v>268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1</v>
      </c>
      <c r="S170" s="17" t="b">
        <v>0</v>
      </c>
      <c r="T170" s="17" t="b">
        <v>0</v>
      </c>
      <c r="U170" s="17" t="b">
        <v>0</v>
      </c>
      <c r="V170" s="17" t="b">
        <v>0</v>
      </c>
      <c r="W170" s="11" t="s">
        <v>14</v>
      </c>
      <c r="X170" s="12" t="s">
        <v>264</v>
      </c>
      <c r="Y170" s="12" t="s">
        <v>750</v>
      </c>
      <c r="Z170" s="12" t="s">
        <v>270</v>
      </c>
    </row>
    <row r="171" spans="1:26" ht="19.899999999999999" customHeight="1" x14ac:dyDescent="0.25">
      <c r="A171" s="6">
        <v>45939</v>
      </c>
      <c r="B171" s="7" t="s">
        <v>713</v>
      </c>
      <c r="C171" s="8" t="s">
        <v>751</v>
      </c>
      <c r="D171" s="8" t="s">
        <v>264</v>
      </c>
      <c r="E171" s="8" t="s">
        <v>715</v>
      </c>
      <c r="F171" s="9" t="s">
        <v>752</v>
      </c>
      <c r="G171" s="9" t="s">
        <v>753</v>
      </c>
      <c r="H171" s="9" t="s">
        <v>754</v>
      </c>
      <c r="I171" s="9" t="s">
        <v>97</v>
      </c>
      <c r="J171" s="10" t="s">
        <v>194</v>
      </c>
      <c r="K171" s="15" t="str">
        <f>VLOOKUP(J171,DADOS!$A$3:$B$105,2,FALSE)</f>
        <v>EE-GI-001-046</v>
      </c>
      <c r="L171" s="15" t="s">
        <v>268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1</v>
      </c>
      <c r="S171" s="17" t="b">
        <v>0</v>
      </c>
      <c r="T171" s="17" t="b">
        <v>0</v>
      </c>
      <c r="U171" s="17" t="b">
        <v>0</v>
      </c>
      <c r="V171" s="17" t="b">
        <v>0</v>
      </c>
      <c r="W171" s="11" t="s">
        <v>264</v>
      </c>
      <c r="X171" s="12" t="s">
        <v>14</v>
      </c>
      <c r="Y171" s="12" t="s">
        <v>14</v>
      </c>
      <c r="Z171" s="13" t="s">
        <v>270</v>
      </c>
    </row>
    <row r="172" spans="1:26" ht="19.899999999999999" customHeight="1" x14ac:dyDescent="0.25">
      <c r="A172" s="6">
        <v>45939</v>
      </c>
      <c r="B172" s="7" t="s">
        <v>713</v>
      </c>
      <c r="C172" s="8" t="s">
        <v>755</v>
      </c>
      <c r="D172" s="8" t="s">
        <v>408</v>
      </c>
      <c r="E172" s="8" t="s">
        <v>715</v>
      </c>
      <c r="F172" s="9" t="s">
        <v>756</v>
      </c>
      <c r="G172" s="9" t="s">
        <v>757</v>
      </c>
      <c r="H172" s="9" t="s">
        <v>758</v>
      </c>
      <c r="I172" s="9" t="s">
        <v>69</v>
      </c>
      <c r="J172" s="10" t="s">
        <v>15</v>
      </c>
      <c r="K172" s="15" t="str">
        <f>VLOOKUP(J172,DADOS!$A$3:$B$105,2,FALSE)</f>
        <v>EE-GI-001-002</v>
      </c>
      <c r="L172" s="15" t="s">
        <v>268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1</v>
      </c>
      <c r="S172" s="17" t="b">
        <v>0</v>
      </c>
      <c r="T172" s="17" t="b">
        <v>0</v>
      </c>
      <c r="U172" s="17" t="b">
        <v>0</v>
      </c>
      <c r="V172" s="17" t="b">
        <v>0</v>
      </c>
      <c r="W172" s="11" t="s">
        <v>408</v>
      </c>
      <c r="X172" s="12" t="s">
        <v>14</v>
      </c>
      <c r="Y172" s="12" t="s">
        <v>14</v>
      </c>
      <c r="Z172" s="13" t="s">
        <v>270</v>
      </c>
    </row>
    <row r="173" spans="1:26" ht="19.899999999999999" customHeight="1" x14ac:dyDescent="0.25">
      <c r="A173" s="6">
        <v>45939</v>
      </c>
      <c r="B173" s="7" t="s">
        <v>732</v>
      </c>
      <c r="C173" s="8" t="s">
        <v>731</v>
      </c>
      <c r="D173" s="8" t="s">
        <v>409</v>
      </c>
      <c r="E173" s="8" t="s">
        <v>733</v>
      </c>
      <c r="F173" s="9" t="s">
        <v>734</v>
      </c>
      <c r="G173" s="9" t="s">
        <v>687</v>
      </c>
      <c r="H173" s="9" t="s">
        <v>735</v>
      </c>
      <c r="I173" s="9" t="s">
        <v>67</v>
      </c>
      <c r="J173" s="10" t="s">
        <v>174</v>
      </c>
      <c r="K173" s="15" t="str">
        <f>VLOOKUP(J173,DADOS!$A$3:$B$105,2,FALSE)</f>
        <v>EE-GI-001-007</v>
      </c>
      <c r="L173" s="15" t="s">
        <v>736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0</v>
      </c>
      <c r="W173" s="11" t="s">
        <v>737</v>
      </c>
      <c r="X173" s="12" t="s">
        <v>14</v>
      </c>
      <c r="Y173" s="12" t="s">
        <v>14</v>
      </c>
      <c r="Z173" s="13" t="s">
        <v>342</v>
      </c>
    </row>
    <row r="174" spans="1:26" ht="19.899999999999999" customHeight="1" x14ac:dyDescent="0.25">
      <c r="A174" s="6">
        <v>45939</v>
      </c>
      <c r="B174" s="7" t="s">
        <v>732</v>
      </c>
      <c r="C174" s="8" t="s">
        <v>667</v>
      </c>
      <c r="D174" s="8" t="s">
        <v>738</v>
      </c>
      <c r="E174" s="8" t="s">
        <v>733</v>
      </c>
      <c r="F174" s="9" t="s">
        <v>739</v>
      </c>
      <c r="G174" s="9" t="s">
        <v>740</v>
      </c>
      <c r="H174" s="9" t="s">
        <v>741</v>
      </c>
      <c r="I174" s="9" t="s">
        <v>66</v>
      </c>
      <c r="J174" s="10" t="s">
        <v>174</v>
      </c>
      <c r="K174" s="15" t="str">
        <f>VLOOKUP(J174,DADOS!$A$3:$B$105,2,FALSE)</f>
        <v>EE-GI-001-007</v>
      </c>
      <c r="L174" s="15" t="s">
        <v>736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0</v>
      </c>
      <c r="W174" s="11" t="s">
        <v>738</v>
      </c>
      <c r="X174" s="12" t="s">
        <v>14</v>
      </c>
      <c r="Y174" s="12" t="s">
        <v>14</v>
      </c>
      <c r="Z174" s="13" t="s">
        <v>342</v>
      </c>
    </row>
    <row r="175" spans="1:26" ht="19.899999999999999" customHeight="1" x14ac:dyDescent="0.25">
      <c r="A175" s="6">
        <v>45939</v>
      </c>
      <c r="B175" s="7" t="s">
        <v>732</v>
      </c>
      <c r="C175" s="8" t="s">
        <v>742</v>
      </c>
      <c r="D175" s="8" t="s">
        <v>743</v>
      </c>
      <c r="E175" s="8" t="s">
        <v>733</v>
      </c>
      <c r="F175" s="9" t="s">
        <v>744</v>
      </c>
      <c r="G175" s="9" t="s">
        <v>745</v>
      </c>
      <c r="H175" s="9" t="s">
        <v>746</v>
      </c>
      <c r="I175" s="9" t="s">
        <v>66</v>
      </c>
      <c r="J175" s="10" t="s">
        <v>174</v>
      </c>
      <c r="K175" s="15" t="str">
        <f>VLOOKUP(J175,DADOS!$A$3:$B$105,2,FALSE)</f>
        <v>EE-GI-001-007</v>
      </c>
      <c r="L175" s="15" t="s">
        <v>736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0</v>
      </c>
      <c r="W175" s="11" t="s">
        <v>743</v>
      </c>
      <c r="X175" s="12" t="s">
        <v>14</v>
      </c>
      <c r="Y175" s="12" t="s">
        <v>14</v>
      </c>
      <c r="Z175" s="13" t="s">
        <v>342</v>
      </c>
    </row>
    <row r="176" spans="1:26" ht="19.899999999999999" customHeight="1" x14ac:dyDescent="0.25">
      <c r="A176" s="6">
        <v>45939</v>
      </c>
      <c r="B176" s="7" t="s">
        <v>334</v>
      </c>
      <c r="C176" s="8" t="s">
        <v>1750</v>
      </c>
      <c r="D176" s="8" t="s">
        <v>264</v>
      </c>
      <c r="E176" s="8" t="s">
        <v>747</v>
      </c>
      <c r="F176" s="9" t="s">
        <v>748</v>
      </c>
      <c r="G176" s="9" t="s">
        <v>749</v>
      </c>
      <c r="H176" s="9" t="s">
        <v>340</v>
      </c>
      <c r="I176" s="9" t="s">
        <v>67</v>
      </c>
      <c r="J176" s="10" t="s">
        <v>174</v>
      </c>
      <c r="K176" s="15" t="str">
        <f>VLOOKUP(J176,DADOS!$A$3:$B$105,2,FALSE)</f>
        <v>EE-GI-001-007</v>
      </c>
      <c r="L176" s="15" t="s">
        <v>736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0</v>
      </c>
      <c r="W176" s="11" t="s">
        <v>264</v>
      </c>
      <c r="X176" s="12" t="s">
        <v>14</v>
      </c>
      <c r="Y176" s="12" t="s">
        <v>14</v>
      </c>
      <c r="Z176" s="13" t="s">
        <v>342</v>
      </c>
    </row>
    <row r="177" spans="1:26" ht="19.899999999999999" customHeight="1" x14ac:dyDescent="0.25">
      <c r="A177" s="6">
        <v>45939</v>
      </c>
      <c r="B177" s="7" t="s">
        <v>490</v>
      </c>
      <c r="C177" s="8" t="s">
        <v>1001</v>
      </c>
      <c r="D177" s="8" t="s">
        <v>264</v>
      </c>
      <c r="E177" s="8" t="s">
        <v>1010</v>
      </c>
      <c r="F177" s="9" t="s">
        <v>1002</v>
      </c>
      <c r="G177" s="9" t="s">
        <v>1011</v>
      </c>
      <c r="H177" s="9" t="s">
        <v>1012</v>
      </c>
      <c r="I177" s="9" t="s">
        <v>97</v>
      </c>
      <c r="J177" s="10" t="s">
        <v>185</v>
      </c>
      <c r="K177" s="15" t="str">
        <f>VLOOKUP(J177,DADOS!$A$3:$B$105,2,FALSE)</f>
        <v>EE-GI-001-031</v>
      </c>
      <c r="L177" s="15" t="s">
        <v>268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0</v>
      </c>
      <c r="W177" s="11" t="s">
        <v>264</v>
      </c>
      <c r="X177" s="12" t="s">
        <v>14</v>
      </c>
      <c r="Y177" s="12" t="s">
        <v>14</v>
      </c>
      <c r="Z177" s="13" t="s">
        <v>270</v>
      </c>
    </row>
    <row r="178" spans="1:26" ht="19.899999999999999" customHeight="1" x14ac:dyDescent="0.25">
      <c r="A178" s="6">
        <v>45939</v>
      </c>
      <c r="B178" s="7" t="s">
        <v>490</v>
      </c>
      <c r="C178" s="8" t="s">
        <v>1013</v>
      </c>
      <c r="D178" s="8" t="s">
        <v>264</v>
      </c>
      <c r="E178" s="8" t="s">
        <v>1021</v>
      </c>
      <c r="F178" s="9" t="s">
        <v>1014</v>
      </c>
      <c r="G178" s="9" t="s">
        <v>1022</v>
      </c>
      <c r="H178" s="9" t="s">
        <v>1023</v>
      </c>
      <c r="I178" s="9" t="s">
        <v>97</v>
      </c>
      <c r="J178" s="10" t="s">
        <v>185</v>
      </c>
      <c r="K178" s="15" t="str">
        <f>VLOOKUP(J178,DADOS!$A$3:$B$105,2,FALSE)</f>
        <v>EE-GI-001-031</v>
      </c>
      <c r="L178" s="15" t="s">
        <v>268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0</v>
      </c>
      <c r="W178" s="11" t="s">
        <v>264</v>
      </c>
      <c r="X178" s="12" t="s">
        <v>14</v>
      </c>
      <c r="Y178" s="12" t="s">
        <v>14</v>
      </c>
      <c r="Z178" s="13" t="s">
        <v>270</v>
      </c>
    </row>
    <row r="179" spans="1:26" ht="19.899999999999999" customHeight="1" x14ac:dyDescent="0.25">
      <c r="A179" s="6">
        <v>45940</v>
      </c>
      <c r="B179" s="7" t="s">
        <v>759</v>
      </c>
      <c r="C179" s="8" t="s">
        <v>760</v>
      </c>
      <c r="D179" s="8" t="s">
        <v>408</v>
      </c>
      <c r="E179" s="8" t="s">
        <v>761</v>
      </c>
      <c r="F179" s="9" t="s">
        <v>762</v>
      </c>
      <c r="G179" s="9" t="s">
        <v>763</v>
      </c>
      <c r="H179" s="9" t="s">
        <v>764</v>
      </c>
      <c r="I179" s="9" t="s">
        <v>66</v>
      </c>
      <c r="J179" s="10" t="s">
        <v>15</v>
      </c>
      <c r="K179" s="15" t="str">
        <f>VLOOKUP(J179,DADOS!$A$3:$B$105,2,FALSE)</f>
        <v>EE-GI-001-002</v>
      </c>
      <c r="L179" s="15" t="s">
        <v>636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0</v>
      </c>
      <c r="W179" s="11" t="s">
        <v>14</v>
      </c>
      <c r="X179" s="12" t="s">
        <v>408</v>
      </c>
      <c r="Y179" s="12" t="s">
        <v>765</v>
      </c>
      <c r="Z179" s="12" t="s">
        <v>342</v>
      </c>
    </row>
    <row r="180" spans="1:26" ht="19.899999999999999" customHeight="1" x14ac:dyDescent="0.25">
      <c r="A180" s="6">
        <v>45940</v>
      </c>
      <c r="B180" s="7" t="s">
        <v>390</v>
      </c>
      <c r="C180" s="8" t="s">
        <v>766</v>
      </c>
      <c r="D180" s="8" t="s">
        <v>264</v>
      </c>
      <c r="E180" s="8" t="s">
        <v>767</v>
      </c>
      <c r="F180" s="9" t="s">
        <v>768</v>
      </c>
      <c r="G180" s="9" t="s">
        <v>769</v>
      </c>
      <c r="H180" s="34"/>
      <c r="I180" s="9" t="s">
        <v>68</v>
      </c>
      <c r="J180" s="10" t="s">
        <v>186</v>
      </c>
      <c r="K180" s="15" t="str">
        <f>VLOOKUP(J180,DADOS!$A$3:$B$105,2,FALSE)</f>
        <v>EE-GI-001-008</v>
      </c>
      <c r="L180" s="15" t="s">
        <v>268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0</v>
      </c>
      <c r="W180" s="11" t="s">
        <v>264</v>
      </c>
      <c r="X180" s="12" t="s">
        <v>14</v>
      </c>
      <c r="Y180" s="12" t="s">
        <v>14</v>
      </c>
      <c r="Z180" s="13" t="s">
        <v>270</v>
      </c>
    </row>
    <row r="181" spans="1:26" ht="19.899999999999999" customHeight="1" x14ac:dyDescent="0.25">
      <c r="A181" s="6">
        <v>45940</v>
      </c>
      <c r="B181" s="7" t="s">
        <v>390</v>
      </c>
      <c r="C181" s="8" t="s">
        <v>770</v>
      </c>
      <c r="D181" s="8" t="s">
        <v>264</v>
      </c>
      <c r="E181" s="8" t="s">
        <v>771</v>
      </c>
      <c r="F181" s="9" t="s">
        <v>772</v>
      </c>
      <c r="G181" s="9" t="s">
        <v>769</v>
      </c>
      <c r="H181" s="34"/>
      <c r="I181" s="9" t="s">
        <v>64</v>
      </c>
      <c r="J181" s="10" t="s">
        <v>186</v>
      </c>
      <c r="K181" s="15" t="str">
        <f>VLOOKUP(J181,DADOS!$A$3:$B$105,2,FALSE)</f>
        <v>EE-GI-001-008</v>
      </c>
      <c r="L181" s="15" t="s">
        <v>383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0</v>
      </c>
      <c r="W181" s="11" t="s">
        <v>264</v>
      </c>
      <c r="X181" s="12" t="s">
        <v>14</v>
      </c>
      <c r="Y181" s="12" t="s">
        <v>14</v>
      </c>
      <c r="Z181" s="13" t="s">
        <v>270</v>
      </c>
    </row>
    <row r="182" spans="1:26" ht="19.899999999999999" customHeight="1" x14ac:dyDescent="0.25">
      <c r="A182" s="6">
        <v>45940</v>
      </c>
      <c r="B182" s="7" t="s">
        <v>390</v>
      </c>
      <c r="C182" s="8" t="s">
        <v>773</v>
      </c>
      <c r="D182" s="8" t="s">
        <v>273</v>
      </c>
      <c r="E182" s="8" t="s">
        <v>774</v>
      </c>
      <c r="F182" s="9" t="s">
        <v>775</v>
      </c>
      <c r="G182" s="9" t="s">
        <v>395</v>
      </c>
      <c r="H182" s="34"/>
      <c r="I182" s="9" t="s">
        <v>66</v>
      </c>
      <c r="J182" s="10" t="s">
        <v>186</v>
      </c>
      <c r="K182" s="15" t="str">
        <f>VLOOKUP(J182,DADOS!$A$3:$B$105,2,FALSE)</f>
        <v>EE-GI-001-008</v>
      </c>
      <c r="L182" s="15" t="s">
        <v>268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0</v>
      </c>
      <c r="W182" s="11" t="s">
        <v>273</v>
      </c>
      <c r="X182" s="12" t="s">
        <v>14</v>
      </c>
      <c r="Y182" s="12" t="s">
        <v>14</v>
      </c>
      <c r="Z182" s="13" t="s">
        <v>270</v>
      </c>
    </row>
    <row r="183" spans="1:26" ht="19.899999999999999" customHeight="1" x14ac:dyDescent="0.25">
      <c r="A183" s="6">
        <v>45940</v>
      </c>
      <c r="B183" s="7" t="s">
        <v>334</v>
      </c>
      <c r="C183" s="8" t="s">
        <v>795</v>
      </c>
      <c r="D183" s="8" t="s">
        <v>273</v>
      </c>
      <c r="E183" s="8" t="s">
        <v>796</v>
      </c>
      <c r="F183" s="9" t="s">
        <v>797</v>
      </c>
      <c r="G183" s="9" t="s">
        <v>366</v>
      </c>
      <c r="H183" s="9" t="s">
        <v>340</v>
      </c>
      <c r="I183" s="9" t="s">
        <v>66</v>
      </c>
      <c r="J183" s="10" t="s">
        <v>186</v>
      </c>
      <c r="K183" s="15" t="str">
        <f>VLOOKUP(J183,DADOS!$A$3:$B$105,2,FALSE)</f>
        <v>EE-GI-001-008</v>
      </c>
      <c r="L183" s="15" t="s">
        <v>341</v>
      </c>
      <c r="M183" s="18" t="b">
        <v>0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0</v>
      </c>
      <c r="W183" s="11" t="s">
        <v>273</v>
      </c>
      <c r="X183" s="12" t="s">
        <v>14</v>
      </c>
      <c r="Y183" s="12" t="s">
        <v>14</v>
      </c>
      <c r="Z183" s="13" t="s">
        <v>342</v>
      </c>
    </row>
    <row r="184" spans="1:26" ht="19.899999999999999" customHeight="1" x14ac:dyDescent="0.25">
      <c r="A184" s="6">
        <v>45940</v>
      </c>
      <c r="B184" s="7" t="s">
        <v>334</v>
      </c>
      <c r="C184" s="8" t="s">
        <v>626</v>
      </c>
      <c r="D184" s="8" t="s">
        <v>776</v>
      </c>
      <c r="E184" s="8" t="s">
        <v>349</v>
      </c>
      <c r="F184" s="9" t="s">
        <v>777</v>
      </c>
      <c r="G184" s="9" t="s">
        <v>798</v>
      </c>
      <c r="H184" s="9" t="s">
        <v>340</v>
      </c>
      <c r="I184" s="9" t="s">
        <v>66</v>
      </c>
      <c r="J184" s="10" t="s">
        <v>186</v>
      </c>
      <c r="K184" s="15" t="str">
        <f>VLOOKUP(J184,DADOS!$A$3:$B$105,2,FALSE)</f>
        <v>EE-GI-001-008</v>
      </c>
      <c r="L184" s="15" t="s">
        <v>341</v>
      </c>
      <c r="M184" s="18" t="b">
        <v>0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0</v>
      </c>
      <c r="W184" s="11" t="s">
        <v>799</v>
      </c>
      <c r="X184" s="12" t="s">
        <v>14</v>
      </c>
      <c r="Y184" s="12" t="s">
        <v>14</v>
      </c>
      <c r="Z184" s="13" t="s">
        <v>342</v>
      </c>
    </row>
    <row r="185" spans="1:26" ht="19.899999999999999" customHeight="1" x14ac:dyDescent="0.25">
      <c r="A185" s="6">
        <v>45940</v>
      </c>
      <c r="B185" s="7" t="s">
        <v>334</v>
      </c>
      <c r="C185" s="8" t="s">
        <v>626</v>
      </c>
      <c r="D185" s="8" t="s">
        <v>776</v>
      </c>
      <c r="E185" s="8" t="s">
        <v>349</v>
      </c>
      <c r="F185" s="9" t="s">
        <v>777</v>
      </c>
      <c r="G185" s="9" t="s">
        <v>328</v>
      </c>
      <c r="H185" s="34" t="s">
        <v>340</v>
      </c>
      <c r="I185" s="9" t="s">
        <v>66</v>
      </c>
      <c r="J185" s="10" t="s">
        <v>15</v>
      </c>
      <c r="K185" s="15" t="str">
        <f>VLOOKUP(J185,DADOS!$A$3:$B$105,2,FALSE)</f>
        <v>EE-GI-001-002</v>
      </c>
      <c r="L185" s="15" t="s">
        <v>341</v>
      </c>
      <c r="M185" s="18" t="b">
        <v>0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0</v>
      </c>
      <c r="W185" s="11" t="s">
        <v>776</v>
      </c>
      <c r="X185" s="12" t="s">
        <v>14</v>
      </c>
      <c r="Y185" s="12" t="s">
        <v>14</v>
      </c>
      <c r="Z185" s="13" t="s">
        <v>342</v>
      </c>
    </row>
    <row r="186" spans="1:26" ht="19.899999999999999" customHeight="1" x14ac:dyDescent="0.25">
      <c r="A186" s="6">
        <v>45940</v>
      </c>
      <c r="B186" s="7" t="s">
        <v>984</v>
      </c>
      <c r="C186" s="8" t="s">
        <v>985</v>
      </c>
      <c r="D186" s="8" t="s">
        <v>986</v>
      </c>
      <c r="E186" s="8" t="s">
        <v>987</v>
      </c>
      <c r="F186" s="9" t="s">
        <v>988</v>
      </c>
      <c r="G186" s="9" t="s">
        <v>989</v>
      </c>
      <c r="H186" s="9" t="s">
        <v>990</v>
      </c>
      <c r="I186" s="9" t="s">
        <v>66</v>
      </c>
      <c r="J186" s="10" t="s">
        <v>186</v>
      </c>
      <c r="K186" s="15" t="str">
        <f>VLOOKUP(J186,DADOS!$A$3:$B$105,2,FALSE)</f>
        <v>EE-GI-001-008</v>
      </c>
      <c r="L186" s="15" t="s">
        <v>341</v>
      </c>
      <c r="M186" s="18" t="b">
        <v>0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986</v>
      </c>
      <c r="X186" s="12" t="s">
        <v>14</v>
      </c>
      <c r="Y186" s="12" t="s">
        <v>14</v>
      </c>
      <c r="Z186" s="13" t="s">
        <v>342</v>
      </c>
    </row>
    <row r="187" spans="1:26" ht="19.899999999999999" customHeight="1" x14ac:dyDescent="0.25">
      <c r="A187" s="6">
        <v>45940</v>
      </c>
      <c r="B187" s="7" t="s">
        <v>984</v>
      </c>
      <c r="C187" s="8" t="s">
        <v>985</v>
      </c>
      <c r="D187" s="8" t="s">
        <v>291</v>
      </c>
      <c r="E187" s="8" t="s">
        <v>987</v>
      </c>
      <c r="F187" s="9" t="s">
        <v>988</v>
      </c>
      <c r="G187" s="9" t="s">
        <v>989</v>
      </c>
      <c r="H187" s="9" t="s">
        <v>990</v>
      </c>
      <c r="I187" s="9" t="s">
        <v>66</v>
      </c>
      <c r="J187" s="10" t="s">
        <v>186</v>
      </c>
      <c r="K187" s="15" t="str">
        <f>VLOOKUP(J187,DADOS!$A$3:$B$105,2,FALSE)</f>
        <v>EE-GI-001-008</v>
      </c>
      <c r="L187" s="15" t="s">
        <v>341</v>
      </c>
      <c r="M187" s="18" t="b">
        <v>0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291</v>
      </c>
      <c r="X187" s="12" t="s">
        <v>14</v>
      </c>
      <c r="Y187" s="12" t="s">
        <v>14</v>
      </c>
      <c r="Z187" s="13" t="s">
        <v>342</v>
      </c>
    </row>
    <row r="188" spans="1:26" ht="19.899999999999999" customHeight="1" x14ac:dyDescent="0.25">
      <c r="A188" s="6">
        <v>45940</v>
      </c>
      <c r="B188" s="7" t="s">
        <v>334</v>
      </c>
      <c r="C188" s="8" t="s">
        <v>626</v>
      </c>
      <c r="D188" s="8" t="s">
        <v>776</v>
      </c>
      <c r="E188" s="8" t="s">
        <v>349</v>
      </c>
      <c r="F188" s="9" t="s">
        <v>777</v>
      </c>
      <c r="G188" s="9" t="s">
        <v>328</v>
      </c>
      <c r="H188" s="9" t="s">
        <v>340</v>
      </c>
      <c r="I188" s="9" t="s">
        <v>66</v>
      </c>
      <c r="J188" s="10" t="s">
        <v>15</v>
      </c>
      <c r="K188" s="15" t="str">
        <f>VLOOKUP(J188,DADOS!$A$3:$B$105,2,FALSE)</f>
        <v>EE-GI-001-002</v>
      </c>
      <c r="L188" s="15" t="s">
        <v>341</v>
      </c>
      <c r="M188" s="18" t="b">
        <v>0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0</v>
      </c>
      <c r="W188" s="11" t="s">
        <v>776</v>
      </c>
      <c r="X188" s="12" t="s">
        <v>14</v>
      </c>
      <c r="Y188" s="12" t="s">
        <v>14</v>
      </c>
      <c r="Z188" s="13" t="s">
        <v>342</v>
      </c>
    </row>
    <row r="189" spans="1:26" ht="19.899999999999999" customHeight="1" x14ac:dyDescent="0.25">
      <c r="A189" s="6">
        <v>45940</v>
      </c>
      <c r="B189" s="7" t="s">
        <v>334</v>
      </c>
      <c r="C189" s="8" t="s">
        <v>778</v>
      </c>
      <c r="D189" s="8" t="s">
        <v>331</v>
      </c>
      <c r="E189" s="8" t="s">
        <v>349</v>
      </c>
      <c r="F189" s="9" t="s">
        <v>779</v>
      </c>
      <c r="G189" s="9" t="s">
        <v>780</v>
      </c>
      <c r="H189" s="9" t="s">
        <v>340</v>
      </c>
      <c r="I189" s="9" t="s">
        <v>66</v>
      </c>
      <c r="J189" s="10" t="s">
        <v>15</v>
      </c>
      <c r="K189" s="15" t="str">
        <f>VLOOKUP(J189,DADOS!$A$3:$B$105,2,FALSE)</f>
        <v>EE-GI-001-002</v>
      </c>
      <c r="L189" s="15" t="s">
        <v>341</v>
      </c>
      <c r="M189" s="18" t="b">
        <v>0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0</v>
      </c>
      <c r="U189" s="17" t="b">
        <v>0</v>
      </c>
      <c r="V189" s="17" t="b">
        <v>0</v>
      </c>
      <c r="W189" s="11" t="s">
        <v>331</v>
      </c>
      <c r="X189" s="12" t="s">
        <v>14</v>
      </c>
      <c r="Y189" s="12" t="s">
        <v>14</v>
      </c>
      <c r="Z189" s="13" t="s">
        <v>342</v>
      </c>
    </row>
    <row r="190" spans="1:26" ht="19.899999999999999" customHeight="1" x14ac:dyDescent="0.25">
      <c r="A190" s="6">
        <v>45940</v>
      </c>
      <c r="B190" s="7" t="s">
        <v>334</v>
      </c>
      <c r="C190" s="8" t="s">
        <v>781</v>
      </c>
      <c r="D190" s="8" t="s">
        <v>402</v>
      </c>
      <c r="E190" s="8" t="s">
        <v>349</v>
      </c>
      <c r="F190" s="9" t="s">
        <v>782</v>
      </c>
      <c r="G190" s="9" t="s">
        <v>783</v>
      </c>
      <c r="H190" s="9" t="s">
        <v>340</v>
      </c>
      <c r="I190" s="9" t="s">
        <v>66</v>
      </c>
      <c r="J190" s="10" t="s">
        <v>15</v>
      </c>
      <c r="K190" s="15" t="str">
        <f>VLOOKUP(J190,DADOS!$A$3:$B$105,2,FALSE)</f>
        <v>EE-GI-001-002</v>
      </c>
      <c r="L190" s="15" t="s">
        <v>341</v>
      </c>
      <c r="M190" s="18" t="b">
        <v>0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0</v>
      </c>
      <c r="W190" s="11" t="s">
        <v>273</v>
      </c>
      <c r="X190" s="12" t="s">
        <v>264</v>
      </c>
      <c r="Y190" s="12" t="s">
        <v>784</v>
      </c>
      <c r="Z190" s="12" t="s">
        <v>342</v>
      </c>
    </row>
    <row r="191" spans="1:26" ht="19.899999999999999" customHeight="1" x14ac:dyDescent="0.25">
      <c r="A191" s="6">
        <v>45940</v>
      </c>
      <c r="B191" s="7" t="s">
        <v>1129</v>
      </c>
      <c r="C191" s="8" t="s">
        <v>1130</v>
      </c>
      <c r="D191" s="8" t="s">
        <v>331</v>
      </c>
      <c r="E191" s="8" t="s">
        <v>1131</v>
      </c>
      <c r="F191" s="9" t="s">
        <v>1132</v>
      </c>
      <c r="G191" s="9" t="s">
        <v>1133</v>
      </c>
      <c r="H191" s="9" t="s">
        <v>1134</v>
      </c>
      <c r="I191" s="9" t="s">
        <v>69</v>
      </c>
      <c r="J191" s="10" t="s">
        <v>258</v>
      </c>
      <c r="K191" s="15" t="str">
        <f>VLOOKUP(J191,DADOS!$A$3:$B$105,2,FALSE)</f>
        <v>EE-GI-001-071</v>
      </c>
      <c r="L191" s="15" t="s">
        <v>268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331</v>
      </c>
      <c r="X191" s="12" t="s">
        <v>14</v>
      </c>
      <c r="Y191" s="12" t="s">
        <v>14</v>
      </c>
      <c r="Z191" s="13" t="s">
        <v>270</v>
      </c>
    </row>
    <row r="192" spans="1:26" ht="19.899999999999999" customHeight="1" x14ac:dyDescent="0.25">
      <c r="A192" s="6">
        <v>45940</v>
      </c>
      <c r="B192" s="7" t="s">
        <v>1135</v>
      </c>
      <c r="C192" s="8" t="s">
        <v>1136</v>
      </c>
      <c r="D192" s="8" t="s">
        <v>331</v>
      </c>
      <c r="E192" s="8" t="s">
        <v>1137</v>
      </c>
      <c r="F192" s="9" t="s">
        <v>1138</v>
      </c>
      <c r="G192" s="9" t="s">
        <v>1139</v>
      </c>
      <c r="H192" s="9" t="s">
        <v>1140</v>
      </c>
      <c r="I192" s="9" t="s">
        <v>69</v>
      </c>
      <c r="J192" s="10" t="s">
        <v>254</v>
      </c>
      <c r="K192" s="15" t="str">
        <f>VLOOKUP(J192,DADOS!$A$3:$B$105,2,FALSE)</f>
        <v>EE-GI-001-073</v>
      </c>
      <c r="L192" s="15" t="s">
        <v>299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1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331</v>
      </c>
      <c r="X192" s="12" t="s">
        <v>14</v>
      </c>
      <c r="Y192" s="12" t="s">
        <v>14</v>
      </c>
      <c r="Z192" s="13" t="s">
        <v>270</v>
      </c>
    </row>
    <row r="193" spans="1:26" ht="19.899999999999999" customHeight="1" x14ac:dyDescent="0.25">
      <c r="A193" s="6">
        <v>45940</v>
      </c>
      <c r="B193" s="7" t="s">
        <v>1135</v>
      </c>
      <c r="C193" s="8" t="s">
        <v>1141</v>
      </c>
      <c r="D193" s="8" t="s">
        <v>408</v>
      </c>
      <c r="E193" s="8" t="s">
        <v>1142</v>
      </c>
      <c r="F193" s="9" t="s">
        <v>1143</v>
      </c>
      <c r="G193" s="9" t="s">
        <v>1146</v>
      </c>
      <c r="H193" s="9" t="s">
        <v>1134</v>
      </c>
      <c r="I193" s="9" t="s">
        <v>65</v>
      </c>
      <c r="J193" s="10" t="s">
        <v>255</v>
      </c>
      <c r="K193" s="15" t="str">
        <f>VLOOKUP(J193,DADOS!$A$3:$B$105,2,FALSE)</f>
        <v>EE-GI-001-074</v>
      </c>
      <c r="L193" s="15" t="s">
        <v>268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1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408</v>
      </c>
      <c r="X193" s="12" t="s">
        <v>14</v>
      </c>
      <c r="Y193" s="12" t="s">
        <v>14</v>
      </c>
      <c r="Z193" s="13" t="s">
        <v>270</v>
      </c>
    </row>
    <row r="194" spans="1:26" ht="19.899999999999999" customHeight="1" x14ac:dyDescent="0.25">
      <c r="A194" s="6">
        <v>45940</v>
      </c>
      <c r="B194" s="7" t="s">
        <v>1135</v>
      </c>
      <c r="C194" s="8" t="s">
        <v>1141</v>
      </c>
      <c r="D194" s="8" t="s">
        <v>292</v>
      </c>
      <c r="E194" s="8" t="s">
        <v>1142</v>
      </c>
      <c r="F194" s="9" t="s">
        <v>1144</v>
      </c>
      <c r="G194" s="9" t="s">
        <v>1146</v>
      </c>
      <c r="H194" s="9" t="s">
        <v>1134</v>
      </c>
      <c r="I194" s="9" t="s">
        <v>65</v>
      </c>
      <c r="J194" s="10" t="s">
        <v>255</v>
      </c>
      <c r="K194" s="15" t="str">
        <f>VLOOKUP(J194,DADOS!$A$3:$B$105,2,FALSE)</f>
        <v>EE-GI-001-074</v>
      </c>
      <c r="L194" s="15" t="s">
        <v>268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1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292</v>
      </c>
      <c r="X194" s="12" t="s">
        <v>14</v>
      </c>
      <c r="Y194" s="12" t="s">
        <v>14</v>
      </c>
      <c r="Z194" s="13" t="s">
        <v>270</v>
      </c>
    </row>
    <row r="195" spans="1:26" ht="19.899999999999999" customHeight="1" x14ac:dyDescent="0.25">
      <c r="A195" s="6">
        <v>45940</v>
      </c>
      <c r="B195" s="7" t="s">
        <v>1135</v>
      </c>
      <c r="C195" s="8" t="s">
        <v>1141</v>
      </c>
      <c r="D195" s="8" t="s">
        <v>273</v>
      </c>
      <c r="E195" s="8" t="s">
        <v>1142</v>
      </c>
      <c r="F195" s="9" t="s">
        <v>1145</v>
      </c>
      <c r="G195" s="9" t="s">
        <v>1146</v>
      </c>
      <c r="H195" s="9" t="s">
        <v>1134</v>
      </c>
      <c r="I195" s="9" t="s">
        <v>65</v>
      </c>
      <c r="J195" s="10" t="s">
        <v>255</v>
      </c>
      <c r="K195" s="15" t="str">
        <f>VLOOKUP(J195,DADOS!$A$3:$B$105,2,FALSE)</f>
        <v>EE-GI-001-074</v>
      </c>
      <c r="L195" s="15" t="s">
        <v>268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1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273</v>
      </c>
      <c r="X195" s="12" t="s">
        <v>14</v>
      </c>
      <c r="Y195" s="12" t="s">
        <v>14</v>
      </c>
      <c r="Z195" s="13" t="s">
        <v>270</v>
      </c>
    </row>
    <row r="196" spans="1:26" ht="19.899999999999999" customHeight="1" x14ac:dyDescent="0.25">
      <c r="A196" s="6">
        <v>45940</v>
      </c>
      <c r="B196" s="7" t="s">
        <v>732</v>
      </c>
      <c r="C196" s="8" t="s">
        <v>1397</v>
      </c>
      <c r="D196" s="8" t="s">
        <v>273</v>
      </c>
      <c r="E196" s="8" t="s">
        <v>1398</v>
      </c>
      <c r="F196" s="9" t="s">
        <v>1399</v>
      </c>
      <c r="G196" s="9" t="s">
        <v>1128</v>
      </c>
      <c r="H196" s="9" t="s">
        <v>1663</v>
      </c>
      <c r="I196" s="9" t="s">
        <v>66</v>
      </c>
      <c r="J196" s="10" t="s">
        <v>176</v>
      </c>
      <c r="K196" s="15" t="str">
        <f>VLOOKUP(J196,DADOS!$A$3:$B$105,2,FALSE)</f>
        <v>EE-GI-001-011</v>
      </c>
      <c r="L196" s="15" t="s">
        <v>299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1</v>
      </c>
      <c r="S196" s="17" t="b">
        <v>0</v>
      </c>
      <c r="T196" s="17" t="b">
        <v>0</v>
      </c>
      <c r="U196" s="17" t="b">
        <v>0</v>
      </c>
      <c r="V196" s="17" t="b">
        <v>1</v>
      </c>
      <c r="W196" s="11" t="s">
        <v>273</v>
      </c>
      <c r="X196" s="12" t="s">
        <v>14</v>
      </c>
      <c r="Y196" s="12" t="s">
        <v>14</v>
      </c>
      <c r="Z196" s="13" t="s">
        <v>270</v>
      </c>
    </row>
    <row r="197" spans="1:26" ht="19.899999999999999" customHeight="1" x14ac:dyDescent="0.25">
      <c r="A197" s="6">
        <v>45943</v>
      </c>
      <c r="B197" s="7" t="s">
        <v>785</v>
      </c>
      <c r="C197" s="8" t="s">
        <v>786</v>
      </c>
      <c r="D197" s="8" t="s">
        <v>273</v>
      </c>
      <c r="E197" s="8" t="s">
        <v>788</v>
      </c>
      <c r="F197" s="9" t="s">
        <v>789</v>
      </c>
      <c r="G197" s="9" t="s">
        <v>791</v>
      </c>
      <c r="H197" s="9" t="s">
        <v>793</v>
      </c>
      <c r="I197" s="9" t="s">
        <v>66</v>
      </c>
      <c r="J197" s="10" t="s">
        <v>186</v>
      </c>
      <c r="K197" s="15" t="str">
        <f>VLOOKUP(J197,DADOS!$A$3:$B$105,2,FALSE)</f>
        <v>EE-GI-001-008</v>
      </c>
      <c r="L197" s="15" t="s">
        <v>268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273</v>
      </c>
      <c r="X197" s="12" t="s">
        <v>14</v>
      </c>
      <c r="Y197" s="12" t="s">
        <v>14</v>
      </c>
      <c r="Z197" s="13" t="s">
        <v>270</v>
      </c>
    </row>
    <row r="198" spans="1:26" ht="19.899999999999999" customHeight="1" x14ac:dyDescent="0.25">
      <c r="A198" s="6">
        <v>45943</v>
      </c>
      <c r="B198" s="7" t="s">
        <v>785</v>
      </c>
      <c r="C198" s="8" t="s">
        <v>787</v>
      </c>
      <c r="D198" s="8" t="s">
        <v>273</v>
      </c>
      <c r="E198" s="8" t="s">
        <v>788</v>
      </c>
      <c r="F198" s="9" t="s">
        <v>790</v>
      </c>
      <c r="G198" s="9" t="s">
        <v>792</v>
      </c>
      <c r="H198" s="9" t="s">
        <v>794</v>
      </c>
      <c r="I198" s="9" t="s">
        <v>66</v>
      </c>
      <c r="J198" s="10" t="s">
        <v>186</v>
      </c>
      <c r="K198" s="15" t="str">
        <f>VLOOKUP(J198,DADOS!$A$3:$B$105,2,FALSE)</f>
        <v>EE-GI-001-008</v>
      </c>
      <c r="L198" s="15" t="s">
        <v>268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0</v>
      </c>
      <c r="W198" s="11" t="s">
        <v>273</v>
      </c>
      <c r="X198" s="12" t="s">
        <v>14</v>
      </c>
      <c r="Y198" s="12" t="s">
        <v>14</v>
      </c>
      <c r="Z198" s="13" t="s">
        <v>270</v>
      </c>
    </row>
    <row r="199" spans="1:26" ht="19.899999999999999" customHeight="1" x14ac:dyDescent="0.25">
      <c r="A199" s="6">
        <v>45943</v>
      </c>
      <c r="B199" s="7" t="s">
        <v>262</v>
      </c>
      <c r="C199" s="8" t="s">
        <v>585</v>
      </c>
      <c r="D199" s="8" t="s">
        <v>264</v>
      </c>
      <c r="E199" s="8" t="s">
        <v>800</v>
      </c>
      <c r="F199" s="9" t="s">
        <v>801</v>
      </c>
      <c r="G199" s="9" t="s">
        <v>804</v>
      </c>
      <c r="H199" s="9" t="s">
        <v>805</v>
      </c>
      <c r="I199" s="9" t="s">
        <v>64</v>
      </c>
      <c r="J199" s="10" t="s">
        <v>186</v>
      </c>
      <c r="K199" s="15" t="str">
        <f>VLOOKUP(J199,DADOS!$A$3:$B$105,2,FALSE)</f>
        <v>EE-GI-001-008</v>
      </c>
      <c r="L199" s="15" t="s">
        <v>383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264</v>
      </c>
      <c r="X199" s="12" t="s">
        <v>14</v>
      </c>
      <c r="Y199" s="12" t="s">
        <v>14</v>
      </c>
      <c r="Z199" s="13" t="s">
        <v>270</v>
      </c>
    </row>
    <row r="200" spans="1:26" ht="19.899999999999999" customHeight="1" x14ac:dyDescent="0.25">
      <c r="A200" s="6">
        <v>45943</v>
      </c>
      <c r="B200" s="7" t="s">
        <v>262</v>
      </c>
      <c r="C200" s="8" t="s">
        <v>585</v>
      </c>
      <c r="D200" s="8" t="s">
        <v>264</v>
      </c>
      <c r="E200" s="8" t="s">
        <v>800</v>
      </c>
      <c r="F200" s="9" t="s">
        <v>802</v>
      </c>
      <c r="G200" s="9" t="s">
        <v>804</v>
      </c>
      <c r="H200" s="9" t="s">
        <v>805</v>
      </c>
      <c r="I200" s="9" t="s">
        <v>64</v>
      </c>
      <c r="J200" s="10" t="s">
        <v>186</v>
      </c>
      <c r="K200" s="15" t="str">
        <f>VLOOKUP(J200,DADOS!$A$3:$B$105,2,FALSE)</f>
        <v>EE-GI-001-008</v>
      </c>
      <c r="L200" s="15" t="s">
        <v>383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264</v>
      </c>
      <c r="X200" s="12" t="s">
        <v>14</v>
      </c>
      <c r="Y200" s="12" t="s">
        <v>14</v>
      </c>
      <c r="Z200" s="13" t="s">
        <v>270</v>
      </c>
    </row>
    <row r="201" spans="1:26" ht="19.899999999999999" customHeight="1" x14ac:dyDescent="0.25">
      <c r="A201" s="6">
        <v>45943</v>
      </c>
      <c r="B201" s="7" t="s">
        <v>262</v>
      </c>
      <c r="C201" s="8" t="s">
        <v>585</v>
      </c>
      <c r="D201" s="8" t="s">
        <v>264</v>
      </c>
      <c r="E201" s="8" t="s">
        <v>800</v>
      </c>
      <c r="F201" s="9" t="s">
        <v>803</v>
      </c>
      <c r="G201" s="9" t="s">
        <v>804</v>
      </c>
      <c r="H201" s="9" t="s">
        <v>805</v>
      </c>
      <c r="I201" s="9" t="s">
        <v>64</v>
      </c>
      <c r="J201" s="10" t="s">
        <v>186</v>
      </c>
      <c r="K201" s="15" t="str">
        <f>VLOOKUP(J201,DADOS!$A$3:$B$105,2,FALSE)</f>
        <v>EE-GI-001-008</v>
      </c>
      <c r="L201" s="15" t="s">
        <v>383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264</v>
      </c>
      <c r="X201" s="12" t="s">
        <v>14</v>
      </c>
      <c r="Y201" s="12" t="s">
        <v>14</v>
      </c>
      <c r="Z201" s="13" t="s">
        <v>270</v>
      </c>
    </row>
    <row r="202" spans="1:26" ht="19.899999999999999" customHeight="1" x14ac:dyDescent="0.25">
      <c r="A202" s="6">
        <v>45943</v>
      </c>
      <c r="B202" s="7" t="s">
        <v>262</v>
      </c>
      <c r="C202" s="8" t="s">
        <v>806</v>
      </c>
      <c r="D202" s="8" t="s">
        <v>264</v>
      </c>
      <c r="E202" s="8" t="s">
        <v>807</v>
      </c>
      <c r="F202" s="9" t="s">
        <v>808</v>
      </c>
      <c r="G202" s="9" t="s">
        <v>809</v>
      </c>
      <c r="H202" s="34"/>
      <c r="I202" s="9" t="s">
        <v>64</v>
      </c>
      <c r="J202" s="10" t="s">
        <v>186</v>
      </c>
      <c r="K202" s="15" t="str">
        <f>VLOOKUP(J202,DADOS!$A$3:$B$105,2,FALSE)</f>
        <v>EE-GI-001-008</v>
      </c>
      <c r="L202" s="15" t="s">
        <v>268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14</v>
      </c>
      <c r="X202" s="12" t="s">
        <v>264</v>
      </c>
      <c r="Y202" s="12" t="s">
        <v>810</v>
      </c>
      <c r="Z202" s="12" t="s">
        <v>270</v>
      </c>
    </row>
    <row r="203" spans="1:26" ht="19.899999999999999" customHeight="1" x14ac:dyDescent="0.25">
      <c r="A203" s="6">
        <v>45943</v>
      </c>
      <c r="B203" s="7" t="s">
        <v>262</v>
      </c>
      <c r="C203" s="8" t="s">
        <v>811</v>
      </c>
      <c r="D203" s="8" t="s">
        <v>331</v>
      </c>
      <c r="E203" s="8" t="s">
        <v>807</v>
      </c>
      <c r="F203" s="9" t="s">
        <v>812</v>
      </c>
      <c r="G203" s="9" t="s">
        <v>809</v>
      </c>
      <c r="H203" s="34"/>
      <c r="I203" s="9" t="s">
        <v>64</v>
      </c>
      <c r="J203" s="10" t="s">
        <v>186</v>
      </c>
      <c r="K203" s="15" t="str">
        <f>VLOOKUP(J203,DADOS!$A$3:$B$105,2,FALSE)</f>
        <v>EE-GI-001-008</v>
      </c>
      <c r="L203" s="15" t="s">
        <v>268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331</v>
      </c>
      <c r="X203" s="12" t="s">
        <v>14</v>
      </c>
      <c r="Y203" s="12" t="s">
        <v>14</v>
      </c>
      <c r="Z203" s="13" t="s">
        <v>270</v>
      </c>
    </row>
    <row r="204" spans="1:26" ht="19.899999999999999" customHeight="1" x14ac:dyDescent="0.25">
      <c r="A204" s="6">
        <v>45943</v>
      </c>
      <c r="B204" s="7" t="s">
        <v>262</v>
      </c>
      <c r="C204" s="8" t="s">
        <v>811</v>
      </c>
      <c r="D204" s="8" t="s">
        <v>264</v>
      </c>
      <c r="E204" s="8" t="s">
        <v>807</v>
      </c>
      <c r="F204" s="9" t="s">
        <v>813</v>
      </c>
      <c r="G204" s="9" t="s">
        <v>809</v>
      </c>
      <c r="H204" s="34"/>
      <c r="I204" s="9" t="s">
        <v>64</v>
      </c>
      <c r="J204" s="10" t="s">
        <v>186</v>
      </c>
      <c r="K204" s="15" t="str">
        <f>VLOOKUP(J204,DADOS!$A$3:$B$105,2,FALSE)</f>
        <v>EE-GI-001-008</v>
      </c>
      <c r="L204" s="15" t="s">
        <v>268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264</v>
      </c>
      <c r="X204" s="12" t="s">
        <v>14</v>
      </c>
      <c r="Y204" s="12" t="s">
        <v>14</v>
      </c>
      <c r="Z204" s="13" t="s">
        <v>270</v>
      </c>
    </row>
    <row r="205" spans="1:26" ht="19.5" customHeight="1" x14ac:dyDescent="0.25">
      <c r="A205" s="6">
        <v>45943</v>
      </c>
      <c r="B205" s="7" t="s">
        <v>262</v>
      </c>
      <c r="C205" s="8" t="s">
        <v>819</v>
      </c>
      <c r="D205" s="8" t="s">
        <v>426</v>
      </c>
      <c r="E205" s="8" t="s">
        <v>820</v>
      </c>
      <c r="F205" s="9" t="s">
        <v>821</v>
      </c>
      <c r="G205" s="9" t="s">
        <v>822</v>
      </c>
      <c r="H205" s="9" t="s">
        <v>823</v>
      </c>
      <c r="I205" s="9" t="s">
        <v>64</v>
      </c>
      <c r="J205" s="10" t="s">
        <v>186</v>
      </c>
      <c r="K205" s="15" t="str">
        <f>VLOOKUP(J205,DADOS!$A$3:$B$105,2,FALSE)</f>
        <v>EE-GI-001-008</v>
      </c>
      <c r="L205" s="15" t="s">
        <v>268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1</v>
      </c>
      <c r="U205" s="17" t="b">
        <v>1</v>
      </c>
      <c r="V205" s="17" t="b">
        <v>1</v>
      </c>
      <c r="W205" s="11" t="s">
        <v>273</v>
      </c>
      <c r="X205" s="12" t="s">
        <v>331</v>
      </c>
      <c r="Y205" s="12" t="s">
        <v>824</v>
      </c>
      <c r="Z205" s="12" t="s">
        <v>270</v>
      </c>
    </row>
    <row r="206" spans="1:26" ht="19.899999999999999" customHeight="1" x14ac:dyDescent="0.25">
      <c r="A206" s="6">
        <v>45943</v>
      </c>
      <c r="B206" s="7" t="s">
        <v>262</v>
      </c>
      <c r="C206" s="8" t="s">
        <v>825</v>
      </c>
      <c r="D206" s="8" t="s">
        <v>273</v>
      </c>
      <c r="E206" s="8" t="s">
        <v>820</v>
      </c>
      <c r="F206" s="9" t="s">
        <v>826</v>
      </c>
      <c r="G206" s="9" t="s">
        <v>822</v>
      </c>
      <c r="H206" s="9" t="s">
        <v>827</v>
      </c>
      <c r="I206" s="9" t="s">
        <v>64</v>
      </c>
      <c r="J206" s="10" t="s">
        <v>186</v>
      </c>
      <c r="K206" s="15" t="str">
        <f>VLOOKUP(J206,DADOS!$A$3:$B$105,2,FALSE)</f>
        <v>EE-GI-001-008</v>
      </c>
      <c r="L206" s="15" t="s">
        <v>268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1</v>
      </c>
      <c r="U206" s="17" t="b">
        <v>1</v>
      </c>
      <c r="V206" s="17" t="b">
        <v>1</v>
      </c>
      <c r="W206" s="11" t="s">
        <v>273</v>
      </c>
      <c r="X206" s="12" t="s">
        <v>14</v>
      </c>
      <c r="Y206" s="12" t="s">
        <v>14</v>
      </c>
      <c r="Z206" s="13" t="s">
        <v>270</v>
      </c>
    </row>
    <row r="207" spans="1:26" ht="19.899999999999999" customHeight="1" x14ac:dyDescent="0.25">
      <c r="A207" s="6">
        <v>45943</v>
      </c>
      <c r="B207" s="7" t="s">
        <v>262</v>
      </c>
      <c r="C207" s="8" t="s">
        <v>837</v>
      </c>
      <c r="D207" s="8" t="s">
        <v>331</v>
      </c>
      <c r="E207" s="8" t="s">
        <v>807</v>
      </c>
      <c r="F207" s="9" t="s">
        <v>838</v>
      </c>
      <c r="G207" s="9"/>
      <c r="H207" s="9" t="s">
        <v>840</v>
      </c>
      <c r="I207" s="9" t="s">
        <v>64</v>
      </c>
      <c r="J207" s="10" t="s">
        <v>186</v>
      </c>
      <c r="K207" s="15" t="str">
        <f>VLOOKUP(J207,DADOS!$A$3:$B$105,2,FALSE)</f>
        <v>EE-GI-001-008</v>
      </c>
      <c r="L207" s="15" t="s">
        <v>268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1</v>
      </c>
      <c r="U207" s="17" t="b">
        <v>1</v>
      </c>
      <c r="V207" s="17" t="b">
        <v>1</v>
      </c>
      <c r="W207" s="11" t="s">
        <v>331</v>
      </c>
      <c r="X207" s="12" t="s">
        <v>14</v>
      </c>
      <c r="Y207" s="12" t="s">
        <v>14</v>
      </c>
      <c r="Z207" s="13" t="s">
        <v>270</v>
      </c>
    </row>
    <row r="208" spans="1:26" ht="19.899999999999999" customHeight="1" x14ac:dyDescent="0.25">
      <c r="A208" s="6">
        <v>45943</v>
      </c>
      <c r="B208" s="7" t="s">
        <v>262</v>
      </c>
      <c r="C208" s="8" t="s">
        <v>837</v>
      </c>
      <c r="D208" s="8" t="s">
        <v>426</v>
      </c>
      <c r="E208" s="8" t="s">
        <v>807</v>
      </c>
      <c r="F208" s="9" t="s">
        <v>839</v>
      </c>
      <c r="G208" s="9"/>
      <c r="H208" s="9" t="s">
        <v>840</v>
      </c>
      <c r="I208" s="9" t="s">
        <v>64</v>
      </c>
      <c r="J208" s="10" t="s">
        <v>186</v>
      </c>
      <c r="K208" s="15" t="str">
        <f>VLOOKUP(J208,DADOS!$A$3:$B$105,2,FALSE)</f>
        <v>EE-GI-001-008</v>
      </c>
      <c r="L208" s="15" t="s">
        <v>268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1</v>
      </c>
      <c r="U208" s="17" t="b">
        <v>1</v>
      </c>
      <c r="V208" s="17" t="b">
        <v>1</v>
      </c>
      <c r="W208" s="11" t="s">
        <v>426</v>
      </c>
      <c r="X208" s="12" t="s">
        <v>14</v>
      </c>
      <c r="Y208" s="12" t="s">
        <v>14</v>
      </c>
      <c r="Z208" s="13" t="s">
        <v>270</v>
      </c>
    </row>
    <row r="209" spans="1:26" ht="19.899999999999999" customHeight="1" x14ac:dyDescent="0.25">
      <c r="A209" s="6">
        <v>45943</v>
      </c>
      <c r="B209" s="7" t="s">
        <v>334</v>
      </c>
      <c r="C209" s="8" t="s">
        <v>814</v>
      </c>
      <c r="D209" s="8" t="s">
        <v>331</v>
      </c>
      <c r="E209" s="8" t="s">
        <v>747</v>
      </c>
      <c r="F209" s="9" t="s">
        <v>815</v>
      </c>
      <c r="G209" s="9" t="s">
        <v>816</v>
      </c>
      <c r="H209" s="9" t="s">
        <v>340</v>
      </c>
      <c r="I209" s="9" t="s">
        <v>66</v>
      </c>
      <c r="J209" s="10" t="s">
        <v>17</v>
      </c>
      <c r="K209" s="15" t="str">
        <f>VLOOKUP(J209,DADOS!$A$3:$B$105,2,FALSE)</f>
        <v>EE-GI-001-001</v>
      </c>
      <c r="L209" s="15" t="s">
        <v>341</v>
      </c>
      <c r="M209" s="18" t="b">
        <v>0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0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331</v>
      </c>
      <c r="X209" s="12" t="s">
        <v>14</v>
      </c>
      <c r="Y209" s="12" t="s">
        <v>14</v>
      </c>
      <c r="Z209" s="13" t="s">
        <v>342</v>
      </c>
    </row>
    <row r="210" spans="1:26" ht="19.899999999999999" customHeight="1" x14ac:dyDescent="0.25">
      <c r="A210" s="6">
        <v>45943</v>
      </c>
      <c r="B210" s="7" t="s">
        <v>334</v>
      </c>
      <c r="C210" s="8" t="s">
        <v>817</v>
      </c>
      <c r="D210" s="8" t="s">
        <v>273</v>
      </c>
      <c r="E210" s="8" t="s">
        <v>747</v>
      </c>
      <c r="F210" s="9" t="s">
        <v>818</v>
      </c>
      <c r="G210" s="9" t="s">
        <v>366</v>
      </c>
      <c r="H210" s="9" t="s">
        <v>340</v>
      </c>
      <c r="I210" s="9" t="s">
        <v>66</v>
      </c>
      <c r="J210" s="10" t="s">
        <v>186</v>
      </c>
      <c r="K210" s="15" t="str">
        <f>VLOOKUP(J210,DADOS!$A$3:$B$105,2,FALSE)</f>
        <v>EE-GI-001-008</v>
      </c>
      <c r="L210" s="15" t="s">
        <v>341</v>
      </c>
      <c r="M210" s="18" t="b">
        <v>0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273</v>
      </c>
      <c r="X210" s="12" t="s">
        <v>14</v>
      </c>
      <c r="Y210" s="12" t="s">
        <v>14</v>
      </c>
      <c r="Z210" s="13" t="s">
        <v>342</v>
      </c>
    </row>
    <row r="211" spans="1:26" ht="19.899999999999999" customHeight="1" x14ac:dyDescent="0.25">
      <c r="A211" s="6">
        <v>45943</v>
      </c>
      <c r="B211" s="7" t="s">
        <v>334</v>
      </c>
      <c r="C211" s="8" t="s">
        <v>828</v>
      </c>
      <c r="D211" s="8" t="s">
        <v>264</v>
      </c>
      <c r="E211" s="8" t="s">
        <v>796</v>
      </c>
      <c r="F211" s="9" t="s">
        <v>829</v>
      </c>
      <c r="G211" s="9" t="s">
        <v>830</v>
      </c>
      <c r="H211" s="9" t="s">
        <v>340</v>
      </c>
      <c r="I211" s="9" t="s">
        <v>70</v>
      </c>
      <c r="J211" s="10" t="s">
        <v>174</v>
      </c>
      <c r="K211" s="15" t="str">
        <f>VLOOKUP(J211,DADOS!$A$3:$B$105,2,FALSE)</f>
        <v>EE-GI-001-007</v>
      </c>
      <c r="L211" s="15" t="s">
        <v>341</v>
      </c>
      <c r="M211" s="18" t="b">
        <v>0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264</v>
      </c>
      <c r="X211" s="12" t="s">
        <v>14</v>
      </c>
      <c r="Y211" s="12" t="s">
        <v>14</v>
      </c>
      <c r="Z211" s="13" t="s">
        <v>342</v>
      </c>
    </row>
    <row r="212" spans="1:26" ht="19.899999999999999" customHeight="1" x14ac:dyDescent="0.25">
      <c r="A212" s="6">
        <v>45943</v>
      </c>
      <c r="B212" s="7" t="s">
        <v>300</v>
      </c>
      <c r="C212" s="8" t="s">
        <v>831</v>
      </c>
      <c r="D212" s="8" t="s">
        <v>331</v>
      </c>
      <c r="E212" s="8" t="s">
        <v>832</v>
      </c>
      <c r="F212" s="9" t="s">
        <v>833</v>
      </c>
      <c r="G212" s="9" t="s">
        <v>834</v>
      </c>
      <c r="H212" s="9" t="s">
        <v>835</v>
      </c>
      <c r="I212" s="9" t="s">
        <v>65</v>
      </c>
      <c r="J212" s="10" t="s">
        <v>16</v>
      </c>
      <c r="K212" s="15" t="str">
        <f>VLOOKUP(J212,DADOS!$A$3:$B$105,2,FALSE)</f>
        <v>EE-GI-001-003</v>
      </c>
      <c r="L212" s="15" t="s">
        <v>299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1</v>
      </c>
      <c r="S212" s="17" t="b">
        <v>0</v>
      </c>
      <c r="T212" s="17" t="b">
        <v>0</v>
      </c>
      <c r="U212" s="17" t="b">
        <v>0</v>
      </c>
      <c r="V212" s="17" t="b">
        <v>0</v>
      </c>
      <c r="W212" s="11" t="s">
        <v>14</v>
      </c>
      <c r="X212" s="12" t="s">
        <v>331</v>
      </c>
      <c r="Y212" s="12" t="s">
        <v>836</v>
      </c>
      <c r="Z212" s="12" t="s">
        <v>270</v>
      </c>
    </row>
    <row r="213" spans="1:26" ht="19.899999999999999" customHeight="1" x14ac:dyDescent="0.25">
      <c r="A213" s="6">
        <v>45943</v>
      </c>
      <c r="B213" s="7" t="s">
        <v>400</v>
      </c>
      <c r="C213" s="8" t="s">
        <v>841</v>
      </c>
      <c r="D213" s="8" t="s">
        <v>264</v>
      </c>
      <c r="E213" s="8" t="s">
        <v>842</v>
      </c>
      <c r="F213" s="9" t="s">
        <v>843</v>
      </c>
      <c r="G213" s="9" t="s">
        <v>443</v>
      </c>
      <c r="H213" s="9" t="s">
        <v>844</v>
      </c>
      <c r="I213" s="9" t="s">
        <v>66</v>
      </c>
      <c r="J213" s="10" t="s">
        <v>21</v>
      </c>
      <c r="K213" s="15" t="str">
        <f>VLOOKUP(J213,DADOS!$A$3:$B$105,2,FALSE)</f>
        <v>EE-GI-221-064</v>
      </c>
      <c r="L213" s="15" t="s">
        <v>389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1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0</v>
      </c>
      <c r="W213" s="11" t="s">
        <v>264</v>
      </c>
      <c r="X213" s="12" t="s">
        <v>14</v>
      </c>
      <c r="Y213" s="12" t="s">
        <v>14</v>
      </c>
      <c r="Z213" s="9" t="s">
        <v>342</v>
      </c>
    </row>
    <row r="214" spans="1:26" ht="19.899999999999999" customHeight="1" x14ac:dyDescent="0.25">
      <c r="A214" s="6">
        <v>45943</v>
      </c>
      <c r="B214" s="7" t="s">
        <v>334</v>
      </c>
      <c r="C214" s="8" t="s">
        <v>626</v>
      </c>
      <c r="D214" s="8" t="s">
        <v>517</v>
      </c>
      <c r="E214" s="8" t="s">
        <v>747</v>
      </c>
      <c r="F214" s="9" t="s">
        <v>845</v>
      </c>
      <c r="G214" s="9" t="s">
        <v>328</v>
      </c>
      <c r="H214" s="9" t="s">
        <v>340</v>
      </c>
      <c r="I214" s="9" t="s">
        <v>66</v>
      </c>
      <c r="J214" s="10" t="s">
        <v>15</v>
      </c>
      <c r="K214" s="15" t="str">
        <f>VLOOKUP(J214,DADOS!$A$3:$B$105,2,FALSE)</f>
        <v>EE-GI-001-002</v>
      </c>
      <c r="L214" s="15" t="s">
        <v>341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0</v>
      </c>
      <c r="W214" s="11" t="s">
        <v>402</v>
      </c>
      <c r="X214" s="12" t="s">
        <v>14</v>
      </c>
      <c r="Y214" s="12" t="s">
        <v>14</v>
      </c>
      <c r="Z214" s="9" t="s">
        <v>342</v>
      </c>
    </row>
    <row r="215" spans="1:26" ht="19.899999999999999" customHeight="1" x14ac:dyDescent="0.25">
      <c r="A215" s="6">
        <v>45943</v>
      </c>
      <c r="B215" s="7" t="s">
        <v>334</v>
      </c>
      <c r="C215" s="8" t="s">
        <v>846</v>
      </c>
      <c r="D215" s="8" t="s">
        <v>402</v>
      </c>
      <c r="E215" s="8" t="s">
        <v>747</v>
      </c>
      <c r="F215" s="9" t="s">
        <v>847</v>
      </c>
      <c r="G215" s="9" t="s">
        <v>328</v>
      </c>
      <c r="H215" s="9" t="s">
        <v>340</v>
      </c>
      <c r="I215" s="9" t="s">
        <v>68</v>
      </c>
      <c r="J215" s="10" t="s">
        <v>15</v>
      </c>
      <c r="K215" s="15" t="str">
        <f>VLOOKUP(J215,DADOS!$A$3:$B$105,2,FALSE)</f>
        <v>EE-GI-001-002</v>
      </c>
      <c r="L215" s="15" t="s">
        <v>636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0</v>
      </c>
      <c r="W215" s="11" t="s">
        <v>264</v>
      </c>
      <c r="X215" s="12" t="s">
        <v>14</v>
      </c>
      <c r="Y215" s="12" t="s">
        <v>14</v>
      </c>
      <c r="Z215" s="9" t="s">
        <v>342</v>
      </c>
    </row>
    <row r="216" spans="1:26" ht="19.899999999999999" customHeight="1" x14ac:dyDescent="0.25">
      <c r="A216" s="6">
        <v>45943</v>
      </c>
      <c r="B216" s="7" t="s">
        <v>490</v>
      </c>
      <c r="C216" s="8" t="s">
        <v>1314</v>
      </c>
      <c r="D216" s="8" t="s">
        <v>331</v>
      </c>
      <c r="E216" s="8" t="s">
        <v>1315</v>
      </c>
      <c r="F216" s="9" t="s">
        <v>1316</v>
      </c>
      <c r="G216" s="9" t="s">
        <v>1318</v>
      </c>
      <c r="H216" s="9" t="s">
        <v>1319</v>
      </c>
      <c r="I216" s="9" t="s">
        <v>69</v>
      </c>
      <c r="J216" s="10" t="s">
        <v>185</v>
      </c>
      <c r="K216" s="15" t="str">
        <f>VLOOKUP(J216,DADOS!$A$3:$B$105,2,FALSE)</f>
        <v>EE-GI-001-031</v>
      </c>
      <c r="L216" s="15" t="s">
        <v>299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0</v>
      </c>
      <c r="S216" s="17" t="b">
        <v>0</v>
      </c>
      <c r="T216" s="17" t="b">
        <v>1</v>
      </c>
      <c r="U216" s="17" t="b">
        <v>1</v>
      </c>
      <c r="V216" s="17" t="b">
        <v>1</v>
      </c>
      <c r="W216" s="11" t="s">
        <v>331</v>
      </c>
      <c r="X216" s="12" t="s">
        <v>14</v>
      </c>
      <c r="Y216" s="12" t="s">
        <v>14</v>
      </c>
      <c r="Z216" s="9" t="s">
        <v>270</v>
      </c>
    </row>
    <row r="217" spans="1:26" ht="19.899999999999999" customHeight="1" x14ac:dyDescent="0.25">
      <c r="A217" s="6">
        <v>45943</v>
      </c>
      <c r="B217" s="7" t="s">
        <v>490</v>
      </c>
      <c r="C217" s="8" t="s">
        <v>1313</v>
      </c>
      <c r="D217" s="8" t="s">
        <v>331</v>
      </c>
      <c r="E217" s="8" t="s">
        <v>1315</v>
      </c>
      <c r="F217" s="9" t="s">
        <v>1317</v>
      </c>
      <c r="G217" s="9" t="s">
        <v>1318</v>
      </c>
      <c r="H217" s="9" t="s">
        <v>1320</v>
      </c>
      <c r="I217" s="9" t="s">
        <v>69</v>
      </c>
      <c r="J217" s="10" t="s">
        <v>185</v>
      </c>
      <c r="K217" s="15" t="str">
        <f>VLOOKUP(J217,DADOS!$A$3:$B$105,2,FALSE)</f>
        <v>EE-GI-001-031</v>
      </c>
      <c r="L217" s="15" t="s">
        <v>299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1</v>
      </c>
      <c r="U217" s="17" t="b">
        <v>1</v>
      </c>
      <c r="V217" s="17" t="b">
        <v>1</v>
      </c>
      <c r="W217" s="11" t="s">
        <v>331</v>
      </c>
      <c r="X217" s="12" t="s">
        <v>14</v>
      </c>
      <c r="Y217" s="12" t="s">
        <v>14</v>
      </c>
      <c r="Z217" s="9" t="s">
        <v>270</v>
      </c>
    </row>
    <row r="218" spans="1:26" ht="19.899999999999999" customHeight="1" x14ac:dyDescent="0.25">
      <c r="A218" s="6">
        <v>45944</v>
      </c>
      <c r="B218" s="7" t="s">
        <v>262</v>
      </c>
      <c r="C218" s="8" t="s">
        <v>848</v>
      </c>
      <c r="D218" s="8" t="s">
        <v>264</v>
      </c>
      <c r="E218" s="8" t="s">
        <v>849</v>
      </c>
      <c r="F218" s="9" t="s">
        <v>850</v>
      </c>
      <c r="G218" s="9" t="s">
        <v>851</v>
      </c>
      <c r="H218" s="9" t="s">
        <v>852</v>
      </c>
      <c r="I218" s="9" t="s">
        <v>69</v>
      </c>
      <c r="J218" s="10" t="s">
        <v>185</v>
      </c>
      <c r="K218" s="15" t="str">
        <f>VLOOKUP(J218,DADOS!$A$3:$B$105,2,FALSE)</f>
        <v>EE-GI-001-031</v>
      </c>
      <c r="L218" s="15" t="s">
        <v>853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1</v>
      </c>
      <c r="U218" s="17" t="b">
        <v>1</v>
      </c>
      <c r="V218" s="17" t="b">
        <v>1</v>
      </c>
      <c r="W218" s="11" t="s">
        <v>264</v>
      </c>
      <c r="X218" s="12" t="s">
        <v>14</v>
      </c>
      <c r="Y218" s="12" t="s">
        <v>14</v>
      </c>
      <c r="Z218" s="13" t="s">
        <v>854</v>
      </c>
    </row>
    <row r="219" spans="1:26" ht="19.899999999999999" customHeight="1" x14ac:dyDescent="0.25">
      <c r="A219" s="6">
        <v>45944</v>
      </c>
      <c r="B219" s="7" t="s">
        <v>262</v>
      </c>
      <c r="C219" s="8" t="s">
        <v>848</v>
      </c>
      <c r="D219" s="8" t="s">
        <v>264</v>
      </c>
      <c r="E219" s="8" t="s">
        <v>849</v>
      </c>
      <c r="F219" s="9" t="s">
        <v>855</v>
      </c>
      <c r="G219" s="9" t="s">
        <v>856</v>
      </c>
      <c r="H219" s="9" t="s">
        <v>852</v>
      </c>
      <c r="I219" s="9" t="s">
        <v>69</v>
      </c>
      <c r="J219" s="10" t="s">
        <v>185</v>
      </c>
      <c r="K219" s="15" t="str">
        <f>VLOOKUP(J219,DADOS!$A$3:$B$105,2,FALSE)</f>
        <v>EE-GI-001-031</v>
      </c>
      <c r="L219" s="15" t="s">
        <v>853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1</v>
      </c>
      <c r="U219" s="17" t="b">
        <v>1</v>
      </c>
      <c r="V219" s="17" t="b">
        <v>1</v>
      </c>
      <c r="W219" s="11" t="s">
        <v>14</v>
      </c>
      <c r="X219" s="12" t="s">
        <v>264</v>
      </c>
      <c r="Y219" s="12" t="s">
        <v>857</v>
      </c>
      <c r="Z219" s="12" t="s">
        <v>854</v>
      </c>
    </row>
    <row r="220" spans="1:26" ht="19.899999999999999" customHeight="1" x14ac:dyDescent="0.25">
      <c r="A220" s="6">
        <v>45944</v>
      </c>
      <c r="B220" s="7" t="s">
        <v>334</v>
      </c>
      <c r="C220" s="8" t="s">
        <v>858</v>
      </c>
      <c r="D220" s="8" t="s">
        <v>331</v>
      </c>
      <c r="E220" s="8" t="s">
        <v>860</v>
      </c>
      <c r="F220" s="9" t="s">
        <v>859</v>
      </c>
      <c r="G220" s="9" t="s">
        <v>861</v>
      </c>
      <c r="H220" s="9" t="s">
        <v>340</v>
      </c>
      <c r="I220" s="9" t="s">
        <v>66</v>
      </c>
      <c r="J220" s="10" t="s">
        <v>185</v>
      </c>
      <c r="K220" s="15" t="str">
        <f>VLOOKUP(J220,DADOS!$A$3:$B$105,2,FALSE)</f>
        <v>EE-GI-001-031</v>
      </c>
      <c r="L220" s="15" t="s">
        <v>341</v>
      </c>
      <c r="M220" s="18" t="b">
        <v>0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0</v>
      </c>
      <c r="W220" s="11" t="s">
        <v>331</v>
      </c>
      <c r="X220" s="12" t="s">
        <v>14</v>
      </c>
      <c r="Y220" s="12" t="s">
        <v>14</v>
      </c>
      <c r="Z220" s="13" t="s">
        <v>342</v>
      </c>
    </row>
    <row r="221" spans="1:26" ht="19.899999999999999" customHeight="1" x14ac:dyDescent="0.25">
      <c r="A221" s="6">
        <v>45944</v>
      </c>
      <c r="B221" s="7" t="s">
        <v>334</v>
      </c>
      <c r="C221" s="8" t="s">
        <v>858</v>
      </c>
      <c r="D221" s="8" t="s">
        <v>331</v>
      </c>
      <c r="E221" s="8" t="s">
        <v>860</v>
      </c>
      <c r="F221" s="9" t="s">
        <v>862</v>
      </c>
      <c r="G221" s="9" t="s">
        <v>863</v>
      </c>
      <c r="H221" s="9" t="s">
        <v>340</v>
      </c>
      <c r="I221" s="9" t="s">
        <v>66</v>
      </c>
      <c r="J221" s="10" t="s">
        <v>185</v>
      </c>
      <c r="K221" s="15" t="str">
        <f>VLOOKUP(J221,DADOS!$A$3:$B$105,2,FALSE)</f>
        <v>EE-GI-001-031</v>
      </c>
      <c r="L221" s="15" t="s">
        <v>341</v>
      </c>
      <c r="M221" s="18" t="b">
        <v>0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0</v>
      </c>
      <c r="W221" s="11" t="s">
        <v>331</v>
      </c>
      <c r="X221" s="12" t="s">
        <v>14</v>
      </c>
      <c r="Y221" s="12" t="s">
        <v>14</v>
      </c>
      <c r="Z221" s="13" t="s">
        <v>342</v>
      </c>
    </row>
    <row r="222" spans="1:26" ht="19.899999999999999" customHeight="1" x14ac:dyDescent="0.25">
      <c r="A222" s="6">
        <v>45944</v>
      </c>
      <c r="B222" s="7" t="s">
        <v>334</v>
      </c>
      <c r="C222" s="8" t="s">
        <v>864</v>
      </c>
      <c r="D222" s="8" t="s">
        <v>264</v>
      </c>
      <c r="E222" s="8" t="s">
        <v>860</v>
      </c>
      <c r="F222" s="9" t="s">
        <v>865</v>
      </c>
      <c r="G222" s="9" t="s">
        <v>328</v>
      </c>
      <c r="H222" s="9" t="s">
        <v>340</v>
      </c>
      <c r="I222" s="9" t="s">
        <v>66</v>
      </c>
      <c r="J222" s="10" t="s">
        <v>15</v>
      </c>
      <c r="K222" s="15" t="str">
        <f>VLOOKUP(J222,DADOS!$A$3:$B$105,2,FALSE)</f>
        <v>EE-GI-001-002</v>
      </c>
      <c r="L222" s="15" t="s">
        <v>341</v>
      </c>
      <c r="M222" s="18" t="b">
        <v>0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0</v>
      </c>
      <c r="W222" s="11" t="s">
        <v>264</v>
      </c>
      <c r="X222" s="12" t="s">
        <v>14</v>
      </c>
      <c r="Y222" s="12" t="s">
        <v>14</v>
      </c>
      <c r="Z222" s="13" t="s">
        <v>342</v>
      </c>
    </row>
    <row r="223" spans="1:26" ht="19.899999999999999" customHeight="1" x14ac:dyDescent="0.25">
      <c r="A223" s="6">
        <v>45944</v>
      </c>
      <c r="B223" s="7" t="s">
        <v>334</v>
      </c>
      <c r="C223" s="8" t="s">
        <v>864</v>
      </c>
      <c r="D223" s="8" t="s">
        <v>264</v>
      </c>
      <c r="E223" s="8" t="s">
        <v>860</v>
      </c>
      <c r="F223" s="9" t="s">
        <v>866</v>
      </c>
      <c r="G223" s="9" t="s">
        <v>867</v>
      </c>
      <c r="H223" s="9" t="s">
        <v>340</v>
      </c>
      <c r="I223" s="9" t="s">
        <v>66</v>
      </c>
      <c r="J223" s="10" t="s">
        <v>15</v>
      </c>
      <c r="K223" s="15" t="str">
        <f>VLOOKUP(J223,DADOS!$A$3:$B$105,2,FALSE)</f>
        <v>EE-GI-001-002</v>
      </c>
      <c r="L223" s="15" t="s">
        <v>341</v>
      </c>
      <c r="M223" s="18" t="b">
        <v>0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0</v>
      </c>
      <c r="W223" s="11" t="s">
        <v>264</v>
      </c>
      <c r="X223" s="12" t="s">
        <v>14</v>
      </c>
      <c r="Y223" s="12" t="s">
        <v>14</v>
      </c>
      <c r="Z223" s="13" t="s">
        <v>342</v>
      </c>
    </row>
    <row r="224" spans="1:26" ht="19.899999999999999" customHeight="1" x14ac:dyDescent="0.25">
      <c r="A224" s="6">
        <v>45944</v>
      </c>
      <c r="B224" s="7" t="s">
        <v>334</v>
      </c>
      <c r="C224" s="8" t="s">
        <v>868</v>
      </c>
      <c r="D224" s="8" t="s">
        <v>331</v>
      </c>
      <c r="E224" s="8" t="s">
        <v>860</v>
      </c>
      <c r="F224" s="9" t="s">
        <v>869</v>
      </c>
      <c r="G224" s="9" t="s">
        <v>870</v>
      </c>
      <c r="H224" s="9" t="s">
        <v>340</v>
      </c>
      <c r="I224" s="9" t="s">
        <v>66</v>
      </c>
      <c r="J224" s="10" t="s">
        <v>15</v>
      </c>
      <c r="K224" s="15" t="str">
        <f>VLOOKUP(J224,DADOS!$A$3:$B$105,2,FALSE)</f>
        <v>EE-GI-001-002</v>
      </c>
      <c r="L224" s="15" t="s">
        <v>341</v>
      </c>
      <c r="M224" s="18" t="b">
        <v>0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0</v>
      </c>
      <c r="W224" s="11" t="s">
        <v>331</v>
      </c>
      <c r="X224" s="12" t="s">
        <v>14</v>
      </c>
      <c r="Y224" s="12" t="s">
        <v>14</v>
      </c>
      <c r="Z224" s="13" t="s">
        <v>342</v>
      </c>
    </row>
    <row r="225" spans="1:26" ht="19.899999999999999" customHeight="1" x14ac:dyDescent="0.25">
      <c r="A225" s="6">
        <v>45944</v>
      </c>
      <c r="B225" s="7" t="s">
        <v>300</v>
      </c>
      <c r="C225" s="8" t="s">
        <v>871</v>
      </c>
      <c r="D225" s="8" t="s">
        <v>331</v>
      </c>
      <c r="E225" s="8" t="s">
        <v>872</v>
      </c>
      <c r="F225" s="9" t="s">
        <v>873</v>
      </c>
      <c r="G225" s="9" t="s">
        <v>874</v>
      </c>
      <c r="H225" s="9" t="s">
        <v>875</v>
      </c>
      <c r="I225" s="9" t="s">
        <v>68</v>
      </c>
      <c r="J225" s="10" t="s">
        <v>15</v>
      </c>
      <c r="K225" s="15" t="str">
        <f>VLOOKUP(J225,DADOS!$A$3:$B$105,2,FALSE)</f>
        <v>EE-GI-001-002</v>
      </c>
      <c r="L225" s="15" t="s">
        <v>268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1</v>
      </c>
      <c r="S225" s="17" t="b">
        <v>0</v>
      </c>
      <c r="T225" s="17" t="b">
        <v>0</v>
      </c>
      <c r="U225" s="17" t="b">
        <v>0</v>
      </c>
      <c r="V225" s="17" t="b">
        <v>0</v>
      </c>
      <c r="W225" s="11" t="s">
        <v>331</v>
      </c>
      <c r="X225" s="12" t="s">
        <v>14</v>
      </c>
      <c r="Y225" s="12" t="s">
        <v>14</v>
      </c>
      <c r="Z225" s="13" t="s">
        <v>270</v>
      </c>
    </row>
    <row r="226" spans="1:26" ht="19.899999999999999" customHeight="1" x14ac:dyDescent="0.25">
      <c r="A226" s="6">
        <v>45944</v>
      </c>
      <c r="B226" s="7" t="s">
        <v>300</v>
      </c>
      <c r="C226" s="8" t="s">
        <v>321</v>
      </c>
      <c r="D226" s="8" t="s">
        <v>308</v>
      </c>
      <c r="E226" s="8" t="s">
        <v>876</v>
      </c>
      <c r="F226" s="9" t="s">
        <v>877</v>
      </c>
      <c r="G226" s="9" t="s">
        <v>320</v>
      </c>
      <c r="H226" s="9" t="s">
        <v>879</v>
      </c>
      <c r="I226" s="9" t="s">
        <v>66</v>
      </c>
      <c r="J226" s="10" t="s">
        <v>15</v>
      </c>
      <c r="K226" s="15" t="str">
        <f>VLOOKUP(J226,DADOS!$A$3:$B$105,2,FALSE)</f>
        <v>EE-GI-001-002</v>
      </c>
      <c r="L226" s="15" t="s">
        <v>299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1</v>
      </c>
      <c r="S226" s="17" t="b">
        <v>0</v>
      </c>
      <c r="T226" s="17" t="b">
        <v>0</v>
      </c>
      <c r="U226" s="17" t="b">
        <v>0</v>
      </c>
      <c r="V226" s="17" t="b">
        <v>0</v>
      </c>
      <c r="W226" s="11" t="s">
        <v>308</v>
      </c>
      <c r="X226" s="12" t="s">
        <v>14</v>
      </c>
      <c r="Y226" s="12" t="s">
        <v>14</v>
      </c>
      <c r="Z226" s="13" t="s">
        <v>270</v>
      </c>
    </row>
    <row r="227" spans="1:26" ht="19.899999999999999" customHeight="1" x14ac:dyDescent="0.25">
      <c r="A227" s="6">
        <v>45944</v>
      </c>
      <c r="B227" s="7" t="s">
        <v>300</v>
      </c>
      <c r="C227" s="8" t="s">
        <v>315</v>
      </c>
      <c r="D227" s="8" t="s">
        <v>264</v>
      </c>
      <c r="E227" s="8" t="s">
        <v>876</v>
      </c>
      <c r="F227" s="9" t="s">
        <v>880</v>
      </c>
      <c r="G227" s="9" t="s">
        <v>320</v>
      </c>
      <c r="H227" s="9" t="s">
        <v>878</v>
      </c>
      <c r="I227" s="9" t="s">
        <v>66</v>
      </c>
      <c r="J227" s="10" t="s">
        <v>15</v>
      </c>
      <c r="K227" s="15" t="str">
        <f>VLOOKUP(J227,DADOS!$A$3:$B$105,2,FALSE)</f>
        <v>EE-GI-001-002</v>
      </c>
      <c r="L227" s="15" t="s">
        <v>299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1</v>
      </c>
      <c r="S227" s="17" t="b">
        <v>0</v>
      </c>
      <c r="T227" s="17" t="b">
        <v>0</v>
      </c>
      <c r="U227" s="17" t="b">
        <v>0</v>
      </c>
      <c r="V227" s="17" t="b">
        <v>0</v>
      </c>
      <c r="W227" s="11" t="s">
        <v>264</v>
      </c>
      <c r="X227" s="12" t="s">
        <v>14</v>
      </c>
      <c r="Y227" s="12" t="s">
        <v>14</v>
      </c>
      <c r="Z227" s="13" t="s">
        <v>270</v>
      </c>
    </row>
    <row r="228" spans="1:26" ht="19.899999999999999" customHeight="1" x14ac:dyDescent="0.25">
      <c r="A228" s="6">
        <v>45944</v>
      </c>
      <c r="B228" s="7" t="s">
        <v>300</v>
      </c>
      <c r="C228" s="8" t="s">
        <v>321</v>
      </c>
      <c r="D228" s="8" t="s">
        <v>881</v>
      </c>
      <c r="E228" s="8" t="s">
        <v>882</v>
      </c>
      <c r="F228" s="9" t="s">
        <v>883</v>
      </c>
      <c r="G228" s="9" t="s">
        <v>884</v>
      </c>
      <c r="H228" s="9" t="s">
        <v>885</v>
      </c>
      <c r="I228" s="9" t="s">
        <v>66</v>
      </c>
      <c r="J228" s="10" t="s">
        <v>15</v>
      </c>
      <c r="K228" s="15" t="str">
        <f>VLOOKUP(J228,DADOS!$A$3:$B$105,2,FALSE)</f>
        <v>EE-GI-001-002</v>
      </c>
      <c r="L228" s="15" t="s">
        <v>299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1</v>
      </c>
      <c r="S228" s="17" t="b">
        <v>0</v>
      </c>
      <c r="T228" s="17" t="b">
        <v>0</v>
      </c>
      <c r="U228" s="17" t="b">
        <v>0</v>
      </c>
      <c r="V228" s="17" t="b">
        <v>0</v>
      </c>
      <c r="W228" s="11" t="s">
        <v>881</v>
      </c>
      <c r="X228" s="12" t="s">
        <v>14</v>
      </c>
      <c r="Y228" s="12" t="s">
        <v>14</v>
      </c>
      <c r="Z228" s="13" t="s">
        <v>270</v>
      </c>
    </row>
    <row r="229" spans="1:26" ht="19.899999999999999" customHeight="1" x14ac:dyDescent="0.25">
      <c r="A229" s="6">
        <v>45944</v>
      </c>
      <c r="B229" s="7" t="s">
        <v>300</v>
      </c>
      <c r="C229" s="8" t="s">
        <v>886</v>
      </c>
      <c r="D229" s="8" t="s">
        <v>264</v>
      </c>
      <c r="E229" s="8" t="s">
        <v>887</v>
      </c>
      <c r="F229" s="9" t="s">
        <v>889</v>
      </c>
      <c r="G229" s="9" t="s">
        <v>891</v>
      </c>
      <c r="H229" s="9" t="s">
        <v>892</v>
      </c>
      <c r="I229" s="9" t="s">
        <v>69</v>
      </c>
      <c r="J229" s="10" t="s">
        <v>15</v>
      </c>
      <c r="K229" s="15" t="str">
        <f>VLOOKUP(J229,DADOS!$A$3:$B$105,2,FALSE)</f>
        <v>EE-GI-001-002</v>
      </c>
      <c r="L229" s="15" t="s">
        <v>299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1</v>
      </c>
      <c r="S229" s="17" t="b">
        <v>0</v>
      </c>
      <c r="T229" s="17" t="b">
        <v>0</v>
      </c>
      <c r="U229" s="17" t="b">
        <v>0</v>
      </c>
      <c r="V229" s="17" t="b">
        <v>0</v>
      </c>
      <c r="W229" s="11" t="s">
        <v>264</v>
      </c>
      <c r="X229" s="12" t="s">
        <v>14</v>
      </c>
      <c r="Y229" s="12" t="s">
        <v>14</v>
      </c>
      <c r="Z229" s="13" t="s">
        <v>270</v>
      </c>
    </row>
    <row r="230" spans="1:26" ht="19.899999999999999" customHeight="1" x14ac:dyDescent="0.25">
      <c r="A230" s="6">
        <v>45944</v>
      </c>
      <c r="B230" s="7" t="s">
        <v>300</v>
      </c>
      <c r="C230" s="8" t="s">
        <v>886</v>
      </c>
      <c r="D230" s="8" t="s">
        <v>264</v>
      </c>
      <c r="E230" s="8" t="s">
        <v>888</v>
      </c>
      <c r="F230" s="9" t="s">
        <v>890</v>
      </c>
      <c r="G230" s="9" t="s">
        <v>891</v>
      </c>
      <c r="H230" s="9" t="s">
        <v>892</v>
      </c>
      <c r="I230" s="9" t="s">
        <v>69</v>
      </c>
      <c r="J230" s="10" t="s">
        <v>15</v>
      </c>
      <c r="K230" s="15" t="str">
        <f>VLOOKUP(J230,DADOS!$A$3:$B$105,2,FALSE)</f>
        <v>EE-GI-001-002</v>
      </c>
      <c r="L230" s="15" t="s">
        <v>299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1</v>
      </c>
      <c r="S230" s="17" t="b">
        <v>0</v>
      </c>
      <c r="T230" s="17" t="b">
        <v>0</v>
      </c>
      <c r="U230" s="17" t="b">
        <v>0</v>
      </c>
      <c r="V230" s="17" t="b">
        <v>0</v>
      </c>
      <c r="W230" s="11" t="s">
        <v>264</v>
      </c>
      <c r="X230" s="12" t="s">
        <v>14</v>
      </c>
      <c r="Y230" s="12" t="s">
        <v>14</v>
      </c>
      <c r="Z230" s="13" t="s">
        <v>270</v>
      </c>
    </row>
    <row r="231" spans="1:26" ht="19.899999999999999" customHeight="1" x14ac:dyDescent="0.25">
      <c r="A231" s="6">
        <v>45944</v>
      </c>
      <c r="B231" s="7" t="s">
        <v>300</v>
      </c>
      <c r="C231" s="8" t="s">
        <v>893</v>
      </c>
      <c r="D231" s="8" t="s">
        <v>331</v>
      </c>
      <c r="E231" s="8" t="s">
        <v>894</v>
      </c>
      <c r="F231" s="9" t="s">
        <v>895</v>
      </c>
      <c r="G231" s="9" t="s">
        <v>896</v>
      </c>
      <c r="H231" s="9" t="s">
        <v>897</v>
      </c>
      <c r="I231" s="9" t="s">
        <v>69</v>
      </c>
      <c r="J231" s="10" t="s">
        <v>17</v>
      </c>
      <c r="K231" s="15" t="str">
        <f>VLOOKUP(J231,DADOS!$A$3:$B$105,2,FALSE)</f>
        <v>EE-GI-001-001</v>
      </c>
      <c r="L231" s="15" t="s">
        <v>268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1</v>
      </c>
      <c r="S231" s="17" t="b">
        <v>0</v>
      </c>
      <c r="T231" s="17" t="b">
        <v>0</v>
      </c>
      <c r="U231" s="17" t="b">
        <v>0</v>
      </c>
      <c r="V231" s="17" t="b">
        <v>0</v>
      </c>
      <c r="W231" s="11" t="s">
        <v>331</v>
      </c>
      <c r="X231" s="12" t="s">
        <v>14</v>
      </c>
      <c r="Y231" s="12" t="s">
        <v>14</v>
      </c>
      <c r="Z231" s="13" t="s">
        <v>270</v>
      </c>
    </row>
    <row r="232" spans="1:26" ht="19.899999999999999" customHeight="1" x14ac:dyDescent="0.25">
      <c r="A232" s="6">
        <v>45944</v>
      </c>
      <c r="B232" s="7" t="s">
        <v>300</v>
      </c>
      <c r="C232" s="8" t="s">
        <v>898</v>
      </c>
      <c r="D232" s="8" t="s">
        <v>264</v>
      </c>
      <c r="E232" s="8" t="s">
        <v>899</v>
      </c>
      <c r="F232" s="9" t="s">
        <v>900</v>
      </c>
      <c r="G232" s="9" t="s">
        <v>874</v>
      </c>
      <c r="H232" s="9" t="s">
        <v>901</v>
      </c>
      <c r="I232" s="9" t="s">
        <v>69</v>
      </c>
      <c r="J232" s="10" t="s">
        <v>15</v>
      </c>
      <c r="K232" s="15" t="str">
        <f>VLOOKUP(J232,DADOS!$A$3:$B$105,2,FALSE)</f>
        <v>EE-GI-001-002</v>
      </c>
      <c r="L232" s="15" t="s">
        <v>299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1</v>
      </c>
      <c r="S232" s="17" t="b">
        <v>0</v>
      </c>
      <c r="T232" s="17" t="b">
        <v>0</v>
      </c>
      <c r="U232" s="17" t="b">
        <v>0</v>
      </c>
      <c r="V232" s="17" t="b">
        <v>0</v>
      </c>
      <c r="W232" s="11" t="s">
        <v>264</v>
      </c>
      <c r="X232" s="12" t="s">
        <v>14</v>
      </c>
      <c r="Y232" s="12" t="s">
        <v>14</v>
      </c>
      <c r="Z232" s="13" t="s">
        <v>270</v>
      </c>
    </row>
    <row r="233" spans="1:26" ht="19.899999999999999" customHeight="1" x14ac:dyDescent="0.25">
      <c r="A233" s="6">
        <v>45944</v>
      </c>
      <c r="B233" s="7" t="s">
        <v>300</v>
      </c>
      <c r="C233" s="8" t="s">
        <v>907</v>
      </c>
      <c r="D233" s="8" t="s">
        <v>308</v>
      </c>
      <c r="E233" s="8" t="s">
        <v>908</v>
      </c>
      <c r="F233" s="9" t="s">
        <v>909</v>
      </c>
      <c r="G233" s="9" t="s">
        <v>874</v>
      </c>
      <c r="H233" s="9" t="s">
        <v>910</v>
      </c>
      <c r="I233" s="9" t="s">
        <v>69</v>
      </c>
      <c r="J233" s="10" t="s">
        <v>15</v>
      </c>
      <c r="K233" s="15" t="str">
        <f>VLOOKUP(J233,DADOS!$A$3:$B$105,2,FALSE)</f>
        <v>EE-GI-001-002</v>
      </c>
      <c r="L233" s="15" t="s">
        <v>268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1</v>
      </c>
      <c r="S233" s="17" t="b">
        <v>0</v>
      </c>
      <c r="T233" s="17" t="b">
        <v>0</v>
      </c>
      <c r="U233" s="17" t="b">
        <v>0</v>
      </c>
      <c r="V233" s="17" t="b">
        <v>0</v>
      </c>
      <c r="W233" s="11" t="s">
        <v>308</v>
      </c>
      <c r="X233" s="12" t="s">
        <v>14</v>
      </c>
      <c r="Y233" s="12" t="s">
        <v>14</v>
      </c>
      <c r="Z233" s="13" t="s">
        <v>270</v>
      </c>
    </row>
    <row r="234" spans="1:26" ht="19.899999999999999" customHeight="1" x14ac:dyDescent="0.25">
      <c r="A234" s="6">
        <v>45944</v>
      </c>
      <c r="B234" s="7" t="s">
        <v>300</v>
      </c>
      <c r="C234" s="8" t="s">
        <v>911</v>
      </c>
      <c r="D234" s="8" t="s">
        <v>331</v>
      </c>
      <c r="E234" s="8" t="s">
        <v>912</v>
      </c>
      <c r="F234" s="9" t="s">
        <v>913</v>
      </c>
      <c r="G234" s="9" t="s">
        <v>914</v>
      </c>
      <c r="H234" s="9" t="s">
        <v>915</v>
      </c>
      <c r="I234" s="9" t="s">
        <v>66</v>
      </c>
      <c r="J234" s="10" t="s">
        <v>15</v>
      </c>
      <c r="K234" s="15" t="str">
        <f>VLOOKUP(J234,DADOS!$A$3:$B$105,2,FALSE)</f>
        <v>EE-GI-001-002</v>
      </c>
      <c r="L234" s="15" t="s">
        <v>268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1</v>
      </c>
      <c r="S234" s="17" t="b">
        <v>0</v>
      </c>
      <c r="T234" s="17" t="b">
        <v>0</v>
      </c>
      <c r="U234" s="17" t="b">
        <v>0</v>
      </c>
      <c r="V234" s="17" t="b">
        <v>0</v>
      </c>
      <c r="W234" s="11" t="s">
        <v>331</v>
      </c>
      <c r="X234" s="12" t="s">
        <v>14</v>
      </c>
      <c r="Y234" s="12" t="s">
        <v>14</v>
      </c>
      <c r="Z234" s="13" t="s">
        <v>270</v>
      </c>
    </row>
    <row r="235" spans="1:26" ht="19.899999999999999" customHeight="1" x14ac:dyDescent="0.25">
      <c r="A235" s="6">
        <v>45944</v>
      </c>
      <c r="B235" s="7" t="s">
        <v>300</v>
      </c>
      <c r="C235" s="8" t="s">
        <v>916</v>
      </c>
      <c r="D235" s="8" t="s">
        <v>331</v>
      </c>
      <c r="E235" s="8" t="s">
        <v>917</v>
      </c>
      <c r="F235" s="9" t="s">
        <v>918</v>
      </c>
      <c r="G235" s="9" t="s">
        <v>874</v>
      </c>
      <c r="H235" s="9" t="s">
        <v>919</v>
      </c>
      <c r="I235" s="9" t="s">
        <v>66</v>
      </c>
      <c r="J235" s="10" t="s">
        <v>15</v>
      </c>
      <c r="K235" s="15" t="str">
        <f>VLOOKUP(J235,DADOS!$A$3:$B$105,2,FALSE)</f>
        <v>EE-GI-001-002</v>
      </c>
      <c r="L235" s="15" t="s">
        <v>299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1</v>
      </c>
      <c r="S235" s="17" t="b">
        <v>0</v>
      </c>
      <c r="T235" s="17" t="b">
        <v>0</v>
      </c>
      <c r="U235" s="17" t="b">
        <v>0</v>
      </c>
      <c r="V235" s="17" t="b">
        <v>0</v>
      </c>
      <c r="W235" s="11" t="s">
        <v>331</v>
      </c>
      <c r="X235" s="12" t="s">
        <v>14</v>
      </c>
      <c r="Y235" s="12" t="s">
        <v>14</v>
      </c>
      <c r="Z235" s="13" t="s">
        <v>270</v>
      </c>
    </row>
    <row r="236" spans="1:26" ht="19.899999999999999" customHeight="1" x14ac:dyDescent="0.25">
      <c r="A236" s="6">
        <v>45944</v>
      </c>
      <c r="B236" s="7" t="s">
        <v>300</v>
      </c>
      <c r="C236" s="8" t="s">
        <v>922</v>
      </c>
      <c r="D236" s="8" t="s">
        <v>264</v>
      </c>
      <c r="E236" s="8" t="s">
        <v>917</v>
      </c>
      <c r="F236" s="9" t="s">
        <v>921</v>
      </c>
      <c r="G236" s="9" t="s">
        <v>874</v>
      </c>
      <c r="H236" s="9" t="s">
        <v>920</v>
      </c>
      <c r="I236" s="9" t="s">
        <v>69</v>
      </c>
      <c r="J236" s="10" t="s">
        <v>15</v>
      </c>
      <c r="K236" s="15" t="str">
        <f>VLOOKUP(J236,DADOS!$A$3:$B$105,2,FALSE)</f>
        <v>EE-GI-001-002</v>
      </c>
      <c r="L236" s="15" t="s">
        <v>299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1</v>
      </c>
      <c r="S236" s="17" t="b">
        <v>0</v>
      </c>
      <c r="T236" s="17" t="b">
        <v>0</v>
      </c>
      <c r="U236" s="17" t="b">
        <v>0</v>
      </c>
      <c r="V236" s="17" t="b">
        <v>0</v>
      </c>
      <c r="W236" s="11" t="s">
        <v>264</v>
      </c>
      <c r="X236" s="12" t="s">
        <v>14</v>
      </c>
      <c r="Y236" s="12" t="s">
        <v>14</v>
      </c>
      <c r="Z236" s="13" t="s">
        <v>270</v>
      </c>
    </row>
    <row r="237" spans="1:26" ht="19.899999999999999" customHeight="1" x14ac:dyDescent="0.25">
      <c r="A237" s="6">
        <v>45944</v>
      </c>
      <c r="B237" s="7" t="s">
        <v>300</v>
      </c>
      <c r="C237" s="8" t="s">
        <v>886</v>
      </c>
      <c r="D237" s="8" t="s">
        <v>331</v>
      </c>
      <c r="E237" s="8" t="s">
        <v>894</v>
      </c>
      <c r="F237" s="9" t="s">
        <v>923</v>
      </c>
      <c r="G237" s="9" t="s">
        <v>874</v>
      </c>
      <c r="H237" s="9" t="s">
        <v>924</v>
      </c>
      <c r="I237" s="9" t="s">
        <v>69</v>
      </c>
      <c r="J237" s="10" t="s">
        <v>15</v>
      </c>
      <c r="K237" s="15" t="str">
        <f>VLOOKUP(J237,DADOS!$A$3:$B$105,2,FALSE)</f>
        <v>EE-GI-001-002</v>
      </c>
      <c r="L237" s="15" t="s">
        <v>299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1</v>
      </c>
      <c r="S237" s="17" t="b">
        <v>0</v>
      </c>
      <c r="T237" s="17" t="b">
        <v>0</v>
      </c>
      <c r="U237" s="17" t="b">
        <v>0</v>
      </c>
      <c r="V237" s="17" t="b">
        <v>0</v>
      </c>
      <c r="W237" s="11" t="s">
        <v>331</v>
      </c>
      <c r="X237" s="12" t="s">
        <v>14</v>
      </c>
      <c r="Y237" s="12" t="s">
        <v>14</v>
      </c>
      <c r="Z237" s="13" t="s">
        <v>270</v>
      </c>
    </row>
    <row r="238" spans="1:26" s="5" customFormat="1" ht="19.899999999999999" customHeight="1" x14ac:dyDescent="0.25">
      <c r="A238" s="6">
        <v>45944</v>
      </c>
      <c r="B238" s="7" t="s">
        <v>300</v>
      </c>
      <c r="C238" s="8" t="s">
        <v>925</v>
      </c>
      <c r="D238" s="8" t="s">
        <v>264</v>
      </c>
      <c r="E238" s="8" t="s">
        <v>888</v>
      </c>
      <c r="F238" s="9" t="s">
        <v>926</v>
      </c>
      <c r="G238" s="9" t="s">
        <v>896</v>
      </c>
      <c r="H238" s="9" t="s">
        <v>927</v>
      </c>
      <c r="I238" s="9" t="s">
        <v>69</v>
      </c>
      <c r="J238" s="10" t="s">
        <v>17</v>
      </c>
      <c r="K238" s="15" t="str">
        <f>VLOOKUP(J238,DADOS!$A$3:$B$105,2,FALSE)</f>
        <v>EE-GI-001-001</v>
      </c>
      <c r="L238" s="15" t="s">
        <v>268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1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264</v>
      </c>
      <c r="X238" s="12" t="s">
        <v>14</v>
      </c>
      <c r="Y238" s="12" t="s">
        <v>14</v>
      </c>
      <c r="Z238" s="13" t="s">
        <v>270</v>
      </c>
    </row>
    <row r="239" spans="1:26" s="5" customFormat="1" ht="19.899999999999999" customHeight="1" x14ac:dyDescent="0.25">
      <c r="A239" s="6">
        <v>45944</v>
      </c>
      <c r="B239" s="7" t="s">
        <v>300</v>
      </c>
      <c r="C239" s="8" t="s">
        <v>928</v>
      </c>
      <c r="D239" s="8" t="s">
        <v>264</v>
      </c>
      <c r="E239" s="8" t="s">
        <v>929</v>
      </c>
      <c r="F239" s="9" t="s">
        <v>930</v>
      </c>
      <c r="G239" s="9" t="s">
        <v>874</v>
      </c>
      <c r="H239" s="9" t="s">
        <v>931</v>
      </c>
      <c r="I239" s="9" t="s">
        <v>68</v>
      </c>
      <c r="J239" s="10" t="s">
        <v>15</v>
      </c>
      <c r="K239" s="15" t="str">
        <f>VLOOKUP(J239,DADOS!$A$3:$B$105,2,FALSE)</f>
        <v>EE-GI-001-002</v>
      </c>
      <c r="L239" s="15" t="s">
        <v>268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1</v>
      </c>
      <c r="S239" s="17" t="b">
        <v>0</v>
      </c>
      <c r="T239" s="17" t="b">
        <v>0</v>
      </c>
      <c r="U239" s="17" t="b">
        <v>0</v>
      </c>
      <c r="V239" s="17" t="b">
        <v>0</v>
      </c>
      <c r="W239" s="11" t="s">
        <v>264</v>
      </c>
      <c r="X239" s="12" t="s">
        <v>14</v>
      </c>
      <c r="Y239" s="12" t="s">
        <v>14</v>
      </c>
      <c r="Z239" s="13" t="s">
        <v>270</v>
      </c>
    </row>
    <row r="240" spans="1:26" s="5" customFormat="1" ht="19.5" customHeight="1" x14ac:dyDescent="0.25">
      <c r="A240" s="6">
        <v>45944</v>
      </c>
      <c r="B240" s="7" t="s">
        <v>300</v>
      </c>
      <c r="C240" s="8" t="s">
        <v>928</v>
      </c>
      <c r="D240" s="8" t="s">
        <v>336</v>
      </c>
      <c r="E240" s="8" t="s">
        <v>929</v>
      </c>
      <c r="F240" s="9" t="s">
        <v>933</v>
      </c>
      <c r="G240" s="9" t="s">
        <v>874</v>
      </c>
      <c r="H240" s="9" t="s">
        <v>931</v>
      </c>
      <c r="I240" s="9" t="s">
        <v>68</v>
      </c>
      <c r="J240" s="10" t="s">
        <v>15</v>
      </c>
      <c r="K240" s="15" t="str">
        <f>VLOOKUP(J240,DADOS!$A$3:$B$105,2,FALSE)</f>
        <v>EE-GI-001-002</v>
      </c>
      <c r="L240" s="15" t="s">
        <v>268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1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336</v>
      </c>
      <c r="X240" s="12" t="s">
        <v>14</v>
      </c>
      <c r="Y240" s="12" t="s">
        <v>14</v>
      </c>
      <c r="Z240" s="13" t="s">
        <v>270</v>
      </c>
    </row>
    <row r="241" spans="1:26" s="5" customFormat="1" ht="19.899999999999999" customHeight="1" x14ac:dyDescent="0.25">
      <c r="A241" s="6">
        <v>45944</v>
      </c>
      <c r="B241" s="7" t="s">
        <v>300</v>
      </c>
      <c r="C241" s="8" t="s">
        <v>934</v>
      </c>
      <c r="D241" s="8" t="s">
        <v>273</v>
      </c>
      <c r="E241" s="8" t="s">
        <v>929</v>
      </c>
      <c r="F241" s="9" t="s">
        <v>932</v>
      </c>
      <c r="G241" s="9" t="s">
        <v>936</v>
      </c>
      <c r="H241" s="9" t="s">
        <v>935</v>
      </c>
      <c r="I241" s="9" t="s">
        <v>68</v>
      </c>
      <c r="J241" s="10" t="s">
        <v>15</v>
      </c>
      <c r="K241" s="15" t="str">
        <f>VLOOKUP(J241,DADOS!$A$3:$B$105,2,FALSE)</f>
        <v>EE-GI-001-002</v>
      </c>
      <c r="L241" s="15" t="s">
        <v>268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1</v>
      </c>
      <c r="S241" s="17" t="b">
        <v>0</v>
      </c>
      <c r="T241" s="17" t="b">
        <v>0</v>
      </c>
      <c r="U241" s="17" t="b">
        <v>0</v>
      </c>
      <c r="V241" s="17" t="b">
        <v>0</v>
      </c>
      <c r="W241" s="11" t="s">
        <v>273</v>
      </c>
      <c r="X241" s="12" t="s">
        <v>14</v>
      </c>
      <c r="Y241" s="12" t="s">
        <v>14</v>
      </c>
      <c r="Z241" s="13" t="s">
        <v>270</v>
      </c>
    </row>
    <row r="242" spans="1:26" s="5" customFormat="1" ht="19.899999999999999" customHeight="1" x14ac:dyDescent="0.25">
      <c r="A242" s="6">
        <v>45944</v>
      </c>
      <c r="B242" s="7" t="s">
        <v>300</v>
      </c>
      <c r="C242" s="8" t="s">
        <v>330</v>
      </c>
      <c r="D242" s="8" t="s">
        <v>408</v>
      </c>
      <c r="E242" s="8" t="s">
        <v>929</v>
      </c>
      <c r="F242" s="9" t="s">
        <v>937</v>
      </c>
      <c r="G242" s="9" t="s">
        <v>874</v>
      </c>
      <c r="H242" s="9" t="s">
        <v>938</v>
      </c>
      <c r="I242" s="9" t="s">
        <v>68</v>
      </c>
      <c r="J242" s="10" t="s">
        <v>15</v>
      </c>
      <c r="K242" s="15" t="str">
        <f>VLOOKUP(J242,DADOS!$A$3:$B$105,2,FALSE)</f>
        <v>EE-GI-001-002</v>
      </c>
      <c r="L242" s="15" t="s">
        <v>268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1</v>
      </c>
      <c r="S242" s="17" t="b">
        <v>0</v>
      </c>
      <c r="T242" s="17" t="b">
        <v>0</v>
      </c>
      <c r="U242" s="17" t="b">
        <v>0</v>
      </c>
      <c r="V242" s="17" t="b">
        <v>0</v>
      </c>
      <c r="W242" s="11" t="s">
        <v>408</v>
      </c>
      <c r="X242" s="12" t="s">
        <v>14</v>
      </c>
      <c r="Y242" s="12" t="s">
        <v>14</v>
      </c>
      <c r="Z242" s="13" t="s">
        <v>270</v>
      </c>
    </row>
    <row r="243" spans="1:26" s="5" customFormat="1" ht="19.899999999999999" customHeight="1" x14ac:dyDescent="0.25">
      <c r="A243" s="6">
        <v>45944</v>
      </c>
      <c r="B243" s="7" t="s">
        <v>300</v>
      </c>
      <c r="C243" s="8" t="s">
        <v>939</v>
      </c>
      <c r="D243" s="8" t="s">
        <v>273</v>
      </c>
      <c r="E243" s="8" t="s">
        <v>940</v>
      </c>
      <c r="F243" s="9" t="s">
        <v>941</v>
      </c>
      <c r="G243" s="9" t="s">
        <v>874</v>
      </c>
      <c r="H243" s="9" t="s">
        <v>942</v>
      </c>
      <c r="I243" s="9" t="s">
        <v>70</v>
      </c>
      <c r="J243" s="10" t="s">
        <v>15</v>
      </c>
      <c r="K243" s="15" t="str">
        <f>VLOOKUP(J243,DADOS!$A$3:$B$105,2,FALSE)</f>
        <v>EE-GI-001-002</v>
      </c>
      <c r="L243" s="15" t="s">
        <v>299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1</v>
      </c>
      <c r="S243" s="17" t="b">
        <v>0</v>
      </c>
      <c r="T243" s="17" t="b">
        <v>0</v>
      </c>
      <c r="U243" s="17" t="b">
        <v>0</v>
      </c>
      <c r="V243" s="17" t="b">
        <v>0</v>
      </c>
      <c r="W243" s="11" t="s">
        <v>273</v>
      </c>
      <c r="X243" s="12" t="s">
        <v>14</v>
      </c>
      <c r="Y243" s="12" t="s">
        <v>14</v>
      </c>
      <c r="Z243" s="13" t="s">
        <v>270</v>
      </c>
    </row>
    <row r="244" spans="1:26" s="5" customFormat="1" ht="19.899999999999999" customHeight="1" x14ac:dyDescent="0.25">
      <c r="A244" s="6">
        <v>45944</v>
      </c>
      <c r="B244" s="7" t="s">
        <v>300</v>
      </c>
      <c r="C244" s="8" t="s">
        <v>943</v>
      </c>
      <c r="D244" s="8" t="s">
        <v>264</v>
      </c>
      <c r="E244" s="8" t="s">
        <v>944</v>
      </c>
      <c r="F244" s="9" t="s">
        <v>945</v>
      </c>
      <c r="G244" s="9" t="s">
        <v>874</v>
      </c>
      <c r="H244" s="9" t="s">
        <v>946</v>
      </c>
      <c r="I244" s="9" t="s">
        <v>95</v>
      </c>
      <c r="J244" s="10" t="s">
        <v>15</v>
      </c>
      <c r="K244" s="15" t="str">
        <f>VLOOKUP(J244,DADOS!$A$3:$B$105,2,FALSE)</f>
        <v>EE-GI-001-002</v>
      </c>
      <c r="L244" s="15" t="s">
        <v>268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1</v>
      </c>
      <c r="S244" s="17" t="b">
        <v>0</v>
      </c>
      <c r="T244" s="17" t="b">
        <v>0</v>
      </c>
      <c r="U244" s="17" t="b">
        <v>0</v>
      </c>
      <c r="V244" s="17" t="b">
        <v>0</v>
      </c>
      <c r="W244" s="11" t="s">
        <v>264</v>
      </c>
      <c r="X244" s="12" t="s">
        <v>14</v>
      </c>
      <c r="Y244" s="12" t="s">
        <v>14</v>
      </c>
      <c r="Z244" s="13" t="s">
        <v>270</v>
      </c>
    </row>
    <row r="245" spans="1:26" ht="19.899999999999999" customHeight="1" x14ac:dyDescent="0.25">
      <c r="A245" s="6">
        <v>45944</v>
      </c>
      <c r="B245" s="7" t="s">
        <v>300</v>
      </c>
      <c r="C245" s="8" t="s">
        <v>949</v>
      </c>
      <c r="D245" s="8" t="s">
        <v>264</v>
      </c>
      <c r="E245" s="8" t="s">
        <v>944</v>
      </c>
      <c r="F245" s="9" t="s">
        <v>948</v>
      </c>
      <c r="G245" s="9" t="s">
        <v>874</v>
      </c>
      <c r="H245" s="9" t="s">
        <v>947</v>
      </c>
      <c r="I245" s="9" t="s">
        <v>69</v>
      </c>
      <c r="J245" s="10" t="s">
        <v>15</v>
      </c>
      <c r="K245" s="15" t="str">
        <f>VLOOKUP(J245,DADOS!$A$3:$B$105,2,FALSE)</f>
        <v>EE-GI-001-002</v>
      </c>
      <c r="L245" s="15" t="s">
        <v>268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1</v>
      </c>
      <c r="S245" s="17" t="b">
        <v>0</v>
      </c>
      <c r="T245" s="17" t="b">
        <v>0</v>
      </c>
      <c r="U245" s="17" t="b">
        <v>0</v>
      </c>
      <c r="V245" s="17" t="b">
        <v>0</v>
      </c>
      <c r="W245" s="11" t="s">
        <v>264</v>
      </c>
      <c r="X245" s="12" t="s">
        <v>14</v>
      </c>
      <c r="Y245" s="12" t="s">
        <v>14</v>
      </c>
      <c r="Z245" s="13" t="s">
        <v>270</v>
      </c>
    </row>
    <row r="246" spans="1:26" ht="19.899999999999999" customHeight="1" x14ac:dyDescent="0.25">
      <c r="A246" s="6">
        <v>45944</v>
      </c>
      <c r="B246" s="7" t="s">
        <v>300</v>
      </c>
      <c r="C246" s="8" t="s">
        <v>950</v>
      </c>
      <c r="D246" s="8" t="s">
        <v>408</v>
      </c>
      <c r="E246" s="8" t="s">
        <v>951</v>
      </c>
      <c r="F246" s="9" t="s">
        <v>952</v>
      </c>
      <c r="G246" s="9" t="s">
        <v>874</v>
      </c>
      <c r="H246" s="9" t="s">
        <v>953</v>
      </c>
      <c r="I246" s="9" t="s">
        <v>65</v>
      </c>
      <c r="J246" s="10" t="s">
        <v>15</v>
      </c>
      <c r="K246" s="15" t="str">
        <f>VLOOKUP(J246,DADOS!$A$3:$B$105,2,FALSE)</f>
        <v>EE-GI-001-002</v>
      </c>
      <c r="L246" s="15" t="s">
        <v>299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1</v>
      </c>
      <c r="S246" s="17" t="b">
        <v>0</v>
      </c>
      <c r="T246" s="17" t="b">
        <v>0</v>
      </c>
      <c r="U246" s="17" t="b">
        <v>0</v>
      </c>
      <c r="V246" s="17" t="b">
        <v>0</v>
      </c>
      <c r="W246" s="11" t="s">
        <v>408</v>
      </c>
      <c r="X246" s="12" t="s">
        <v>14</v>
      </c>
      <c r="Y246" s="12" t="s">
        <v>14</v>
      </c>
      <c r="Z246" s="13" t="s">
        <v>270</v>
      </c>
    </row>
    <row r="247" spans="1:26" ht="19.899999999999999" customHeight="1" x14ac:dyDescent="0.25">
      <c r="A247" s="6">
        <v>45944</v>
      </c>
      <c r="B247" s="7" t="s">
        <v>300</v>
      </c>
      <c r="C247" s="8" t="s">
        <v>954</v>
      </c>
      <c r="D247" s="8" t="s">
        <v>402</v>
      </c>
      <c r="E247" s="8" t="s">
        <v>955</v>
      </c>
      <c r="F247" s="9" t="s">
        <v>956</v>
      </c>
      <c r="G247" s="9" t="s">
        <v>874</v>
      </c>
      <c r="H247" s="9" t="s">
        <v>957</v>
      </c>
      <c r="I247" s="9" t="s">
        <v>65</v>
      </c>
      <c r="J247" s="10" t="s">
        <v>15</v>
      </c>
      <c r="K247" s="15" t="str">
        <f>VLOOKUP(J247,DADOS!$A$3:$B$105,2,FALSE)</f>
        <v>EE-GI-001-002</v>
      </c>
      <c r="L247" s="15" t="s">
        <v>299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0</v>
      </c>
      <c r="R247" s="17" t="b">
        <v>1</v>
      </c>
      <c r="S247" s="17" t="b">
        <v>0</v>
      </c>
      <c r="T247" s="17" t="b">
        <v>0</v>
      </c>
      <c r="U247" s="17" t="b">
        <v>0</v>
      </c>
      <c r="V247" s="17" t="b">
        <v>0</v>
      </c>
      <c r="W247" s="11" t="s">
        <v>402</v>
      </c>
      <c r="X247" s="12" t="s">
        <v>14</v>
      </c>
      <c r="Y247" s="12" t="s">
        <v>14</v>
      </c>
      <c r="Z247" s="13" t="s">
        <v>270</v>
      </c>
    </row>
    <row r="248" spans="1:26" ht="19.899999999999999" customHeight="1" x14ac:dyDescent="0.25">
      <c r="A248" s="6">
        <v>45944</v>
      </c>
      <c r="B248" s="7" t="s">
        <v>958</v>
      </c>
      <c r="C248" s="8" t="s">
        <v>959</v>
      </c>
      <c r="D248" s="8" t="s">
        <v>409</v>
      </c>
      <c r="E248" s="8" t="s">
        <v>960</v>
      </c>
      <c r="F248" s="9" t="s">
        <v>961</v>
      </c>
      <c r="G248" s="9" t="s">
        <v>687</v>
      </c>
      <c r="H248" s="9" t="s">
        <v>962</v>
      </c>
      <c r="I248" s="9" t="s">
        <v>66</v>
      </c>
      <c r="J248" s="10" t="s">
        <v>174</v>
      </c>
      <c r="K248" s="15" t="str">
        <f>VLOOKUP(J248,DADOS!$A$3:$B$105,2,FALSE)</f>
        <v>EE-GI-001-007</v>
      </c>
      <c r="L248" s="15" t="s">
        <v>341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0</v>
      </c>
      <c r="R248" s="17" t="b">
        <v>1</v>
      </c>
      <c r="S248" s="17" t="b">
        <v>0</v>
      </c>
      <c r="T248" s="17" t="b">
        <v>0</v>
      </c>
      <c r="U248" s="17" t="b">
        <v>0</v>
      </c>
      <c r="V248" s="17" t="b">
        <v>0</v>
      </c>
      <c r="W248" s="11" t="s">
        <v>409</v>
      </c>
      <c r="X248" s="12" t="s">
        <v>14</v>
      </c>
      <c r="Y248" s="12" t="s">
        <v>14</v>
      </c>
      <c r="Z248" s="13" t="s">
        <v>342</v>
      </c>
    </row>
    <row r="249" spans="1:26" ht="19.899999999999999" customHeight="1" x14ac:dyDescent="0.25">
      <c r="A249" s="6">
        <v>45944</v>
      </c>
      <c r="B249" s="7" t="s">
        <v>958</v>
      </c>
      <c r="C249" s="8" t="s">
        <v>959</v>
      </c>
      <c r="D249" s="8" t="s">
        <v>963</v>
      </c>
      <c r="E249" s="8" t="s">
        <v>964</v>
      </c>
      <c r="F249" s="9" t="s">
        <v>965</v>
      </c>
      <c r="G249" s="9" t="s">
        <v>658</v>
      </c>
      <c r="H249" s="9" t="s">
        <v>966</v>
      </c>
      <c r="I249" s="9" t="s">
        <v>66</v>
      </c>
      <c r="J249" s="10" t="s">
        <v>174</v>
      </c>
      <c r="K249" s="15" t="str">
        <f>VLOOKUP(J249,DADOS!$A$3:$B$105,2,FALSE)</f>
        <v>EE-GI-001-007</v>
      </c>
      <c r="L249" s="15" t="s">
        <v>341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0</v>
      </c>
      <c r="R249" s="17" t="b">
        <v>1</v>
      </c>
      <c r="S249" s="17" t="b">
        <v>0</v>
      </c>
      <c r="T249" s="17" t="b">
        <v>0</v>
      </c>
      <c r="U249" s="17" t="b">
        <v>0</v>
      </c>
      <c r="V249" s="17" t="b">
        <v>0</v>
      </c>
      <c r="W249" s="11" t="s">
        <v>963</v>
      </c>
      <c r="X249" s="12" t="s">
        <v>14</v>
      </c>
      <c r="Y249" s="12" t="s">
        <v>14</v>
      </c>
      <c r="Z249" s="13" t="s">
        <v>342</v>
      </c>
    </row>
    <row r="250" spans="1:26" ht="19.899999999999999" customHeight="1" x14ac:dyDescent="0.25">
      <c r="A250" s="6">
        <v>45944</v>
      </c>
      <c r="B250" s="7" t="s">
        <v>967</v>
      </c>
      <c r="C250" s="8" t="s">
        <v>968</v>
      </c>
      <c r="D250" s="8" t="s">
        <v>264</v>
      </c>
      <c r="E250" s="8" t="s">
        <v>969</v>
      </c>
      <c r="F250" s="9" t="s">
        <v>970</v>
      </c>
      <c r="G250" s="9" t="s">
        <v>14</v>
      </c>
      <c r="H250" s="9" t="s">
        <v>971</v>
      </c>
      <c r="I250" s="9" t="s">
        <v>14</v>
      </c>
      <c r="J250" s="10" t="s">
        <v>14</v>
      </c>
      <c r="K250" s="15" t="e">
        <f>VLOOKUP(J250,DADOS!$A$3:$B$105,2,FALSE)</f>
        <v>#N/A</v>
      </c>
      <c r="L250" s="15" t="s">
        <v>972</v>
      </c>
      <c r="M250" s="18" t="b">
        <v>1</v>
      </c>
      <c r="N250" s="17" t="b">
        <v>1</v>
      </c>
      <c r="O250" s="17" t="b">
        <v>0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264</v>
      </c>
      <c r="X250" s="12" t="s">
        <v>14</v>
      </c>
      <c r="Y250" s="12" t="s">
        <v>14</v>
      </c>
      <c r="Z250" s="13" t="s">
        <v>854</v>
      </c>
    </row>
    <row r="251" spans="1:26" ht="19.899999999999999" customHeight="1" x14ac:dyDescent="0.25">
      <c r="A251" s="6">
        <v>45944</v>
      </c>
      <c r="B251" s="7" t="s">
        <v>967</v>
      </c>
      <c r="C251" s="8" t="s">
        <v>968</v>
      </c>
      <c r="D251" s="8" t="s">
        <v>264</v>
      </c>
      <c r="E251" s="8" t="s">
        <v>969</v>
      </c>
      <c r="F251" s="9" t="s">
        <v>973</v>
      </c>
      <c r="G251" s="9" t="s">
        <v>14</v>
      </c>
      <c r="H251" s="9" t="s">
        <v>971</v>
      </c>
      <c r="I251" s="9" t="s">
        <v>14</v>
      </c>
      <c r="J251" s="10" t="s">
        <v>14</v>
      </c>
      <c r="K251" s="15" t="e">
        <f>VLOOKUP(J251,DADOS!$A$3:$B$105,2,FALSE)</f>
        <v>#N/A</v>
      </c>
      <c r="L251" s="15" t="s">
        <v>972</v>
      </c>
      <c r="M251" s="18" t="b">
        <v>1</v>
      </c>
      <c r="N251" s="17" t="b">
        <v>1</v>
      </c>
      <c r="O251" s="17" t="b">
        <v>0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1</v>
      </c>
      <c r="W251" s="11" t="s">
        <v>264</v>
      </c>
      <c r="X251" s="12" t="s">
        <v>14</v>
      </c>
      <c r="Y251" s="12" t="s">
        <v>14</v>
      </c>
      <c r="Z251" s="13" t="s">
        <v>854</v>
      </c>
    </row>
    <row r="252" spans="1:26" ht="19.899999999999999" customHeight="1" x14ac:dyDescent="0.25">
      <c r="A252" s="6">
        <v>45944</v>
      </c>
      <c r="B252" s="7" t="s">
        <v>967</v>
      </c>
      <c r="C252" s="8" t="s">
        <v>968</v>
      </c>
      <c r="D252" s="8" t="s">
        <v>264</v>
      </c>
      <c r="E252" s="8" t="s">
        <v>969</v>
      </c>
      <c r="F252" s="9" t="s">
        <v>974</v>
      </c>
      <c r="G252" s="9" t="s">
        <v>14</v>
      </c>
      <c r="H252" s="9" t="s">
        <v>971</v>
      </c>
      <c r="I252" s="9" t="s">
        <v>14</v>
      </c>
      <c r="J252" s="10" t="s">
        <v>14</v>
      </c>
      <c r="K252" s="15" t="e">
        <f>VLOOKUP(J252,DADOS!$A$3:$B$105,2,FALSE)</f>
        <v>#N/A</v>
      </c>
      <c r="L252" s="15" t="s">
        <v>972</v>
      </c>
      <c r="M252" s="18" t="b">
        <v>1</v>
      </c>
      <c r="N252" s="17" t="b">
        <v>1</v>
      </c>
      <c r="O252" s="17" t="b">
        <v>0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1</v>
      </c>
      <c r="W252" s="11" t="s">
        <v>264</v>
      </c>
      <c r="X252" s="12" t="s">
        <v>14</v>
      </c>
      <c r="Y252" s="12" t="s">
        <v>14</v>
      </c>
      <c r="Z252" s="13" t="s">
        <v>854</v>
      </c>
    </row>
    <row r="253" spans="1:26" ht="19.899999999999999" customHeight="1" x14ac:dyDescent="0.25">
      <c r="A253" s="6">
        <v>45944</v>
      </c>
      <c r="B253" s="7" t="s">
        <v>1037</v>
      </c>
      <c r="C253" s="8" t="s">
        <v>1038</v>
      </c>
      <c r="D253" s="8" t="s">
        <v>408</v>
      </c>
      <c r="E253" s="8" t="s">
        <v>1040</v>
      </c>
      <c r="F253" s="9" t="s">
        <v>1041</v>
      </c>
      <c r="G253" s="9" t="s">
        <v>1042</v>
      </c>
      <c r="H253" s="9" t="s">
        <v>1043</v>
      </c>
      <c r="I253" s="9" t="s">
        <v>70</v>
      </c>
      <c r="J253" s="10" t="s">
        <v>181</v>
      </c>
      <c r="K253" s="15" t="str">
        <f>VLOOKUP(J253,DADOS!$A$3:$B$105,2,FALSE)</f>
        <v>EE-GI-001-023</v>
      </c>
      <c r="L253" s="15" t="s">
        <v>636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408</v>
      </c>
      <c r="X253" s="12" t="s">
        <v>14</v>
      </c>
      <c r="Y253" s="12" t="s">
        <v>14</v>
      </c>
      <c r="Z253" s="13" t="s">
        <v>342</v>
      </c>
    </row>
    <row r="254" spans="1:26" ht="19.899999999999999" customHeight="1" x14ac:dyDescent="0.25">
      <c r="A254" s="6">
        <v>45944</v>
      </c>
      <c r="B254" s="7" t="s">
        <v>1037</v>
      </c>
      <c r="C254" s="8" t="s">
        <v>1039</v>
      </c>
      <c r="D254" s="8" t="s">
        <v>273</v>
      </c>
      <c r="E254" s="8" t="s">
        <v>1040</v>
      </c>
      <c r="F254" s="9" t="s">
        <v>975</v>
      </c>
      <c r="G254" s="9" t="s">
        <v>1042</v>
      </c>
      <c r="H254" s="9" t="s">
        <v>1044</v>
      </c>
      <c r="I254" s="9" t="s">
        <v>70</v>
      </c>
      <c r="J254" s="10" t="s">
        <v>181</v>
      </c>
      <c r="K254" s="15" t="str">
        <f>VLOOKUP(J254,DADOS!$A$3:$B$105,2,FALSE)</f>
        <v>EE-GI-001-023</v>
      </c>
      <c r="L254" s="15" t="s">
        <v>636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1</v>
      </c>
      <c r="W254" s="11" t="s">
        <v>273</v>
      </c>
      <c r="X254" s="12" t="s">
        <v>14</v>
      </c>
      <c r="Y254" s="12" t="s">
        <v>14</v>
      </c>
      <c r="Z254" s="13" t="s">
        <v>342</v>
      </c>
    </row>
    <row r="255" spans="1:26" ht="19.899999999999999" customHeight="1" x14ac:dyDescent="0.25">
      <c r="A255" s="6">
        <v>45944</v>
      </c>
      <c r="B255" s="7" t="s">
        <v>967</v>
      </c>
      <c r="C255" s="8" t="s">
        <v>968</v>
      </c>
      <c r="D255" s="8" t="s">
        <v>264</v>
      </c>
      <c r="E255" s="8" t="s">
        <v>969</v>
      </c>
      <c r="F255" s="9" t="s">
        <v>975</v>
      </c>
      <c r="G255" s="9" t="s">
        <v>14</v>
      </c>
      <c r="H255" s="9" t="s">
        <v>971</v>
      </c>
      <c r="I255" s="9" t="s">
        <v>14</v>
      </c>
      <c r="J255" s="10" t="s">
        <v>14</v>
      </c>
      <c r="K255" s="15" t="e">
        <f>VLOOKUP(J255,DADOS!$A$3:$B$105,2,FALSE)</f>
        <v>#N/A</v>
      </c>
      <c r="L255" s="15" t="s">
        <v>972</v>
      </c>
      <c r="M255" s="18" t="b">
        <v>1</v>
      </c>
      <c r="N255" s="17" t="b">
        <v>1</v>
      </c>
      <c r="O255" s="17" t="b">
        <v>0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14</v>
      </c>
      <c r="X255" s="12" t="s">
        <v>264</v>
      </c>
      <c r="Y255" s="12" t="s">
        <v>976</v>
      </c>
      <c r="Z255" s="12" t="s">
        <v>854</v>
      </c>
    </row>
    <row r="256" spans="1:26" ht="19.899999999999999" customHeight="1" x14ac:dyDescent="0.25">
      <c r="A256" s="6">
        <v>45944</v>
      </c>
      <c r="B256" s="7" t="s">
        <v>977</v>
      </c>
      <c r="C256" s="8" t="s">
        <v>978</v>
      </c>
      <c r="D256" s="8" t="s">
        <v>331</v>
      </c>
      <c r="E256" s="8" t="s">
        <v>979</v>
      </c>
      <c r="F256" s="9" t="s">
        <v>980</v>
      </c>
      <c r="G256" s="9" t="s">
        <v>981</v>
      </c>
      <c r="H256" s="9" t="s">
        <v>982</v>
      </c>
      <c r="I256" s="9" t="s">
        <v>14</v>
      </c>
      <c r="J256" s="10" t="s">
        <v>14</v>
      </c>
      <c r="K256" s="15" t="e">
        <f>VLOOKUP(J256,DADOS!$A$3:$B$105,2,FALSE)</f>
        <v>#N/A</v>
      </c>
      <c r="L256" s="15" t="s">
        <v>983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264</v>
      </c>
      <c r="X256" s="12" t="s">
        <v>14</v>
      </c>
      <c r="Y256" s="12" t="s">
        <v>14</v>
      </c>
      <c r="Z256" s="13" t="s">
        <v>342</v>
      </c>
    </row>
    <row r="257" spans="1:26" ht="19.899999999999999" customHeight="1" x14ac:dyDescent="0.25">
      <c r="A257" s="6">
        <v>45945</v>
      </c>
      <c r="B257" s="7" t="s">
        <v>490</v>
      </c>
      <c r="C257" s="8" t="s">
        <v>1024</v>
      </c>
      <c r="D257" s="8" t="s">
        <v>331</v>
      </c>
      <c r="E257" s="8" t="s">
        <v>1025</v>
      </c>
      <c r="F257" s="9" t="s">
        <v>1026</v>
      </c>
      <c r="G257" s="9" t="s">
        <v>1027</v>
      </c>
      <c r="H257" s="34"/>
      <c r="I257" s="9" t="s">
        <v>69</v>
      </c>
      <c r="J257" s="10" t="s">
        <v>185</v>
      </c>
      <c r="K257" s="15" t="str">
        <f>VLOOKUP(J257,DADOS!$A$3:$B$105,2,FALSE)</f>
        <v>EE-GI-001-031</v>
      </c>
      <c r="L257" s="15" t="s">
        <v>299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0</v>
      </c>
      <c r="W257" s="11" t="s">
        <v>331</v>
      </c>
      <c r="X257" s="12" t="s">
        <v>14</v>
      </c>
      <c r="Y257" s="12" t="s">
        <v>14</v>
      </c>
      <c r="Z257" s="13" t="s">
        <v>270</v>
      </c>
    </row>
    <row r="258" spans="1:26" ht="19.899999999999999" customHeight="1" x14ac:dyDescent="0.25">
      <c r="A258" s="6">
        <v>45945</v>
      </c>
      <c r="B258" s="7" t="s">
        <v>334</v>
      </c>
      <c r="C258" s="8" t="s">
        <v>1028</v>
      </c>
      <c r="D258" s="8" t="s">
        <v>264</v>
      </c>
      <c r="E258" s="8" t="s">
        <v>1029</v>
      </c>
      <c r="F258" s="9" t="s">
        <v>1030</v>
      </c>
      <c r="G258" s="9" t="s">
        <v>1031</v>
      </c>
      <c r="H258" s="9" t="s">
        <v>340</v>
      </c>
      <c r="I258" s="9" t="s">
        <v>66</v>
      </c>
      <c r="J258" s="10" t="s">
        <v>186</v>
      </c>
      <c r="K258" s="15" t="str">
        <f>VLOOKUP(J258,DADOS!$A$3:$B$105,2,FALSE)</f>
        <v>EE-GI-001-008</v>
      </c>
      <c r="L258" s="15" t="s">
        <v>299</v>
      </c>
      <c r="M258" s="18" t="b">
        <v>0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264</v>
      </c>
      <c r="X258" s="12" t="s">
        <v>14</v>
      </c>
      <c r="Y258" s="12" t="s">
        <v>14</v>
      </c>
      <c r="Z258" s="13" t="s">
        <v>270</v>
      </c>
    </row>
    <row r="259" spans="1:26" ht="19.899999999999999" customHeight="1" x14ac:dyDescent="0.25">
      <c r="A259" s="6">
        <v>45945</v>
      </c>
      <c r="B259" s="7" t="s">
        <v>334</v>
      </c>
      <c r="C259" s="8" t="s">
        <v>1060</v>
      </c>
      <c r="D259" s="8" t="s">
        <v>282</v>
      </c>
      <c r="E259" s="8" t="s">
        <v>1029</v>
      </c>
      <c r="F259" s="9" t="s">
        <v>1061</v>
      </c>
      <c r="G259" s="9" t="s">
        <v>267</v>
      </c>
      <c r="H259" s="9" t="s">
        <v>340</v>
      </c>
      <c r="I259" s="9" t="s">
        <v>66</v>
      </c>
      <c r="J259" s="10" t="s">
        <v>186</v>
      </c>
      <c r="K259" s="15" t="str">
        <f>VLOOKUP(J259,DADOS!$A$3:$B$105,2,FALSE)</f>
        <v>EE-GI-001-008</v>
      </c>
      <c r="L259" s="15" t="s">
        <v>341</v>
      </c>
      <c r="M259" s="18" t="b">
        <v>0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1</v>
      </c>
      <c r="W259" s="11" t="s">
        <v>282</v>
      </c>
      <c r="X259" s="12" t="s">
        <v>14</v>
      </c>
      <c r="Y259" s="12" t="s">
        <v>14</v>
      </c>
      <c r="Z259" s="13" t="s">
        <v>270</v>
      </c>
    </row>
    <row r="260" spans="1:26" ht="19.5" customHeight="1" x14ac:dyDescent="0.25">
      <c r="A260" s="6">
        <v>45945</v>
      </c>
      <c r="B260" s="7" t="s">
        <v>334</v>
      </c>
      <c r="C260" s="8" t="s">
        <v>1062</v>
      </c>
      <c r="D260" s="8" t="s">
        <v>273</v>
      </c>
      <c r="E260" s="8" t="s">
        <v>1029</v>
      </c>
      <c r="F260" s="9" t="s">
        <v>1063</v>
      </c>
      <c r="G260" s="9" t="s">
        <v>1064</v>
      </c>
      <c r="H260" s="9" t="s">
        <v>340</v>
      </c>
      <c r="I260" s="9" t="s">
        <v>66</v>
      </c>
      <c r="J260" s="10" t="s">
        <v>186</v>
      </c>
      <c r="K260" s="15" t="str">
        <f>VLOOKUP(J260,DADOS!$A$3:$B$105,2,FALSE)</f>
        <v>EE-GI-001-008</v>
      </c>
      <c r="L260" s="15" t="s">
        <v>341</v>
      </c>
      <c r="M260" s="18" t="b">
        <v>0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0</v>
      </c>
      <c r="U260" s="17" t="b">
        <v>0</v>
      </c>
      <c r="V260" s="17" t="b">
        <v>1</v>
      </c>
      <c r="W260" s="11" t="s">
        <v>273</v>
      </c>
      <c r="X260" s="12" t="s">
        <v>14</v>
      </c>
      <c r="Y260" s="12" t="s">
        <v>14</v>
      </c>
      <c r="Z260" s="13" t="s">
        <v>342</v>
      </c>
    </row>
    <row r="261" spans="1:26" ht="19.899999999999999" customHeight="1" x14ac:dyDescent="0.25">
      <c r="A261" s="6">
        <v>45945</v>
      </c>
      <c r="B261" s="7" t="s">
        <v>334</v>
      </c>
      <c r="C261" s="8" t="s">
        <v>359</v>
      </c>
      <c r="D261" s="8" t="s">
        <v>426</v>
      </c>
      <c r="E261" s="8" t="s">
        <v>1029</v>
      </c>
      <c r="F261" s="9" t="s">
        <v>1065</v>
      </c>
      <c r="G261" s="9" t="s">
        <v>1068</v>
      </c>
      <c r="H261" s="9" t="s">
        <v>340</v>
      </c>
      <c r="I261" s="9" t="s">
        <v>66</v>
      </c>
      <c r="J261" s="10" t="s">
        <v>186</v>
      </c>
      <c r="K261" s="15" t="str">
        <f>VLOOKUP(J261,DADOS!$A$3:$B$105,2,FALSE)</f>
        <v>EE-GI-001-008</v>
      </c>
      <c r="L261" s="15" t="s">
        <v>341</v>
      </c>
      <c r="M261" s="18" t="b">
        <v>0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0</v>
      </c>
      <c r="U261" s="17" t="b">
        <v>0</v>
      </c>
      <c r="V261" s="17" t="b">
        <v>0</v>
      </c>
      <c r="W261" s="11" t="s">
        <v>426</v>
      </c>
      <c r="X261" s="12" t="s">
        <v>14</v>
      </c>
      <c r="Y261" s="12" t="s">
        <v>14</v>
      </c>
      <c r="Z261" s="13" t="s">
        <v>342</v>
      </c>
    </row>
    <row r="262" spans="1:26" ht="19.899999999999999" customHeight="1" x14ac:dyDescent="0.25">
      <c r="A262" s="6">
        <v>45945</v>
      </c>
      <c r="B262" s="7" t="s">
        <v>334</v>
      </c>
      <c r="C262" s="8" t="s">
        <v>359</v>
      </c>
      <c r="D262" s="8" t="s">
        <v>308</v>
      </c>
      <c r="E262" s="8" t="s">
        <v>1029</v>
      </c>
      <c r="F262" s="9" t="s">
        <v>1066</v>
      </c>
      <c r="G262" s="9" t="s">
        <v>366</v>
      </c>
      <c r="H262" s="9" t="s">
        <v>340</v>
      </c>
      <c r="I262" s="9" t="s">
        <v>66</v>
      </c>
      <c r="J262" s="10" t="s">
        <v>186</v>
      </c>
      <c r="K262" s="15" t="str">
        <f>VLOOKUP(J262,DADOS!$A$3:$B$105,2,FALSE)</f>
        <v>EE-GI-001-008</v>
      </c>
      <c r="L262" s="15" t="s">
        <v>341</v>
      </c>
      <c r="M262" s="18" t="b">
        <v>0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0</v>
      </c>
      <c r="W262" s="11" t="s">
        <v>308</v>
      </c>
      <c r="X262" s="12" t="s">
        <v>14</v>
      </c>
      <c r="Y262" s="12" t="s">
        <v>14</v>
      </c>
      <c r="Z262" s="13" t="s">
        <v>342</v>
      </c>
    </row>
    <row r="263" spans="1:26" ht="19.899999999999999" customHeight="1" x14ac:dyDescent="0.25">
      <c r="A263" s="6">
        <v>45945</v>
      </c>
      <c r="B263" s="7" t="s">
        <v>334</v>
      </c>
      <c r="C263" s="8" t="s">
        <v>359</v>
      </c>
      <c r="D263" s="8" t="s">
        <v>291</v>
      </c>
      <c r="E263" s="8" t="s">
        <v>1029</v>
      </c>
      <c r="F263" s="9" t="s">
        <v>1067</v>
      </c>
      <c r="G263" s="9" t="s">
        <v>705</v>
      </c>
      <c r="H263" s="9" t="s">
        <v>340</v>
      </c>
      <c r="I263" s="9" t="s">
        <v>66</v>
      </c>
      <c r="J263" s="10" t="s">
        <v>186</v>
      </c>
      <c r="K263" s="15" t="str">
        <f>VLOOKUP(J263,DADOS!$A$3:$B$105,2,FALSE)</f>
        <v>EE-GI-001-008</v>
      </c>
      <c r="L263" s="15" t="s">
        <v>341</v>
      </c>
      <c r="M263" s="18" t="b">
        <v>0</v>
      </c>
      <c r="N263" s="17" t="b">
        <v>0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0</v>
      </c>
      <c r="W263" s="11" t="s">
        <v>291</v>
      </c>
      <c r="X263" s="12" t="s">
        <v>14</v>
      </c>
      <c r="Y263" s="12" t="s">
        <v>14</v>
      </c>
      <c r="Z263" s="13" t="s">
        <v>342</v>
      </c>
    </row>
    <row r="264" spans="1:26" ht="19.899999999999999" customHeight="1" x14ac:dyDescent="0.25">
      <c r="A264" s="6">
        <v>45945</v>
      </c>
      <c r="B264" s="7" t="s">
        <v>334</v>
      </c>
      <c r="C264" s="8" t="s">
        <v>626</v>
      </c>
      <c r="D264" s="8" t="s">
        <v>1070</v>
      </c>
      <c r="E264" s="8" t="s">
        <v>1029</v>
      </c>
      <c r="F264" s="9" t="s">
        <v>845</v>
      </c>
      <c r="G264" s="9" t="s">
        <v>328</v>
      </c>
      <c r="H264" s="9" t="s">
        <v>340</v>
      </c>
      <c r="I264" s="9" t="s">
        <v>66</v>
      </c>
      <c r="J264" s="10" t="s">
        <v>15</v>
      </c>
      <c r="K264" s="15" t="str">
        <f>VLOOKUP(J264,DADOS!$A$3:$B$105,2,FALSE)</f>
        <v>EE-GI-001-002</v>
      </c>
      <c r="L264" s="15" t="s">
        <v>341</v>
      </c>
      <c r="M264" s="18" t="b">
        <v>0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1</v>
      </c>
      <c r="W264" s="11" t="s">
        <v>1070</v>
      </c>
      <c r="X264" s="12" t="s">
        <v>14</v>
      </c>
      <c r="Y264" s="12" t="s">
        <v>14</v>
      </c>
      <c r="Z264" s="13" t="s">
        <v>342</v>
      </c>
    </row>
    <row r="265" spans="1:26" ht="19.899999999999999" customHeight="1" x14ac:dyDescent="0.25">
      <c r="A265" s="6">
        <v>45945</v>
      </c>
      <c r="B265" s="7" t="s">
        <v>334</v>
      </c>
      <c r="C265" s="8" t="s">
        <v>1049</v>
      </c>
      <c r="D265" s="8" t="s">
        <v>273</v>
      </c>
      <c r="E265" s="8" t="s">
        <v>1029</v>
      </c>
      <c r="F265" s="9" t="s">
        <v>1050</v>
      </c>
      <c r="G265" s="9" t="s">
        <v>1051</v>
      </c>
      <c r="H265" s="9" t="s">
        <v>14</v>
      </c>
      <c r="I265" s="9" t="s">
        <v>66</v>
      </c>
      <c r="J265" s="10" t="s">
        <v>186</v>
      </c>
      <c r="K265" s="15" t="str">
        <f>VLOOKUP(J265,DADOS!$A$3:$B$105,2,FALSE)</f>
        <v>EE-GI-001-008</v>
      </c>
      <c r="L265" s="15" t="s">
        <v>299</v>
      </c>
      <c r="M265" s="18" t="b">
        <v>0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273</v>
      </c>
      <c r="X265" s="12" t="s">
        <v>14</v>
      </c>
      <c r="Y265" s="12" t="s">
        <v>14</v>
      </c>
      <c r="Z265" s="13" t="s">
        <v>270</v>
      </c>
    </row>
    <row r="266" spans="1:26" ht="19.899999999999999" customHeight="1" x14ac:dyDescent="0.25">
      <c r="A266" s="6">
        <v>45945</v>
      </c>
      <c r="B266" s="7" t="s">
        <v>1646</v>
      </c>
      <c r="C266" s="8" t="s">
        <v>2007</v>
      </c>
      <c r="D266" s="8" t="s">
        <v>331</v>
      </c>
      <c r="E266" s="8" t="s">
        <v>2008</v>
      </c>
      <c r="F266" s="9" t="s">
        <v>2009</v>
      </c>
      <c r="G266" s="9" t="s">
        <v>14</v>
      </c>
      <c r="H266" s="9" t="s">
        <v>2010</v>
      </c>
      <c r="I266" s="9" t="s">
        <v>14</v>
      </c>
      <c r="J266" s="10" t="s">
        <v>14</v>
      </c>
      <c r="K266" s="15" t="e">
        <f>VLOOKUP(J266,[1]DADOS!$A$3:$B$105,2,FALSE)</f>
        <v>#N/A</v>
      </c>
      <c r="L266" s="15" t="s">
        <v>972</v>
      </c>
      <c r="M266" s="18" t="b">
        <v>1</v>
      </c>
      <c r="N266" s="17" t="b">
        <v>1</v>
      </c>
      <c r="O266" s="17" t="b">
        <v>0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2011</v>
      </c>
      <c r="X266" s="12" t="s">
        <v>331</v>
      </c>
      <c r="Y266" s="12" t="s">
        <v>2012</v>
      </c>
      <c r="Z266" s="12" t="s">
        <v>854</v>
      </c>
    </row>
    <row r="267" spans="1:26" ht="19.899999999999999" customHeight="1" x14ac:dyDescent="0.25">
      <c r="A267" s="6">
        <v>45945</v>
      </c>
      <c r="B267" s="7" t="s">
        <v>1646</v>
      </c>
      <c r="C267" s="8" t="s">
        <v>2013</v>
      </c>
      <c r="D267" s="8" t="s">
        <v>264</v>
      </c>
      <c r="E267" s="8" t="s">
        <v>2014</v>
      </c>
      <c r="F267" s="9" t="s">
        <v>2015</v>
      </c>
      <c r="G267" s="9" t="s">
        <v>2016</v>
      </c>
      <c r="H267" s="9" t="s">
        <v>2017</v>
      </c>
      <c r="I267" s="9" t="s">
        <v>67</v>
      </c>
      <c r="J267" s="10" t="s">
        <v>186</v>
      </c>
      <c r="K267" s="15" t="str">
        <f>VLOOKUP(J267,[1]DADOS!$A$3:$B$105,2,FALSE)</f>
        <v>EE-GI-001-008</v>
      </c>
      <c r="L267" s="15" t="s">
        <v>972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1</v>
      </c>
      <c r="W267" s="11" t="s">
        <v>264</v>
      </c>
      <c r="X267" s="12" t="s">
        <v>14</v>
      </c>
      <c r="Y267" s="12" t="s">
        <v>14</v>
      </c>
      <c r="Z267" s="13" t="s">
        <v>854</v>
      </c>
    </row>
    <row r="268" spans="1:26" ht="19.899999999999999" customHeight="1" x14ac:dyDescent="0.25">
      <c r="A268" s="6">
        <v>45945</v>
      </c>
      <c r="B268" s="7" t="s">
        <v>1646</v>
      </c>
      <c r="C268" s="8" t="s">
        <v>2018</v>
      </c>
      <c r="D268" s="8" t="s">
        <v>264</v>
      </c>
      <c r="E268" s="8" t="s">
        <v>2019</v>
      </c>
      <c r="F268" s="9" t="s">
        <v>2020</v>
      </c>
      <c r="G268" s="9" t="s">
        <v>14</v>
      </c>
      <c r="H268" s="9" t="s">
        <v>2010</v>
      </c>
      <c r="I268" s="9" t="s">
        <v>14</v>
      </c>
      <c r="J268" s="10" t="s">
        <v>14</v>
      </c>
      <c r="K268" s="15" t="e">
        <f>VLOOKUP(J268,[1]DADOS!$A$3:$B$105,2,FALSE)</f>
        <v>#N/A</v>
      </c>
      <c r="L268" s="15" t="s">
        <v>972</v>
      </c>
      <c r="M268" s="18" t="b">
        <v>1</v>
      </c>
      <c r="N268" s="17" t="b">
        <v>1</v>
      </c>
      <c r="O268" s="17" t="b">
        <v>0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264</v>
      </c>
      <c r="X268" s="12" t="s">
        <v>14</v>
      </c>
      <c r="Y268" s="12" t="s">
        <v>14</v>
      </c>
      <c r="Z268" s="13" t="s">
        <v>854</v>
      </c>
    </row>
    <row r="269" spans="1:26" ht="19.899999999999999" customHeight="1" x14ac:dyDescent="0.25">
      <c r="A269" s="6">
        <v>45946</v>
      </c>
      <c r="B269" s="7" t="s">
        <v>607</v>
      </c>
      <c r="C269" s="8" t="s">
        <v>623</v>
      </c>
      <c r="D269" s="8" t="s">
        <v>408</v>
      </c>
      <c r="E269" s="8" t="s">
        <v>1053</v>
      </c>
      <c r="F269" s="9" t="s">
        <v>1054</v>
      </c>
      <c r="G269" s="9" t="s">
        <v>1056</v>
      </c>
      <c r="H269" s="9" t="s">
        <v>1058</v>
      </c>
      <c r="I269" s="9" t="s">
        <v>14</v>
      </c>
      <c r="J269" s="10" t="s">
        <v>14</v>
      </c>
      <c r="K269" s="15" t="e">
        <f>VLOOKUP(J269,DADOS!$A$3:$B$105,2,FALSE)</f>
        <v>#N/A</v>
      </c>
      <c r="L269" s="15" t="s">
        <v>299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408</v>
      </c>
      <c r="X269" s="12" t="s">
        <v>14</v>
      </c>
      <c r="Y269" s="12" t="s">
        <v>14</v>
      </c>
      <c r="Z269" s="13" t="s">
        <v>270</v>
      </c>
    </row>
    <row r="270" spans="1:26" ht="19.899999999999999" customHeight="1" x14ac:dyDescent="0.25">
      <c r="A270" s="6">
        <v>45946</v>
      </c>
      <c r="B270" s="7" t="s">
        <v>607</v>
      </c>
      <c r="C270" s="8" t="s">
        <v>1052</v>
      </c>
      <c r="D270" s="8" t="s">
        <v>409</v>
      </c>
      <c r="E270" s="8" t="s">
        <v>1053</v>
      </c>
      <c r="F270" s="9" t="s">
        <v>1055</v>
      </c>
      <c r="G270" s="9" t="s">
        <v>1057</v>
      </c>
      <c r="H270" s="9" t="s">
        <v>1059</v>
      </c>
      <c r="I270" s="9" t="s">
        <v>14</v>
      </c>
      <c r="J270" s="10" t="s">
        <v>14</v>
      </c>
      <c r="K270" s="15" t="e">
        <f>VLOOKUP(J270,DADOS!$A$3:$B$105,2,FALSE)</f>
        <v>#N/A</v>
      </c>
      <c r="L270" s="15" t="s">
        <v>299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409</v>
      </c>
      <c r="X270" s="12" t="s">
        <v>14</v>
      </c>
      <c r="Y270" s="12" t="s">
        <v>14</v>
      </c>
      <c r="Z270" s="13" t="s">
        <v>270</v>
      </c>
    </row>
    <row r="271" spans="1:26" ht="19.899999999999999" customHeight="1" x14ac:dyDescent="0.25">
      <c r="A271" s="6">
        <v>45946</v>
      </c>
      <c r="B271" s="7" t="s">
        <v>400</v>
      </c>
      <c r="C271" s="8" t="s">
        <v>1237</v>
      </c>
      <c r="D271" s="8" t="s">
        <v>264</v>
      </c>
      <c r="E271" s="8" t="s">
        <v>1106</v>
      </c>
      <c r="F271" s="9" t="s">
        <v>1238</v>
      </c>
      <c r="G271" s="9" t="s">
        <v>1239</v>
      </c>
      <c r="H271" s="34"/>
      <c r="I271" s="9" t="s">
        <v>66</v>
      </c>
      <c r="J271" s="10" t="s">
        <v>233</v>
      </c>
      <c r="K271" s="15" t="str">
        <f>VLOOKUP(J271,DADOS!$A$3:$B$105,2,FALSE)</f>
        <v>EE-GI-221-031</v>
      </c>
      <c r="L271" s="15" t="s">
        <v>389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264</v>
      </c>
      <c r="X271" s="12" t="s">
        <v>14</v>
      </c>
      <c r="Y271" s="12" t="s">
        <v>14</v>
      </c>
      <c r="Z271" s="13" t="s">
        <v>342</v>
      </c>
    </row>
    <row r="272" spans="1:26" ht="19.899999999999999" customHeight="1" x14ac:dyDescent="0.25">
      <c r="A272" s="6">
        <v>45946</v>
      </c>
      <c r="B272" s="7" t="s">
        <v>400</v>
      </c>
      <c r="C272" s="8" t="s">
        <v>1234</v>
      </c>
      <c r="D272" s="8" t="s">
        <v>264</v>
      </c>
      <c r="E272" s="8" t="s">
        <v>1106</v>
      </c>
      <c r="F272" s="9" t="s">
        <v>1236</v>
      </c>
      <c r="G272" s="9" t="s">
        <v>641</v>
      </c>
      <c r="H272" s="34"/>
      <c r="I272" s="9" t="s">
        <v>66</v>
      </c>
      <c r="J272" s="10" t="s">
        <v>19</v>
      </c>
      <c r="K272" s="15" t="str">
        <f>VLOOKUP(J272,DADOS!$A$3:$B$105,2,FALSE)</f>
        <v>EE-GI-221-033</v>
      </c>
      <c r="L272" s="15" t="s">
        <v>389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1</v>
      </c>
      <c r="W272" s="11" t="s">
        <v>264</v>
      </c>
      <c r="X272" s="12" t="s">
        <v>14</v>
      </c>
      <c r="Y272" s="12" t="s">
        <v>14</v>
      </c>
      <c r="Z272" s="13" t="s">
        <v>342</v>
      </c>
    </row>
    <row r="273" spans="1:26" ht="19.899999999999999" customHeight="1" x14ac:dyDescent="0.25">
      <c r="A273" s="6">
        <v>45946</v>
      </c>
      <c r="B273" s="7" t="s">
        <v>400</v>
      </c>
      <c r="C273" s="8" t="s">
        <v>1234</v>
      </c>
      <c r="D273" s="8" t="s">
        <v>273</v>
      </c>
      <c r="E273" s="8" t="s">
        <v>1106</v>
      </c>
      <c r="F273" s="9" t="s">
        <v>1235</v>
      </c>
      <c r="G273" s="9" t="s">
        <v>641</v>
      </c>
      <c r="H273" s="34"/>
      <c r="I273" s="9" t="s">
        <v>66</v>
      </c>
      <c r="J273" s="10" t="s">
        <v>19</v>
      </c>
      <c r="K273" s="15" t="str">
        <f>VLOOKUP(J273,DADOS!$A$3:$B$105,2,FALSE)</f>
        <v>EE-GI-221-033</v>
      </c>
      <c r="L273" s="15" t="s">
        <v>389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0</v>
      </c>
      <c r="U273" s="17" t="b">
        <v>0</v>
      </c>
      <c r="V273" s="17" t="b">
        <v>1</v>
      </c>
      <c r="W273" s="11" t="s">
        <v>273</v>
      </c>
      <c r="X273" s="12" t="s">
        <v>14</v>
      </c>
      <c r="Y273" s="12" t="s">
        <v>14</v>
      </c>
      <c r="Z273" s="13" t="s">
        <v>342</v>
      </c>
    </row>
    <row r="274" spans="1:26" ht="19.899999999999999" customHeight="1" x14ac:dyDescent="0.25">
      <c r="A274" s="6">
        <v>45946</v>
      </c>
      <c r="B274" s="7" t="s">
        <v>400</v>
      </c>
      <c r="C274" s="8" t="s">
        <v>1229</v>
      </c>
      <c r="D274" s="8" t="s">
        <v>264</v>
      </c>
      <c r="E274" s="8" t="s">
        <v>1230</v>
      </c>
      <c r="F274" s="9" t="s">
        <v>1233</v>
      </c>
      <c r="G274" s="9" t="s">
        <v>418</v>
      </c>
      <c r="H274" s="34"/>
      <c r="I274" s="9" t="s">
        <v>66</v>
      </c>
      <c r="J274" s="10" t="s">
        <v>241</v>
      </c>
      <c r="K274" s="15" t="str">
        <f>VLOOKUP(J274,DADOS!$A$3:$B$105,2,FALSE)</f>
        <v>EE-GI-221-048</v>
      </c>
      <c r="L274" s="15" t="s">
        <v>389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0</v>
      </c>
      <c r="S274" s="17" t="b">
        <v>0</v>
      </c>
      <c r="T274" s="17" t="b">
        <v>0</v>
      </c>
      <c r="U274" s="17" t="b">
        <v>0</v>
      </c>
      <c r="V274" s="17" t="b">
        <v>1</v>
      </c>
      <c r="W274" s="11" t="s">
        <v>264</v>
      </c>
      <c r="X274" s="12" t="s">
        <v>14</v>
      </c>
      <c r="Y274" s="12" t="s">
        <v>14</v>
      </c>
      <c r="Z274" s="13" t="s">
        <v>342</v>
      </c>
    </row>
    <row r="275" spans="1:26" ht="19.899999999999999" customHeight="1" x14ac:dyDescent="0.25">
      <c r="A275" s="6">
        <v>45946</v>
      </c>
      <c r="B275" s="7" t="s">
        <v>400</v>
      </c>
      <c r="C275" s="8" t="s">
        <v>1229</v>
      </c>
      <c r="D275" s="8" t="s">
        <v>408</v>
      </c>
      <c r="E275" s="8" t="s">
        <v>1230</v>
      </c>
      <c r="F275" s="9" t="s">
        <v>1232</v>
      </c>
      <c r="G275" s="9" t="s">
        <v>418</v>
      </c>
      <c r="H275" s="34"/>
      <c r="I275" s="9" t="s">
        <v>66</v>
      </c>
      <c r="J275" s="10" t="s">
        <v>241</v>
      </c>
      <c r="K275" s="15" t="str">
        <f>VLOOKUP(J275,DADOS!$A$3:$B$105,2,FALSE)</f>
        <v>EE-GI-221-048</v>
      </c>
      <c r="L275" s="15" t="s">
        <v>389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1</v>
      </c>
      <c r="W275" s="11" t="s">
        <v>408</v>
      </c>
      <c r="X275" s="12" t="s">
        <v>14</v>
      </c>
      <c r="Y275" s="12" t="s">
        <v>14</v>
      </c>
      <c r="Z275" s="13" t="s">
        <v>342</v>
      </c>
    </row>
    <row r="276" spans="1:26" ht="19.899999999999999" customHeight="1" x14ac:dyDescent="0.25">
      <c r="A276" s="6">
        <v>45946</v>
      </c>
      <c r="B276" s="7" t="s">
        <v>400</v>
      </c>
      <c r="C276" s="8" t="s">
        <v>1229</v>
      </c>
      <c r="D276" s="8" t="s">
        <v>264</v>
      </c>
      <c r="E276" s="8" t="s">
        <v>1230</v>
      </c>
      <c r="F276" s="9" t="s">
        <v>1231</v>
      </c>
      <c r="G276" s="9" t="s">
        <v>418</v>
      </c>
      <c r="H276" s="34"/>
      <c r="I276" s="9" t="s">
        <v>66</v>
      </c>
      <c r="J276" s="10" t="s">
        <v>241</v>
      </c>
      <c r="K276" s="15" t="str">
        <f>VLOOKUP(J276,DADOS!$A$3:$B$105,2,FALSE)</f>
        <v>EE-GI-221-048</v>
      </c>
      <c r="L276" s="15" t="s">
        <v>389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1</v>
      </c>
      <c r="W276" s="11" t="s">
        <v>264</v>
      </c>
      <c r="X276" s="12" t="s">
        <v>14</v>
      </c>
      <c r="Y276" s="12" t="s">
        <v>14</v>
      </c>
      <c r="Z276" s="13" t="s">
        <v>342</v>
      </c>
    </row>
    <row r="277" spans="1:26" ht="19.899999999999999" customHeight="1" x14ac:dyDescent="0.25">
      <c r="A277" s="6">
        <v>45946</v>
      </c>
      <c r="B277" s="7" t="s">
        <v>400</v>
      </c>
      <c r="C277" s="8" t="s">
        <v>1241</v>
      </c>
      <c r="D277" s="8" t="s">
        <v>273</v>
      </c>
      <c r="E277" s="8" t="s">
        <v>1106</v>
      </c>
      <c r="F277" s="9" t="s">
        <v>1242</v>
      </c>
      <c r="G277" s="9" t="s">
        <v>473</v>
      </c>
      <c r="H277" s="34"/>
      <c r="I277" s="9" t="s">
        <v>66</v>
      </c>
      <c r="J277" s="10" t="s">
        <v>235</v>
      </c>
      <c r="K277" s="15" t="str">
        <f>VLOOKUP(J277,DADOS!$A$3:$B$105,2,FALSE)</f>
        <v>EE-GI-221-035</v>
      </c>
      <c r="L277" s="15" t="s">
        <v>389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1</v>
      </c>
      <c r="W277" s="11" t="s">
        <v>273</v>
      </c>
      <c r="X277" s="12" t="s">
        <v>14</v>
      </c>
      <c r="Y277" s="12" t="s">
        <v>14</v>
      </c>
      <c r="Z277" s="13" t="s">
        <v>342</v>
      </c>
    </row>
    <row r="278" spans="1:26" ht="19.899999999999999" customHeight="1" x14ac:dyDescent="0.25">
      <c r="A278" s="6">
        <v>45946</v>
      </c>
      <c r="B278" s="7" t="s">
        <v>400</v>
      </c>
      <c r="C278" s="8" t="s">
        <v>1227</v>
      </c>
      <c r="D278" s="8" t="s">
        <v>353</v>
      </c>
      <c r="E278" s="8" t="s">
        <v>1106</v>
      </c>
      <c r="F278" s="9" t="s">
        <v>1228</v>
      </c>
      <c r="G278" s="9" t="s">
        <v>418</v>
      </c>
      <c r="H278" s="34"/>
      <c r="I278" s="9" t="s">
        <v>66</v>
      </c>
      <c r="J278" s="10" t="s">
        <v>241</v>
      </c>
      <c r="K278" s="15" t="str">
        <f>VLOOKUP(J278,DADOS!$A$3:$B$105,2,FALSE)</f>
        <v>EE-GI-221-048</v>
      </c>
      <c r="L278" s="15" t="s">
        <v>389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353</v>
      </c>
      <c r="X278" s="12" t="s">
        <v>14</v>
      </c>
      <c r="Y278" s="12" t="s">
        <v>14</v>
      </c>
      <c r="Z278" s="13" t="s">
        <v>342</v>
      </c>
    </row>
    <row r="279" spans="1:26" ht="19.899999999999999" customHeight="1" x14ac:dyDescent="0.25">
      <c r="A279" s="6">
        <v>45946</v>
      </c>
      <c r="B279" s="7" t="s">
        <v>400</v>
      </c>
      <c r="C279" s="8" t="s">
        <v>401</v>
      </c>
      <c r="D279" s="8" t="s">
        <v>426</v>
      </c>
      <c r="E279" s="8" t="s">
        <v>1201</v>
      </c>
      <c r="F279" s="9" t="s">
        <v>1240</v>
      </c>
      <c r="G279" s="9" t="s">
        <v>443</v>
      </c>
      <c r="H279" s="34"/>
      <c r="I279" s="9" t="s">
        <v>66</v>
      </c>
      <c r="J279" s="10" t="s">
        <v>21</v>
      </c>
      <c r="K279" s="15" t="str">
        <f>VLOOKUP(J279,DADOS!$A$3:$B$105,2,FALSE)</f>
        <v>EE-GI-221-064</v>
      </c>
      <c r="L279" s="15" t="s">
        <v>389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308</v>
      </c>
      <c r="X279" s="12" t="s">
        <v>14</v>
      </c>
      <c r="Y279" s="12" t="s">
        <v>14</v>
      </c>
      <c r="Z279" s="13" t="s">
        <v>342</v>
      </c>
    </row>
    <row r="280" spans="1:26" ht="19.899999999999999" customHeight="1" x14ac:dyDescent="0.25">
      <c r="A280" s="6">
        <v>45946</v>
      </c>
      <c r="B280" s="7" t="s">
        <v>400</v>
      </c>
      <c r="C280" s="8" t="s">
        <v>401</v>
      </c>
      <c r="D280" s="8" t="s">
        <v>308</v>
      </c>
      <c r="E280" s="8" t="s">
        <v>1201</v>
      </c>
      <c r="F280" s="9" t="s">
        <v>1086</v>
      </c>
      <c r="G280" s="9" t="s">
        <v>443</v>
      </c>
      <c r="H280" s="34"/>
      <c r="I280" s="9" t="s">
        <v>66</v>
      </c>
      <c r="J280" s="10" t="s">
        <v>21</v>
      </c>
      <c r="K280" s="15" t="str">
        <f>VLOOKUP(J280,DADOS!$A$3:$B$105,2,FALSE)</f>
        <v>EE-GI-221-064</v>
      </c>
      <c r="L280" s="15" t="s">
        <v>389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426</v>
      </c>
      <c r="X280" s="12" t="s">
        <v>14</v>
      </c>
      <c r="Y280" s="12" t="s">
        <v>14</v>
      </c>
      <c r="Z280" s="13" t="s">
        <v>342</v>
      </c>
    </row>
    <row r="281" spans="1:26" ht="19.899999999999999" customHeight="1" x14ac:dyDescent="0.25">
      <c r="A281" s="6">
        <v>45946</v>
      </c>
      <c r="B281" s="7" t="s">
        <v>400</v>
      </c>
      <c r="C281" s="8" t="s">
        <v>441</v>
      </c>
      <c r="D281" s="8" t="s">
        <v>551</v>
      </c>
      <c r="E281" s="8" t="s">
        <v>1201</v>
      </c>
      <c r="F281" s="9" t="s">
        <v>1226</v>
      </c>
      <c r="G281" s="9" t="s">
        <v>443</v>
      </c>
      <c r="H281" s="34"/>
      <c r="I281" s="9" t="s">
        <v>66</v>
      </c>
      <c r="J281" s="10" t="s">
        <v>21</v>
      </c>
      <c r="K281" s="15" t="str">
        <f>VLOOKUP(J281,DADOS!$A$3:$B$105,2,FALSE)</f>
        <v>EE-GI-221-064</v>
      </c>
      <c r="L281" s="15" t="s">
        <v>389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353</v>
      </c>
      <c r="X281" s="12" t="s">
        <v>14</v>
      </c>
      <c r="Y281" s="12" t="s">
        <v>14</v>
      </c>
      <c r="Z281" s="13" t="s">
        <v>342</v>
      </c>
    </row>
    <row r="282" spans="1:26" ht="19.899999999999999" customHeight="1" x14ac:dyDescent="0.25">
      <c r="A282" s="6">
        <v>45946</v>
      </c>
      <c r="B282" s="7" t="s">
        <v>400</v>
      </c>
      <c r="C282" s="8" t="s">
        <v>441</v>
      </c>
      <c r="D282" s="8" t="s">
        <v>551</v>
      </c>
      <c r="E282" s="8" t="s">
        <v>1201</v>
      </c>
      <c r="F282" s="9" t="s">
        <v>1082</v>
      </c>
      <c r="G282" s="9" t="s">
        <v>443</v>
      </c>
      <c r="H282" s="34"/>
      <c r="I282" s="9" t="s">
        <v>66</v>
      </c>
      <c r="J282" s="10" t="s">
        <v>21</v>
      </c>
      <c r="K282" s="15" t="str">
        <f>VLOOKUP(J282,DADOS!$A$3:$B$105,2,FALSE)</f>
        <v>EE-GI-221-064</v>
      </c>
      <c r="L282" s="15" t="s">
        <v>389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551</v>
      </c>
      <c r="X282" s="12" t="s">
        <v>14</v>
      </c>
      <c r="Y282" s="12" t="s">
        <v>14</v>
      </c>
      <c r="Z282" s="13" t="s">
        <v>342</v>
      </c>
    </row>
    <row r="283" spans="1:26" ht="19.899999999999999" customHeight="1" x14ac:dyDescent="0.25">
      <c r="A283" s="6">
        <v>45946</v>
      </c>
      <c r="B283" s="7" t="s">
        <v>400</v>
      </c>
      <c r="C283" s="8" t="s">
        <v>1224</v>
      </c>
      <c r="D283" s="8" t="s">
        <v>353</v>
      </c>
      <c r="E283" s="8" t="s">
        <v>1106</v>
      </c>
      <c r="F283" s="9" t="s">
        <v>423</v>
      </c>
      <c r="G283" s="9" t="s">
        <v>418</v>
      </c>
      <c r="H283" s="34"/>
      <c r="I283" s="9" t="s">
        <v>68</v>
      </c>
      <c r="J283" s="10" t="s">
        <v>241</v>
      </c>
      <c r="K283" s="15" t="str">
        <f>VLOOKUP(J283,DADOS!$A$3:$B$105,2,FALSE)</f>
        <v>EE-GI-221-048</v>
      </c>
      <c r="L283" s="15" t="s">
        <v>389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1</v>
      </c>
      <c r="T283" s="17" t="b">
        <v>0</v>
      </c>
      <c r="U283" s="17" t="b">
        <v>0</v>
      </c>
      <c r="V283" s="17" t="b">
        <v>1</v>
      </c>
      <c r="W283" s="11" t="s">
        <v>353</v>
      </c>
      <c r="X283" s="12" t="s">
        <v>14</v>
      </c>
      <c r="Y283" s="12" t="s">
        <v>14</v>
      </c>
      <c r="Z283" s="13" t="s">
        <v>342</v>
      </c>
    </row>
    <row r="284" spans="1:26" ht="19.899999999999999" customHeight="1" x14ac:dyDescent="0.25">
      <c r="A284" s="6">
        <v>45946</v>
      </c>
      <c r="B284" s="7" t="s">
        <v>400</v>
      </c>
      <c r="C284" s="8" t="s">
        <v>1224</v>
      </c>
      <c r="D284" s="8" t="s">
        <v>408</v>
      </c>
      <c r="E284" s="8" t="s">
        <v>1106</v>
      </c>
      <c r="F284" s="9" t="s">
        <v>1225</v>
      </c>
      <c r="G284" s="9" t="s">
        <v>418</v>
      </c>
      <c r="H284" s="34"/>
      <c r="I284" s="9" t="s">
        <v>68</v>
      </c>
      <c r="J284" s="10" t="s">
        <v>241</v>
      </c>
      <c r="K284" s="15" t="str">
        <f>VLOOKUP(J284,DADOS!$A$3:$B$105,2,FALSE)</f>
        <v>EE-GI-221-048</v>
      </c>
      <c r="L284" s="15" t="s">
        <v>389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408</v>
      </c>
      <c r="X284" s="12" t="s">
        <v>14</v>
      </c>
      <c r="Y284" s="12" t="s">
        <v>14</v>
      </c>
      <c r="Z284" s="13" t="s">
        <v>342</v>
      </c>
    </row>
    <row r="285" spans="1:26" ht="19.899999999999999" customHeight="1" x14ac:dyDescent="0.25">
      <c r="A285" s="6">
        <v>45946</v>
      </c>
      <c r="B285" s="7" t="s">
        <v>400</v>
      </c>
      <c r="C285" s="8" t="s">
        <v>1221</v>
      </c>
      <c r="D285" s="8" t="s">
        <v>331</v>
      </c>
      <c r="E285" s="8" t="s">
        <v>1106</v>
      </c>
      <c r="F285" s="9" t="s">
        <v>1223</v>
      </c>
      <c r="G285" s="9" t="s">
        <v>1220</v>
      </c>
      <c r="H285" s="34"/>
      <c r="I285" s="9" t="s">
        <v>68</v>
      </c>
      <c r="J285" s="10" t="s">
        <v>233</v>
      </c>
      <c r="K285" s="15" t="str">
        <f>VLOOKUP(J285,DADOS!$A$3:$B$105,2,FALSE)</f>
        <v>EE-GI-221-031</v>
      </c>
      <c r="L285" s="15" t="s">
        <v>389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331</v>
      </c>
      <c r="X285" s="12" t="s">
        <v>14</v>
      </c>
      <c r="Y285" s="12" t="s">
        <v>14</v>
      </c>
      <c r="Z285" s="13" t="s">
        <v>342</v>
      </c>
    </row>
    <row r="286" spans="1:26" ht="19.899999999999999" customHeight="1" x14ac:dyDescent="0.25">
      <c r="A286" s="6">
        <v>45946</v>
      </c>
      <c r="B286" s="7" t="s">
        <v>400</v>
      </c>
      <c r="C286" s="8" t="s">
        <v>1221</v>
      </c>
      <c r="D286" s="8" t="s">
        <v>408</v>
      </c>
      <c r="E286" s="8" t="s">
        <v>1106</v>
      </c>
      <c r="F286" s="9" t="s">
        <v>1222</v>
      </c>
      <c r="G286" s="9" t="s">
        <v>1220</v>
      </c>
      <c r="H286" s="34"/>
      <c r="I286" s="9" t="s">
        <v>68</v>
      </c>
      <c r="J286" s="10" t="s">
        <v>233</v>
      </c>
      <c r="K286" s="15" t="str">
        <f>VLOOKUP(J286,DADOS!$A$3:$B$105,2,FALSE)</f>
        <v>EE-GI-221-031</v>
      </c>
      <c r="L286" s="15" t="s">
        <v>389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408</v>
      </c>
      <c r="X286" s="12" t="s">
        <v>14</v>
      </c>
      <c r="Y286" s="12" t="s">
        <v>14</v>
      </c>
      <c r="Z286" s="13" t="s">
        <v>342</v>
      </c>
    </row>
    <row r="287" spans="1:26" ht="19.899999999999999" customHeight="1" x14ac:dyDescent="0.25">
      <c r="A287" s="6">
        <v>45946</v>
      </c>
      <c r="B287" s="7" t="s">
        <v>400</v>
      </c>
      <c r="C287" s="8" t="s">
        <v>1215</v>
      </c>
      <c r="D287" s="8" t="s">
        <v>409</v>
      </c>
      <c r="E287" s="8" t="s">
        <v>1106</v>
      </c>
      <c r="F287" s="9" t="s">
        <v>1216</v>
      </c>
      <c r="G287" s="9" t="s">
        <v>418</v>
      </c>
      <c r="H287" s="34"/>
      <c r="I287" s="9" t="s">
        <v>68</v>
      </c>
      <c r="J287" s="10" t="s">
        <v>241</v>
      </c>
      <c r="K287" s="15" t="str">
        <f>VLOOKUP(J287,DADOS!$A$3:$B$105,2,FALSE)</f>
        <v>EE-GI-221-048</v>
      </c>
      <c r="L287" s="15" t="s">
        <v>389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1</v>
      </c>
      <c r="W287" s="11" t="s">
        <v>409</v>
      </c>
      <c r="X287" s="12" t="s">
        <v>14</v>
      </c>
      <c r="Y287" s="12" t="s">
        <v>14</v>
      </c>
      <c r="Z287" s="13" t="s">
        <v>342</v>
      </c>
    </row>
    <row r="288" spans="1:26" ht="19.899999999999999" customHeight="1" x14ac:dyDescent="0.25">
      <c r="A288" s="6">
        <v>45946</v>
      </c>
      <c r="B288" s="7" t="s">
        <v>400</v>
      </c>
      <c r="C288" s="8" t="s">
        <v>1214</v>
      </c>
      <c r="D288" s="8" t="s">
        <v>402</v>
      </c>
      <c r="E288" s="8" t="s">
        <v>1106</v>
      </c>
      <c r="F288" s="9" t="s">
        <v>1213</v>
      </c>
      <c r="G288" s="9" t="s">
        <v>418</v>
      </c>
      <c r="H288" s="34"/>
      <c r="I288" s="9" t="s">
        <v>68</v>
      </c>
      <c r="J288" s="10" t="s">
        <v>241</v>
      </c>
      <c r="K288" s="15" t="str">
        <f>VLOOKUP(J288,DADOS!$A$3:$B$105,2,FALSE)</f>
        <v>EE-GI-221-048</v>
      </c>
      <c r="L288" s="15" t="s">
        <v>389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1</v>
      </c>
      <c r="W288" s="11" t="s">
        <v>402</v>
      </c>
      <c r="X288" s="12" t="s">
        <v>14</v>
      </c>
      <c r="Y288" s="12" t="s">
        <v>14</v>
      </c>
      <c r="Z288" s="13" t="s">
        <v>342</v>
      </c>
    </row>
    <row r="289" spans="1:26" ht="19.899999999999999" customHeight="1" x14ac:dyDescent="0.25">
      <c r="A289" s="6">
        <v>45946</v>
      </c>
      <c r="B289" s="7" t="s">
        <v>400</v>
      </c>
      <c r="C289" s="8" t="s">
        <v>1217</v>
      </c>
      <c r="D289" s="8" t="s">
        <v>331</v>
      </c>
      <c r="E289" s="8" t="s">
        <v>1218</v>
      </c>
      <c r="F289" s="9" t="s">
        <v>1219</v>
      </c>
      <c r="G289" s="9" t="s">
        <v>1220</v>
      </c>
      <c r="H289" s="34"/>
      <c r="I289" s="9" t="s">
        <v>93</v>
      </c>
      <c r="J289" s="10" t="s">
        <v>233</v>
      </c>
      <c r="K289" s="15" t="str">
        <f>VLOOKUP(J289,DADOS!$A$3:$B$105,2,FALSE)</f>
        <v>EE-GI-221-031</v>
      </c>
      <c r="L289" s="15" t="s">
        <v>389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331</v>
      </c>
      <c r="X289" s="12" t="s">
        <v>14</v>
      </c>
      <c r="Y289" s="12" t="s">
        <v>14</v>
      </c>
      <c r="Z289" s="13" t="s">
        <v>342</v>
      </c>
    </row>
    <row r="290" spans="1:26" ht="19.899999999999999" customHeight="1" x14ac:dyDescent="0.25">
      <c r="A290" s="6">
        <v>45946</v>
      </c>
      <c r="B290" s="7" t="s">
        <v>400</v>
      </c>
      <c r="C290" s="8" t="s">
        <v>1167</v>
      </c>
      <c r="D290" s="8" t="s">
        <v>264</v>
      </c>
      <c r="E290" s="8" t="s">
        <v>1106</v>
      </c>
      <c r="F290" s="9" t="s">
        <v>1168</v>
      </c>
      <c r="G290" s="9" t="s">
        <v>1169</v>
      </c>
      <c r="H290" s="34"/>
      <c r="I290" s="9" t="s">
        <v>66</v>
      </c>
      <c r="J290" s="10" t="s">
        <v>60</v>
      </c>
      <c r="K290" s="15" t="str">
        <f>VLOOKUP(J290,DADOS!$A$3:$B$105,2,FALSE)</f>
        <v>EE-GI-221-038</v>
      </c>
      <c r="L290" s="15" t="s">
        <v>736</v>
      </c>
      <c r="M290" s="18" t="b">
        <v>0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1</v>
      </c>
      <c r="W290" s="11" t="s">
        <v>264</v>
      </c>
      <c r="X290" s="12" t="s">
        <v>14</v>
      </c>
      <c r="Y290" s="12" t="s">
        <v>14</v>
      </c>
      <c r="Z290" s="13" t="s">
        <v>342</v>
      </c>
    </row>
    <row r="291" spans="1:26" ht="19.899999999999999" customHeight="1" x14ac:dyDescent="0.25">
      <c r="A291" s="6">
        <v>45946</v>
      </c>
      <c r="B291" s="7" t="s">
        <v>400</v>
      </c>
      <c r="C291" s="8" t="s">
        <v>1167</v>
      </c>
      <c r="D291" s="8" t="s">
        <v>264</v>
      </c>
      <c r="E291" s="8" t="s">
        <v>1106</v>
      </c>
      <c r="F291" s="9" t="s">
        <v>1170</v>
      </c>
      <c r="G291" s="9" t="s">
        <v>1169</v>
      </c>
      <c r="H291" s="34"/>
      <c r="I291" s="9" t="s">
        <v>66</v>
      </c>
      <c r="J291" s="10" t="s">
        <v>60</v>
      </c>
      <c r="K291" s="15" t="str">
        <f>VLOOKUP(J291,DADOS!$A$3:$B$105,2,FALSE)</f>
        <v>EE-GI-221-038</v>
      </c>
      <c r="L291" s="15" t="s">
        <v>736</v>
      </c>
      <c r="M291" s="18" t="b">
        <v>0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1</v>
      </c>
      <c r="W291" s="11" t="s">
        <v>331</v>
      </c>
      <c r="X291" s="12" t="s">
        <v>14</v>
      </c>
      <c r="Y291" s="12" t="s">
        <v>14</v>
      </c>
      <c r="Z291" s="13" t="s">
        <v>342</v>
      </c>
    </row>
    <row r="292" spans="1:26" ht="19.899999999999999" customHeight="1" x14ac:dyDescent="0.25">
      <c r="A292" s="6">
        <v>45946</v>
      </c>
      <c r="B292" s="7" t="s">
        <v>400</v>
      </c>
      <c r="C292" s="8" t="s">
        <v>1167</v>
      </c>
      <c r="D292" s="8" t="s">
        <v>264</v>
      </c>
      <c r="E292" s="8" t="s">
        <v>1106</v>
      </c>
      <c r="F292" s="9" t="s">
        <v>1171</v>
      </c>
      <c r="G292" s="9" t="s">
        <v>1169</v>
      </c>
      <c r="H292" s="34"/>
      <c r="I292" s="9" t="s">
        <v>66</v>
      </c>
      <c r="J292" s="10" t="s">
        <v>60</v>
      </c>
      <c r="K292" s="15" t="str">
        <f>VLOOKUP(J292,DADOS!$A$3:$B$105,2,FALSE)</f>
        <v>EE-GI-221-038</v>
      </c>
      <c r="L292" s="15" t="s">
        <v>736</v>
      </c>
      <c r="M292" s="18" t="b">
        <v>0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1</v>
      </c>
      <c r="W292" s="11" t="s">
        <v>264</v>
      </c>
      <c r="X292" s="12" t="s">
        <v>14</v>
      </c>
      <c r="Y292" s="12" t="s">
        <v>14</v>
      </c>
      <c r="Z292" s="13" t="s">
        <v>342</v>
      </c>
    </row>
    <row r="293" spans="1:26" ht="19.899999999999999" customHeight="1" x14ac:dyDescent="0.25">
      <c r="A293" s="6">
        <v>45946</v>
      </c>
      <c r="B293" s="7" t="s">
        <v>400</v>
      </c>
      <c r="C293" s="8" t="s">
        <v>1167</v>
      </c>
      <c r="D293" s="8" t="s">
        <v>264</v>
      </c>
      <c r="E293" s="8" t="s">
        <v>1106</v>
      </c>
      <c r="F293" s="9" t="s">
        <v>1172</v>
      </c>
      <c r="G293" s="9" t="s">
        <v>1169</v>
      </c>
      <c r="H293" s="34"/>
      <c r="I293" s="9" t="s">
        <v>66</v>
      </c>
      <c r="J293" s="10" t="s">
        <v>60</v>
      </c>
      <c r="K293" s="15" t="str">
        <f>VLOOKUP(J293,DADOS!$A$3:$B$105,2,FALSE)</f>
        <v>EE-GI-221-038</v>
      </c>
      <c r="L293" s="15" t="s">
        <v>736</v>
      </c>
      <c r="M293" s="18" t="b">
        <v>0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1</v>
      </c>
      <c r="W293" s="11" t="s">
        <v>331</v>
      </c>
      <c r="X293" s="12" t="s">
        <v>14</v>
      </c>
      <c r="Y293" s="12" t="s">
        <v>14</v>
      </c>
      <c r="Z293" s="13" t="s">
        <v>342</v>
      </c>
    </row>
    <row r="294" spans="1:26" ht="19.899999999999999" customHeight="1" x14ac:dyDescent="0.25">
      <c r="A294" s="6">
        <v>45946</v>
      </c>
      <c r="B294" s="7" t="s">
        <v>700</v>
      </c>
      <c r="C294" s="8" t="s">
        <v>1069</v>
      </c>
      <c r="D294" s="8" t="s">
        <v>1070</v>
      </c>
      <c r="E294" s="8" t="s">
        <v>1071</v>
      </c>
      <c r="F294" s="9" t="s">
        <v>1072</v>
      </c>
      <c r="G294" s="9" t="s">
        <v>1074</v>
      </c>
      <c r="H294" s="9" t="s">
        <v>1075</v>
      </c>
      <c r="I294" s="9" t="s">
        <v>66</v>
      </c>
      <c r="J294" s="10" t="s">
        <v>186</v>
      </c>
      <c r="K294" s="15" t="str">
        <f>VLOOKUP(J294,DADOS!$A$3:$B$105,2,FALSE)</f>
        <v>EE-GI-001-008</v>
      </c>
      <c r="L294" s="15" t="s">
        <v>299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0</v>
      </c>
      <c r="W294" s="11" t="s">
        <v>1070</v>
      </c>
      <c r="X294" s="12" t="s">
        <v>14</v>
      </c>
      <c r="Y294" s="12" t="s">
        <v>14</v>
      </c>
      <c r="Z294" s="13" t="s">
        <v>270</v>
      </c>
    </row>
    <row r="295" spans="1:26" ht="19.899999999999999" customHeight="1" x14ac:dyDescent="0.25">
      <c r="A295" s="6">
        <v>45946</v>
      </c>
      <c r="B295" s="7" t="s">
        <v>700</v>
      </c>
      <c r="C295" s="8" t="s">
        <v>1069</v>
      </c>
      <c r="D295" s="8" t="s">
        <v>694</v>
      </c>
      <c r="E295" s="8" t="s">
        <v>1071</v>
      </c>
      <c r="F295" s="9" t="s">
        <v>1073</v>
      </c>
      <c r="G295" s="9" t="s">
        <v>1074</v>
      </c>
      <c r="H295" s="9" t="s">
        <v>1075</v>
      </c>
      <c r="I295" s="9" t="s">
        <v>66</v>
      </c>
      <c r="J295" s="10" t="s">
        <v>186</v>
      </c>
      <c r="K295" s="15" t="str">
        <f>VLOOKUP(J295,DADOS!$A$3:$B$105,2,FALSE)</f>
        <v>EE-GI-001-008</v>
      </c>
      <c r="L295" s="15" t="s">
        <v>299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0</v>
      </c>
      <c r="W295" s="11" t="s">
        <v>694</v>
      </c>
      <c r="X295" s="12" t="s">
        <v>14</v>
      </c>
      <c r="Y295" s="12" t="s">
        <v>14</v>
      </c>
      <c r="Z295" s="13" t="s">
        <v>270</v>
      </c>
    </row>
    <row r="296" spans="1:26" ht="19.899999999999999" customHeight="1" x14ac:dyDescent="0.25">
      <c r="A296" s="6">
        <v>45946</v>
      </c>
      <c r="B296" s="7" t="s">
        <v>700</v>
      </c>
      <c r="C296" s="8" t="s">
        <v>1076</v>
      </c>
      <c r="D296" s="8" t="s">
        <v>264</v>
      </c>
      <c r="E296" s="8" t="s">
        <v>1071</v>
      </c>
      <c r="F296" s="9" t="s">
        <v>1077</v>
      </c>
      <c r="G296" s="9" t="s">
        <v>705</v>
      </c>
      <c r="H296" s="9" t="s">
        <v>1080</v>
      </c>
      <c r="I296" s="9" t="s">
        <v>66</v>
      </c>
      <c r="J296" s="10" t="s">
        <v>186</v>
      </c>
      <c r="K296" s="15" t="str">
        <f>VLOOKUP(J296,DADOS!$A$3:$B$105,2,FALSE)</f>
        <v>EE-GI-001-008</v>
      </c>
      <c r="L296" s="15" t="s">
        <v>299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0</v>
      </c>
      <c r="W296" s="11" t="s">
        <v>264</v>
      </c>
      <c r="X296" s="12" t="s">
        <v>14</v>
      </c>
      <c r="Y296" s="12" t="s">
        <v>14</v>
      </c>
      <c r="Z296" s="13" t="s">
        <v>270</v>
      </c>
    </row>
    <row r="297" spans="1:26" ht="19.899999999999999" customHeight="1" x14ac:dyDescent="0.25">
      <c r="A297" s="6">
        <v>45946</v>
      </c>
      <c r="B297" s="7" t="s">
        <v>700</v>
      </c>
      <c r="C297" s="8" t="s">
        <v>1076</v>
      </c>
      <c r="D297" s="8" t="s">
        <v>643</v>
      </c>
      <c r="E297" s="8" t="s">
        <v>1071</v>
      </c>
      <c r="F297" s="9" t="s">
        <v>1078</v>
      </c>
      <c r="G297" s="9" t="s">
        <v>705</v>
      </c>
      <c r="H297" s="9" t="s">
        <v>1080</v>
      </c>
      <c r="I297" s="9" t="s">
        <v>66</v>
      </c>
      <c r="J297" s="10" t="s">
        <v>186</v>
      </c>
      <c r="K297" s="15" t="str">
        <f>VLOOKUP(J297,DADOS!$A$3:$B$105,2,FALSE)</f>
        <v>EE-GI-001-008</v>
      </c>
      <c r="L297" s="15" t="s">
        <v>299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0</v>
      </c>
      <c r="W297" s="11" t="s">
        <v>643</v>
      </c>
      <c r="X297" s="12" t="s">
        <v>14</v>
      </c>
      <c r="Y297" s="12" t="s">
        <v>14</v>
      </c>
      <c r="Z297" s="13" t="s">
        <v>270</v>
      </c>
    </row>
    <row r="298" spans="1:26" ht="19.899999999999999" customHeight="1" x14ac:dyDescent="0.25">
      <c r="A298" s="6">
        <v>45946</v>
      </c>
      <c r="B298" s="7" t="s">
        <v>700</v>
      </c>
      <c r="C298" s="8" t="s">
        <v>1076</v>
      </c>
      <c r="D298" s="8" t="s">
        <v>273</v>
      </c>
      <c r="E298" s="8" t="s">
        <v>1071</v>
      </c>
      <c r="F298" s="9" t="s">
        <v>1079</v>
      </c>
      <c r="G298" s="9" t="s">
        <v>705</v>
      </c>
      <c r="H298" s="9" t="s">
        <v>1080</v>
      </c>
      <c r="I298" s="9" t="s">
        <v>66</v>
      </c>
      <c r="J298" s="10" t="s">
        <v>186</v>
      </c>
      <c r="K298" s="15" t="str">
        <f>VLOOKUP(J298,DADOS!$A$3:$B$105,2,FALSE)</f>
        <v>EE-GI-001-008</v>
      </c>
      <c r="L298" s="15" t="s">
        <v>299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0</v>
      </c>
      <c r="W298" s="11" t="s">
        <v>273</v>
      </c>
      <c r="X298" s="12" t="s">
        <v>14</v>
      </c>
      <c r="Y298" s="12" t="s">
        <v>14</v>
      </c>
      <c r="Z298" s="13" t="s">
        <v>270</v>
      </c>
    </row>
    <row r="299" spans="1:26" ht="19.899999999999999" customHeight="1" x14ac:dyDescent="0.25">
      <c r="A299" s="6">
        <v>45946</v>
      </c>
      <c r="B299" s="7" t="s">
        <v>1104</v>
      </c>
      <c r="C299" s="8" t="s">
        <v>1105</v>
      </c>
      <c r="D299" s="8" t="s">
        <v>264</v>
      </c>
      <c r="E299" s="8" t="s">
        <v>1106</v>
      </c>
      <c r="F299" s="9" t="s">
        <v>1107</v>
      </c>
      <c r="G299" s="9" t="s">
        <v>1108</v>
      </c>
      <c r="H299" s="9" t="s">
        <v>1109</v>
      </c>
      <c r="I299" s="9" t="s">
        <v>66</v>
      </c>
      <c r="J299" s="10" t="s">
        <v>15</v>
      </c>
      <c r="K299" s="15" t="str">
        <f>VLOOKUP(J299,DADOS!$A$3:$B$105,2,FALSE)</f>
        <v>EE-GI-001-002</v>
      </c>
      <c r="L299" s="15" t="s">
        <v>341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0</v>
      </c>
      <c r="W299" s="11" t="s">
        <v>545</v>
      </c>
      <c r="X299" s="12" t="s">
        <v>264</v>
      </c>
      <c r="Y299" s="12" t="s">
        <v>1110</v>
      </c>
      <c r="Z299" s="13" t="s">
        <v>342</v>
      </c>
    </row>
    <row r="300" spans="1:26" ht="19.899999999999999" customHeight="1" x14ac:dyDescent="0.25">
      <c r="A300" s="6">
        <v>45946</v>
      </c>
      <c r="B300" s="7" t="s">
        <v>1032</v>
      </c>
      <c r="C300" s="8" t="s">
        <v>1114</v>
      </c>
      <c r="D300" s="8" t="s">
        <v>331</v>
      </c>
      <c r="E300" s="8" t="s">
        <v>1115</v>
      </c>
      <c r="F300" s="9" t="s">
        <v>1116</v>
      </c>
      <c r="G300" s="9" t="s">
        <v>1117</v>
      </c>
      <c r="H300" s="9" t="s">
        <v>1593</v>
      </c>
      <c r="I300" s="9" t="s">
        <v>70</v>
      </c>
      <c r="J300" s="10" t="s">
        <v>174</v>
      </c>
      <c r="K300" s="15" t="str">
        <f>VLOOKUP(J300,DADOS!$A$3:$B$105,2,FALSE)</f>
        <v>EE-GI-001-007</v>
      </c>
      <c r="L300" s="15" t="s">
        <v>636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1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331</v>
      </c>
      <c r="X300" s="12" t="s">
        <v>14</v>
      </c>
      <c r="Y300" s="12" t="s">
        <v>14</v>
      </c>
      <c r="Z300" s="13" t="s">
        <v>342</v>
      </c>
    </row>
    <row r="301" spans="1:26" s="45" customFormat="1" ht="19.899999999999999" customHeight="1" x14ac:dyDescent="0.25">
      <c r="A301" s="6">
        <v>45946</v>
      </c>
      <c r="B301" s="7" t="s">
        <v>1032</v>
      </c>
      <c r="C301" s="8" t="s">
        <v>1118</v>
      </c>
      <c r="D301" s="8" t="s">
        <v>331</v>
      </c>
      <c r="E301" s="8" t="s">
        <v>1115</v>
      </c>
      <c r="F301" s="9" t="s">
        <v>1119</v>
      </c>
      <c r="G301" s="9" t="s">
        <v>1117</v>
      </c>
      <c r="H301" s="9" t="s">
        <v>1593</v>
      </c>
      <c r="I301" s="9" t="s">
        <v>70</v>
      </c>
      <c r="J301" s="10" t="s">
        <v>174</v>
      </c>
      <c r="K301" s="15" t="str">
        <f>VLOOKUP(J301,DADOS!$A$3:$B$105,2,FALSE)</f>
        <v>EE-GI-001-007</v>
      </c>
      <c r="L301" s="15" t="s">
        <v>636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1</v>
      </c>
      <c r="S301" s="17" t="b">
        <v>0</v>
      </c>
      <c r="T301" s="17" t="b">
        <v>0</v>
      </c>
      <c r="U301" s="17" t="b">
        <v>0</v>
      </c>
      <c r="V301" s="17" t="b">
        <v>1</v>
      </c>
      <c r="W301" s="11" t="s">
        <v>331</v>
      </c>
      <c r="X301" s="12" t="s">
        <v>14</v>
      </c>
      <c r="Y301" s="12" t="s">
        <v>14</v>
      </c>
      <c r="Z301" s="13" t="s">
        <v>342</v>
      </c>
    </row>
    <row r="302" spans="1:26" s="45" customFormat="1" ht="19.899999999999999" customHeight="1" x14ac:dyDescent="0.25">
      <c r="A302" s="6">
        <v>45946</v>
      </c>
      <c r="B302" s="7" t="s">
        <v>1032</v>
      </c>
      <c r="C302" s="8" t="s">
        <v>1780</v>
      </c>
      <c r="D302" s="8" t="s">
        <v>264</v>
      </c>
      <c r="E302" s="8" t="s">
        <v>1115</v>
      </c>
      <c r="F302" s="9" t="s">
        <v>1781</v>
      </c>
      <c r="G302" s="9" t="s">
        <v>1047</v>
      </c>
      <c r="H302" s="9" t="s">
        <v>1593</v>
      </c>
      <c r="I302" s="9" t="s">
        <v>67</v>
      </c>
      <c r="J302" s="10" t="s">
        <v>174</v>
      </c>
      <c r="K302" s="15" t="str">
        <f>VLOOKUP(J302,DADOS!$A$3:$B$105,2,FALSE)</f>
        <v>EE-GI-001-007</v>
      </c>
      <c r="L302" s="15" t="s">
        <v>299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1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264</v>
      </c>
      <c r="X302" s="12" t="s">
        <v>14</v>
      </c>
      <c r="Y302" s="12" t="s">
        <v>14</v>
      </c>
      <c r="Z302" s="13" t="s">
        <v>270</v>
      </c>
    </row>
    <row r="303" spans="1:26" ht="19.899999999999999" customHeight="1" x14ac:dyDescent="0.25">
      <c r="A303" s="6">
        <v>45946</v>
      </c>
      <c r="B303" s="7" t="s">
        <v>1032</v>
      </c>
      <c r="C303" s="8" t="s">
        <v>1126</v>
      </c>
      <c r="D303" s="8" t="s">
        <v>264</v>
      </c>
      <c r="E303" s="8" t="s">
        <v>1034</v>
      </c>
      <c r="F303" s="9" t="s">
        <v>1127</v>
      </c>
      <c r="G303" s="9" t="s">
        <v>1128</v>
      </c>
      <c r="H303" s="9" t="s">
        <v>1036</v>
      </c>
      <c r="I303" s="9" t="s">
        <v>69</v>
      </c>
      <c r="J303" s="10" t="s">
        <v>176</v>
      </c>
      <c r="K303" s="15" t="str">
        <f>VLOOKUP(J303,DADOS!$A$3:$B$105,2,FALSE)</f>
        <v>EE-GI-001-011</v>
      </c>
      <c r="L303" s="15" t="s">
        <v>341</v>
      </c>
      <c r="M303" s="18" t="b">
        <v>0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0</v>
      </c>
      <c r="U303" s="17" t="b">
        <v>0</v>
      </c>
      <c r="V303" s="17" t="b">
        <v>1</v>
      </c>
      <c r="W303" s="11" t="s">
        <v>264</v>
      </c>
      <c r="X303" s="12" t="s">
        <v>14</v>
      </c>
      <c r="Y303" s="12" t="s">
        <v>14</v>
      </c>
      <c r="Z303" s="13" t="s">
        <v>342</v>
      </c>
    </row>
    <row r="304" spans="1:26" ht="19.899999999999999" customHeight="1" x14ac:dyDescent="0.25">
      <c r="A304" s="6">
        <v>45946</v>
      </c>
      <c r="B304" s="7" t="s">
        <v>1032</v>
      </c>
      <c r="C304" s="8" t="s">
        <v>1780</v>
      </c>
      <c r="D304" s="8" t="s">
        <v>264</v>
      </c>
      <c r="E304" s="8" t="s">
        <v>1115</v>
      </c>
      <c r="F304" s="9" t="s">
        <v>1781</v>
      </c>
      <c r="G304" s="9" t="s">
        <v>1047</v>
      </c>
      <c r="H304" s="9" t="s">
        <v>1593</v>
      </c>
      <c r="I304" s="9" t="s">
        <v>67</v>
      </c>
      <c r="J304" s="10" t="s">
        <v>174</v>
      </c>
      <c r="K304" s="15" t="str">
        <f>VLOOKUP(J304,DADOS!$A$3:$B$105,2,FALSE)</f>
        <v>EE-GI-001-007</v>
      </c>
      <c r="L304" s="15" t="s">
        <v>299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1</v>
      </c>
      <c r="W304" s="11" t="s">
        <v>264</v>
      </c>
      <c r="X304" s="12" t="s">
        <v>14</v>
      </c>
      <c r="Y304" s="12" t="s">
        <v>14</v>
      </c>
      <c r="Z304" s="13" t="s">
        <v>270</v>
      </c>
    </row>
    <row r="305" spans="1:26" ht="19.899999999999999" customHeight="1" x14ac:dyDescent="0.25">
      <c r="A305" s="6">
        <v>45946</v>
      </c>
      <c r="B305" s="7" t="s">
        <v>334</v>
      </c>
      <c r="C305" s="8" t="s">
        <v>1120</v>
      </c>
      <c r="D305" s="8" t="s">
        <v>331</v>
      </c>
      <c r="E305" s="8" t="s">
        <v>1029</v>
      </c>
      <c r="F305" s="9" t="s">
        <v>1121</v>
      </c>
      <c r="G305" s="9" t="s">
        <v>1122</v>
      </c>
      <c r="H305" s="9" t="s">
        <v>340</v>
      </c>
      <c r="I305" s="9" t="s">
        <v>66</v>
      </c>
      <c r="J305" s="10" t="s">
        <v>251</v>
      </c>
      <c r="K305" s="15" t="str">
        <f>VLOOKUP(J305,DADOS!$A$3:$B$105,2,FALSE)</f>
        <v>EE-GI-001-030</v>
      </c>
      <c r="L305" s="15" t="s">
        <v>341</v>
      </c>
      <c r="M305" s="18" t="b">
        <v>0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331</v>
      </c>
      <c r="X305" s="12" t="s">
        <v>14</v>
      </c>
      <c r="Y305" s="12" t="s">
        <v>14</v>
      </c>
      <c r="Z305" s="13" t="s">
        <v>342</v>
      </c>
    </row>
    <row r="306" spans="1:26" ht="19.899999999999999" customHeight="1" x14ac:dyDescent="0.25">
      <c r="A306" s="6">
        <v>45946</v>
      </c>
      <c r="B306" s="7" t="s">
        <v>334</v>
      </c>
      <c r="C306" s="8" t="s">
        <v>1123</v>
      </c>
      <c r="D306" s="8" t="s">
        <v>331</v>
      </c>
      <c r="E306" s="8" t="s">
        <v>1029</v>
      </c>
      <c r="F306" s="9" t="s">
        <v>1124</v>
      </c>
      <c r="G306" s="9" t="s">
        <v>1122</v>
      </c>
      <c r="H306" s="9" t="s">
        <v>340</v>
      </c>
      <c r="I306" s="9" t="s">
        <v>66</v>
      </c>
      <c r="J306" s="10" t="s">
        <v>251</v>
      </c>
      <c r="K306" s="15" t="str">
        <f>VLOOKUP(J306,DADOS!$A$3:$B$105,2,FALSE)</f>
        <v>EE-GI-001-030</v>
      </c>
      <c r="L306" s="15" t="s">
        <v>341</v>
      </c>
      <c r="M306" s="18" t="b">
        <v>0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331</v>
      </c>
      <c r="X306" s="12" t="s">
        <v>14</v>
      </c>
      <c r="Y306" s="12" t="s">
        <v>14</v>
      </c>
      <c r="Z306" s="13" t="s">
        <v>342</v>
      </c>
    </row>
    <row r="307" spans="1:26" ht="19.899999999999999" customHeight="1" x14ac:dyDescent="0.25">
      <c r="A307" s="6">
        <v>45946</v>
      </c>
      <c r="B307" s="7" t="s">
        <v>334</v>
      </c>
      <c r="C307" s="8" t="s">
        <v>1147</v>
      </c>
      <c r="D307" s="8" t="s">
        <v>331</v>
      </c>
      <c r="E307" s="8" t="s">
        <v>1148</v>
      </c>
      <c r="F307" s="9" t="s">
        <v>1149</v>
      </c>
      <c r="G307" s="9" t="s">
        <v>328</v>
      </c>
      <c r="H307" s="9" t="s">
        <v>340</v>
      </c>
      <c r="I307" s="9" t="s">
        <v>68</v>
      </c>
      <c r="J307" s="10" t="s">
        <v>15</v>
      </c>
      <c r="K307" s="15" t="str">
        <f>VLOOKUP(J307,DADOS!$A$3:$B$105,2,FALSE)</f>
        <v>EE-GI-001-002</v>
      </c>
      <c r="L307" s="15" t="s">
        <v>636</v>
      </c>
      <c r="M307" s="18" t="b">
        <v>0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331</v>
      </c>
      <c r="X307" s="12" t="s">
        <v>14</v>
      </c>
      <c r="Y307" s="12" t="s">
        <v>14</v>
      </c>
      <c r="Z307" s="13" t="s">
        <v>342</v>
      </c>
    </row>
    <row r="308" spans="1:26" ht="19.899999999999999" customHeight="1" x14ac:dyDescent="0.25">
      <c r="A308" s="35">
        <v>45946</v>
      </c>
      <c r="B308" s="36" t="s">
        <v>1248</v>
      </c>
      <c r="C308" s="37" t="s">
        <v>1249</v>
      </c>
      <c r="D308" s="37" t="s">
        <v>1255</v>
      </c>
      <c r="E308" s="37" t="s">
        <v>1251</v>
      </c>
      <c r="F308" s="34" t="s">
        <v>1256</v>
      </c>
      <c r="G308" s="34" t="s">
        <v>1253</v>
      </c>
      <c r="H308" s="34" t="s">
        <v>1254</v>
      </c>
      <c r="I308" s="34" t="s">
        <v>66</v>
      </c>
      <c r="J308" s="38" t="s">
        <v>19</v>
      </c>
      <c r="K308" s="39" t="str">
        <f>VLOOKUP(J308,DADOS!$A$3:$B$105,2,FALSE)</f>
        <v>EE-GI-221-033</v>
      </c>
      <c r="L308" s="39" t="s">
        <v>389</v>
      </c>
      <c r="M308" s="40" t="b">
        <v>1</v>
      </c>
      <c r="N308" s="41" t="b">
        <v>1</v>
      </c>
      <c r="O308" s="41" t="b">
        <v>1</v>
      </c>
      <c r="P308" s="41" t="b">
        <v>1</v>
      </c>
      <c r="Q308" s="41" t="b">
        <v>0</v>
      </c>
      <c r="R308" s="41" t="b">
        <v>0</v>
      </c>
      <c r="S308" s="41" t="b">
        <v>0</v>
      </c>
      <c r="T308" s="41" t="b">
        <v>0</v>
      </c>
      <c r="U308" s="41" t="b">
        <v>0</v>
      </c>
      <c r="V308" s="41" t="b">
        <v>1</v>
      </c>
      <c r="W308" s="42" t="s">
        <v>1255</v>
      </c>
      <c r="X308" s="43" t="s">
        <v>14</v>
      </c>
      <c r="Y308" s="43" t="s">
        <v>14</v>
      </c>
      <c r="Z308" s="44" t="s">
        <v>342</v>
      </c>
    </row>
    <row r="309" spans="1:26" ht="19.899999999999999" customHeight="1" x14ac:dyDescent="0.25">
      <c r="A309" s="35">
        <v>45946</v>
      </c>
      <c r="B309" s="36" t="s">
        <v>1248</v>
      </c>
      <c r="C309" s="37" t="s">
        <v>1249</v>
      </c>
      <c r="D309" s="37" t="s">
        <v>1250</v>
      </c>
      <c r="E309" s="37" t="s">
        <v>1251</v>
      </c>
      <c r="F309" s="34" t="s">
        <v>1252</v>
      </c>
      <c r="G309" s="34" t="s">
        <v>1253</v>
      </c>
      <c r="H309" s="34" t="s">
        <v>1254</v>
      </c>
      <c r="I309" s="34" t="s">
        <v>66</v>
      </c>
      <c r="J309" s="38" t="s">
        <v>19</v>
      </c>
      <c r="K309" s="39" t="str">
        <f>VLOOKUP(J309,DADOS!$A$3:$B$105,2,FALSE)</f>
        <v>EE-GI-221-033</v>
      </c>
      <c r="L309" s="39" t="s">
        <v>389</v>
      </c>
      <c r="M309" s="40" t="b">
        <v>1</v>
      </c>
      <c r="N309" s="41" t="b">
        <v>1</v>
      </c>
      <c r="O309" s="41" t="b">
        <v>1</v>
      </c>
      <c r="P309" s="41" t="b">
        <v>1</v>
      </c>
      <c r="Q309" s="41" t="b">
        <v>0</v>
      </c>
      <c r="R309" s="41" t="b">
        <v>0</v>
      </c>
      <c r="S309" s="41" t="b">
        <v>0</v>
      </c>
      <c r="T309" s="41" t="b">
        <v>0</v>
      </c>
      <c r="U309" s="41" t="b">
        <v>0</v>
      </c>
      <c r="V309" s="41" t="b">
        <v>1</v>
      </c>
      <c r="W309" s="42" t="s">
        <v>1250</v>
      </c>
      <c r="X309" s="43" t="s">
        <v>14</v>
      </c>
      <c r="Y309" s="43" t="s">
        <v>14</v>
      </c>
      <c r="Z309" s="44" t="s">
        <v>342</v>
      </c>
    </row>
    <row r="310" spans="1:26" ht="19.899999999999999" customHeight="1" x14ac:dyDescent="0.25">
      <c r="A310" s="6">
        <v>45946</v>
      </c>
      <c r="B310" s="7" t="s">
        <v>334</v>
      </c>
      <c r="C310" s="8" t="s">
        <v>1147</v>
      </c>
      <c r="D310" s="8" t="s">
        <v>331</v>
      </c>
      <c r="E310" s="8" t="s">
        <v>1148</v>
      </c>
      <c r="F310" s="9" t="s">
        <v>1150</v>
      </c>
      <c r="G310" s="9" t="s">
        <v>320</v>
      </c>
      <c r="H310" s="9" t="s">
        <v>340</v>
      </c>
      <c r="I310" s="9" t="s">
        <v>68</v>
      </c>
      <c r="J310" s="10" t="s">
        <v>15</v>
      </c>
      <c r="K310" s="15" t="str">
        <f>VLOOKUP(J310,DADOS!$A$3:$B$105,2,FALSE)</f>
        <v>EE-GI-001-002</v>
      </c>
      <c r="L310" s="15" t="s">
        <v>636</v>
      </c>
      <c r="M310" s="18" t="b">
        <v>0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1</v>
      </c>
      <c r="W310" s="11" t="s">
        <v>331</v>
      </c>
      <c r="X310" s="12" t="s">
        <v>14</v>
      </c>
      <c r="Y310" s="12" t="s">
        <v>14</v>
      </c>
      <c r="Z310" s="13" t="s">
        <v>342</v>
      </c>
    </row>
    <row r="311" spans="1:26" ht="19.899999999999999" customHeight="1" x14ac:dyDescent="0.25">
      <c r="A311" s="6">
        <v>45946</v>
      </c>
      <c r="B311" s="7" t="s">
        <v>1104</v>
      </c>
      <c r="C311" s="8" t="s">
        <v>1158</v>
      </c>
      <c r="D311" s="8" t="s">
        <v>456</v>
      </c>
      <c r="E311" s="8" t="s">
        <v>1106</v>
      </c>
      <c r="F311" s="9" t="s">
        <v>1159</v>
      </c>
      <c r="G311" s="9" t="s">
        <v>1160</v>
      </c>
      <c r="H311" s="34"/>
      <c r="I311" s="9" t="s">
        <v>69</v>
      </c>
      <c r="J311" s="10" t="s">
        <v>15</v>
      </c>
      <c r="K311" s="15" t="str">
        <f>VLOOKUP(J311,DADOS!$A$3:$B$105,2,FALSE)</f>
        <v>EE-GI-001-002</v>
      </c>
      <c r="L311" s="15" t="s">
        <v>341</v>
      </c>
      <c r="M311" s="18" t="b">
        <v>0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1</v>
      </c>
      <c r="W311" s="11" t="s">
        <v>456</v>
      </c>
      <c r="X311" s="12" t="s">
        <v>14</v>
      </c>
      <c r="Y311" s="12" t="s">
        <v>14</v>
      </c>
      <c r="Z311" s="13" t="s">
        <v>342</v>
      </c>
    </row>
    <row r="312" spans="1:26" ht="19.899999999999999" customHeight="1" x14ac:dyDescent="0.25">
      <c r="A312" s="6">
        <v>45946</v>
      </c>
      <c r="B312" s="7" t="s">
        <v>1104</v>
      </c>
      <c r="C312" s="8" t="s">
        <v>1158</v>
      </c>
      <c r="D312" s="8" t="s">
        <v>282</v>
      </c>
      <c r="E312" s="8" t="s">
        <v>1106</v>
      </c>
      <c r="F312" s="9" t="s">
        <v>1161</v>
      </c>
      <c r="G312" s="9" t="s">
        <v>1160</v>
      </c>
      <c r="H312" s="34"/>
      <c r="I312" s="9" t="s">
        <v>69</v>
      </c>
      <c r="J312" s="10" t="s">
        <v>15</v>
      </c>
      <c r="K312" s="15" t="str">
        <f>VLOOKUP(J312,DADOS!$A$3:$B$105,2,FALSE)</f>
        <v>EE-GI-001-002</v>
      </c>
      <c r="L312" s="15" t="s">
        <v>341</v>
      </c>
      <c r="M312" s="18" t="b">
        <v>0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1</v>
      </c>
      <c r="W312" s="11" t="s">
        <v>282</v>
      </c>
      <c r="X312" s="12" t="s">
        <v>14</v>
      </c>
      <c r="Y312" s="12" t="s">
        <v>14</v>
      </c>
      <c r="Z312" s="13" t="s">
        <v>342</v>
      </c>
    </row>
    <row r="313" spans="1:26" ht="19.899999999999999" customHeight="1" x14ac:dyDescent="0.25">
      <c r="A313" s="6">
        <v>45946</v>
      </c>
      <c r="B313" s="7" t="s">
        <v>1151</v>
      </c>
      <c r="C313" s="8" t="s">
        <v>361</v>
      </c>
      <c r="D313" s="8" t="s">
        <v>799</v>
      </c>
      <c r="E313" s="8" t="s">
        <v>1152</v>
      </c>
      <c r="F313" s="9" t="s">
        <v>1153</v>
      </c>
      <c r="G313" s="9" t="s">
        <v>1108</v>
      </c>
      <c r="H313" s="9" t="s">
        <v>1154</v>
      </c>
      <c r="I313" s="9" t="s">
        <v>66</v>
      </c>
      <c r="J313" s="10" t="s">
        <v>186</v>
      </c>
      <c r="K313" s="15" t="str">
        <f>VLOOKUP(J313,DADOS!$A$3:$B$105,2,FALSE)</f>
        <v>EE-GI-001-008</v>
      </c>
      <c r="L313" s="15" t="s">
        <v>341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1</v>
      </c>
      <c r="W313" s="11" t="s">
        <v>799</v>
      </c>
      <c r="X313" s="12" t="s">
        <v>14</v>
      </c>
      <c r="Y313" s="12" t="s">
        <v>14</v>
      </c>
      <c r="Z313" s="13" t="s">
        <v>342</v>
      </c>
    </row>
    <row r="314" spans="1:26" ht="19.899999999999999" customHeight="1" x14ac:dyDescent="0.25">
      <c r="A314" s="6">
        <v>45946</v>
      </c>
      <c r="B314" s="7" t="s">
        <v>1135</v>
      </c>
      <c r="C314" s="8" t="s">
        <v>1300</v>
      </c>
      <c r="D314" s="8" t="s">
        <v>408</v>
      </c>
      <c r="E314" s="8" t="s">
        <v>1301</v>
      </c>
      <c r="F314" s="9" t="s">
        <v>1302</v>
      </c>
      <c r="G314" s="9" t="s">
        <v>1303</v>
      </c>
      <c r="H314" s="9" t="s">
        <v>1304</v>
      </c>
      <c r="I314" s="9" t="s">
        <v>65</v>
      </c>
      <c r="J314" s="10" t="s">
        <v>255</v>
      </c>
      <c r="K314" s="15" t="str">
        <f>VLOOKUP(J314,DADOS!$A$3:$B$105,2,FALSE)</f>
        <v>EE-GI-001-074</v>
      </c>
      <c r="L314" s="15" t="s">
        <v>383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1</v>
      </c>
      <c r="S314" s="17" t="b">
        <v>0</v>
      </c>
      <c r="T314" s="17" t="b">
        <v>0</v>
      </c>
      <c r="U314" s="17" t="b">
        <v>0</v>
      </c>
      <c r="V314" s="17" t="b">
        <v>0</v>
      </c>
      <c r="W314" s="11" t="s">
        <v>408</v>
      </c>
      <c r="X314" s="12" t="s">
        <v>14</v>
      </c>
      <c r="Y314" s="12" t="s">
        <v>14</v>
      </c>
      <c r="Z314" s="13" t="s">
        <v>270</v>
      </c>
    </row>
    <row r="315" spans="1:26" ht="19.899999999999999" customHeight="1" x14ac:dyDescent="0.25">
      <c r="A315" s="6">
        <v>45946</v>
      </c>
      <c r="B315" s="7" t="s">
        <v>1135</v>
      </c>
      <c r="C315" s="8" t="s">
        <v>1305</v>
      </c>
      <c r="D315" s="8" t="s">
        <v>426</v>
      </c>
      <c r="E315" s="8" t="s">
        <v>1301</v>
      </c>
      <c r="F315" s="9" t="s">
        <v>1306</v>
      </c>
      <c r="G315" s="9" t="s">
        <v>1307</v>
      </c>
      <c r="H315" s="9" t="s">
        <v>1304</v>
      </c>
      <c r="I315" s="9" t="s">
        <v>65</v>
      </c>
      <c r="J315" s="10" t="s">
        <v>255</v>
      </c>
      <c r="K315" s="15" t="str">
        <f>VLOOKUP(J315,DADOS!$A$3:$B$105,2,FALSE)</f>
        <v>EE-GI-001-074</v>
      </c>
      <c r="L315" s="15" t="s">
        <v>383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1</v>
      </c>
      <c r="S315" s="17" t="b">
        <v>0</v>
      </c>
      <c r="T315" s="17" t="b">
        <v>0</v>
      </c>
      <c r="U315" s="17" t="b">
        <v>0</v>
      </c>
      <c r="V315" s="17" t="b">
        <v>0</v>
      </c>
      <c r="W315" s="11" t="s">
        <v>426</v>
      </c>
      <c r="X315" s="12" t="s">
        <v>14</v>
      </c>
      <c r="Y315" s="12" t="s">
        <v>14</v>
      </c>
      <c r="Z315" s="13" t="s">
        <v>270</v>
      </c>
    </row>
    <row r="316" spans="1:26" ht="19.899999999999999" customHeight="1" x14ac:dyDescent="0.25">
      <c r="A316" s="6">
        <v>45946</v>
      </c>
      <c r="B316" s="7" t="s">
        <v>1333</v>
      </c>
      <c r="C316" s="8" t="s">
        <v>1338</v>
      </c>
      <c r="D316" s="8" t="s">
        <v>264</v>
      </c>
      <c r="E316" s="8" t="s">
        <v>1334</v>
      </c>
      <c r="F316" s="9" t="s">
        <v>1335</v>
      </c>
      <c r="G316" s="9" t="s">
        <v>1336</v>
      </c>
      <c r="H316" s="9" t="s">
        <v>1337</v>
      </c>
      <c r="I316" s="9" t="s">
        <v>97</v>
      </c>
      <c r="J316" s="10" t="s">
        <v>251</v>
      </c>
      <c r="K316" s="15" t="str">
        <f>VLOOKUP(J316,DADOS!$A$3:$B$105,2,FALSE)</f>
        <v>EE-GI-001-030</v>
      </c>
      <c r="L316" s="15" t="s">
        <v>268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1</v>
      </c>
      <c r="S316" s="17" t="b">
        <v>0</v>
      </c>
      <c r="T316" s="17" t="b">
        <v>0</v>
      </c>
      <c r="U316" s="17" t="b">
        <v>0</v>
      </c>
      <c r="V316" s="17" t="b">
        <v>0</v>
      </c>
      <c r="W316" s="11" t="s">
        <v>264</v>
      </c>
      <c r="X316" s="12" t="s">
        <v>14</v>
      </c>
      <c r="Y316" s="12" t="s">
        <v>14</v>
      </c>
      <c r="Z316" s="13" t="s">
        <v>270</v>
      </c>
    </row>
    <row r="317" spans="1:26" ht="19.899999999999999" customHeight="1" x14ac:dyDescent="0.25">
      <c r="A317" s="6">
        <v>45946</v>
      </c>
      <c r="B317" s="7" t="s">
        <v>1333</v>
      </c>
      <c r="C317" s="8" t="s">
        <v>1339</v>
      </c>
      <c r="D317" s="8" t="s">
        <v>273</v>
      </c>
      <c r="E317" s="8" t="s">
        <v>1340</v>
      </c>
      <c r="F317" s="9" t="s">
        <v>1341</v>
      </c>
      <c r="G317" s="9" t="s">
        <v>1336</v>
      </c>
      <c r="H317" s="9" t="s">
        <v>1342</v>
      </c>
      <c r="I317" s="9" t="s">
        <v>97</v>
      </c>
      <c r="J317" s="10" t="s">
        <v>251</v>
      </c>
      <c r="K317" s="15" t="str">
        <f>VLOOKUP(J317,DADOS!$A$3:$B$105,2,FALSE)</f>
        <v>EE-GI-001-030</v>
      </c>
      <c r="L317" s="15" t="s">
        <v>268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1</v>
      </c>
      <c r="S317" s="17" t="b">
        <v>0</v>
      </c>
      <c r="T317" s="17" t="b">
        <v>0</v>
      </c>
      <c r="U317" s="17" t="b">
        <v>0</v>
      </c>
      <c r="V317" s="17" t="b">
        <v>0</v>
      </c>
      <c r="W317" s="11" t="s">
        <v>264</v>
      </c>
      <c r="X317" s="12" t="s">
        <v>14</v>
      </c>
      <c r="Y317" s="12" t="s">
        <v>14</v>
      </c>
      <c r="Z317" s="13" t="s">
        <v>270</v>
      </c>
    </row>
    <row r="318" spans="1:26" ht="19.899999999999999" customHeight="1" x14ac:dyDescent="0.25">
      <c r="A318" s="6">
        <v>45946</v>
      </c>
      <c r="B318" s="7" t="s">
        <v>490</v>
      </c>
      <c r="C318" s="8" t="s">
        <v>1017</v>
      </c>
      <c r="D318" s="8" t="s">
        <v>331</v>
      </c>
      <c r="E318" s="8" t="s">
        <v>1384</v>
      </c>
      <c r="F318" s="9" t="s">
        <v>1018</v>
      </c>
      <c r="G318" s="9" t="s">
        <v>1385</v>
      </c>
      <c r="H318" s="9" t="s">
        <v>1390</v>
      </c>
      <c r="I318" s="9" t="s">
        <v>97</v>
      </c>
      <c r="J318" s="10" t="s">
        <v>185</v>
      </c>
      <c r="K318" s="15" t="str">
        <f>VLOOKUP(J318,DADOS!$A$3:$B$105,2,FALSE)</f>
        <v>EE-GI-001-031</v>
      </c>
      <c r="L318" s="15" t="s">
        <v>268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0</v>
      </c>
      <c r="W318" s="11" t="s">
        <v>331</v>
      </c>
      <c r="X318" s="12" t="s">
        <v>14</v>
      </c>
      <c r="Y318" s="12" t="s">
        <v>14</v>
      </c>
      <c r="Z318" s="13" t="s">
        <v>270</v>
      </c>
    </row>
    <row r="319" spans="1:26" ht="19.899999999999999" customHeight="1" x14ac:dyDescent="0.25">
      <c r="A319" s="6">
        <v>45946</v>
      </c>
      <c r="B319" s="7" t="s">
        <v>490</v>
      </c>
      <c r="C319" s="8" t="s">
        <v>1386</v>
      </c>
      <c r="D319" s="8" t="s">
        <v>331</v>
      </c>
      <c r="E319" s="8" t="s">
        <v>1387</v>
      </c>
      <c r="F319" s="9" t="s">
        <v>1388</v>
      </c>
      <c r="G319" s="9" t="s">
        <v>1389</v>
      </c>
      <c r="H319" s="9" t="s">
        <v>1391</v>
      </c>
      <c r="I319" s="9" t="s">
        <v>69</v>
      </c>
      <c r="J319" s="10" t="s">
        <v>185</v>
      </c>
      <c r="K319" s="15" t="str">
        <f>VLOOKUP(J319,DADOS!$A$3:$B$105,2,FALSE)</f>
        <v>EE-GI-001-031</v>
      </c>
      <c r="L319" s="15" t="s">
        <v>268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0</v>
      </c>
      <c r="W319" s="11" t="s">
        <v>331</v>
      </c>
      <c r="X319" s="12" t="s">
        <v>14</v>
      </c>
      <c r="Y319" s="12" t="s">
        <v>14</v>
      </c>
      <c r="Z319" s="13" t="s">
        <v>270</v>
      </c>
    </row>
    <row r="320" spans="1:26" ht="19.899999999999999" customHeight="1" x14ac:dyDescent="0.25">
      <c r="A320" s="6">
        <v>45947</v>
      </c>
      <c r="B320" s="7" t="s">
        <v>262</v>
      </c>
      <c r="C320" s="8" t="s">
        <v>1936</v>
      </c>
      <c r="D320" s="8" t="s">
        <v>264</v>
      </c>
      <c r="E320" s="8" t="s">
        <v>1937</v>
      </c>
      <c r="F320" s="9" t="s">
        <v>1938</v>
      </c>
      <c r="G320" s="9" t="s">
        <v>867</v>
      </c>
      <c r="H320" s="9" t="s">
        <v>1939</v>
      </c>
      <c r="I320" s="9" t="s">
        <v>69</v>
      </c>
      <c r="J320" s="10" t="s">
        <v>15</v>
      </c>
      <c r="K320" s="15" t="str">
        <f>VLOOKUP(J320,DADOS!$A$3:$B$105,2,FALSE)</f>
        <v>EE-GI-001-002</v>
      </c>
      <c r="L320" s="15" t="s">
        <v>853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1</v>
      </c>
      <c r="W320" s="11" t="s">
        <v>264</v>
      </c>
      <c r="X320" s="12" t="s">
        <v>14</v>
      </c>
      <c r="Y320" s="12" t="s">
        <v>14</v>
      </c>
      <c r="Z320" s="13" t="s">
        <v>854</v>
      </c>
    </row>
    <row r="321" spans="1:26" ht="19.899999999999999" customHeight="1" x14ac:dyDescent="0.25">
      <c r="A321" s="6">
        <v>45947</v>
      </c>
      <c r="B321" s="7" t="s">
        <v>1104</v>
      </c>
      <c r="C321" s="8" t="s">
        <v>1173</v>
      </c>
      <c r="D321" s="8" t="s">
        <v>1174</v>
      </c>
      <c r="E321" s="8" t="s">
        <v>1175</v>
      </c>
      <c r="F321" s="9" t="s">
        <v>1176</v>
      </c>
      <c r="G321" s="9" t="s">
        <v>1177</v>
      </c>
      <c r="H321" s="9" t="s">
        <v>1178</v>
      </c>
      <c r="I321" s="9" t="s">
        <v>66</v>
      </c>
      <c r="J321" s="10" t="s">
        <v>15</v>
      </c>
      <c r="K321" s="15" t="str">
        <f>VLOOKUP(J321,DADOS!$A$3:$B$105,2,FALSE)</f>
        <v>EE-GI-001-002</v>
      </c>
      <c r="L321" s="15" t="s">
        <v>341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1174</v>
      </c>
      <c r="X321" s="12" t="s">
        <v>14</v>
      </c>
      <c r="Y321" s="12" t="s">
        <v>14</v>
      </c>
      <c r="Z321" s="13" t="s">
        <v>342</v>
      </c>
    </row>
    <row r="322" spans="1:26" ht="19.899999999999999" customHeight="1" x14ac:dyDescent="0.25">
      <c r="A322" s="6">
        <v>45947</v>
      </c>
      <c r="B322" s="7" t="s">
        <v>1104</v>
      </c>
      <c r="C322" s="8" t="s">
        <v>1173</v>
      </c>
      <c r="D322" s="8" t="s">
        <v>331</v>
      </c>
      <c r="E322" s="8" t="s">
        <v>1175</v>
      </c>
      <c r="F322" s="9" t="s">
        <v>1179</v>
      </c>
      <c r="G322" s="9" t="s">
        <v>1177</v>
      </c>
      <c r="H322" s="9" t="s">
        <v>1178</v>
      </c>
      <c r="I322" s="9" t="s">
        <v>66</v>
      </c>
      <c r="J322" s="10" t="s">
        <v>15</v>
      </c>
      <c r="K322" s="15" t="str">
        <f>VLOOKUP(J322,DADOS!$A$3:$B$105,2,FALSE)</f>
        <v>EE-GI-001-002</v>
      </c>
      <c r="L322" s="15" t="s">
        <v>341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331</v>
      </c>
      <c r="X322" s="12" t="s">
        <v>14</v>
      </c>
      <c r="Y322" s="12" t="s">
        <v>14</v>
      </c>
      <c r="Z322" s="13" t="s">
        <v>342</v>
      </c>
    </row>
    <row r="323" spans="1:26" ht="19.899999999999999" customHeight="1" x14ac:dyDescent="0.25">
      <c r="A323" s="6">
        <v>45947</v>
      </c>
      <c r="B323" s="7" t="s">
        <v>1104</v>
      </c>
      <c r="C323" s="8" t="s">
        <v>1199</v>
      </c>
      <c r="D323" s="8" t="s">
        <v>1200</v>
      </c>
      <c r="E323" s="8" t="s">
        <v>1201</v>
      </c>
      <c r="F323" s="9" t="s">
        <v>1202</v>
      </c>
      <c r="G323" s="9" t="s">
        <v>1203</v>
      </c>
      <c r="H323" s="9" t="s">
        <v>1204</v>
      </c>
      <c r="I323" s="9" t="s">
        <v>66</v>
      </c>
      <c r="J323" s="10" t="s">
        <v>15</v>
      </c>
      <c r="K323" s="15" t="str">
        <f>VLOOKUP(J323,DADOS!$A$3:$B$105,2,FALSE)</f>
        <v>EE-GI-001-002</v>
      </c>
      <c r="L323" s="15" t="s">
        <v>341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0</v>
      </c>
      <c r="U323" s="17" t="b">
        <v>0</v>
      </c>
      <c r="V323" s="17" t="b">
        <v>1</v>
      </c>
      <c r="W323" s="11" t="s">
        <v>1200</v>
      </c>
      <c r="X323" s="12" t="s">
        <v>14</v>
      </c>
      <c r="Y323" s="12" t="s">
        <v>14</v>
      </c>
      <c r="Z323" s="13" t="s">
        <v>342</v>
      </c>
    </row>
    <row r="324" spans="1:26" ht="19.899999999999999" customHeight="1" x14ac:dyDescent="0.25">
      <c r="A324" s="6">
        <v>45947</v>
      </c>
      <c r="B324" s="7" t="s">
        <v>1104</v>
      </c>
      <c r="C324" s="8" t="s">
        <v>1199</v>
      </c>
      <c r="D324" s="8" t="s">
        <v>1205</v>
      </c>
      <c r="E324" s="8" t="s">
        <v>1201</v>
      </c>
      <c r="F324" s="9" t="s">
        <v>1206</v>
      </c>
      <c r="G324" s="9" t="s">
        <v>1203</v>
      </c>
      <c r="H324" s="9" t="s">
        <v>1204</v>
      </c>
      <c r="I324" s="9" t="s">
        <v>66</v>
      </c>
      <c r="J324" s="10" t="s">
        <v>15</v>
      </c>
      <c r="K324" s="15" t="str">
        <f>VLOOKUP(J324,DADOS!$A$3:$B$105,2,FALSE)</f>
        <v>EE-GI-001-002</v>
      </c>
      <c r="L324" s="15" t="s">
        <v>341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1205</v>
      </c>
      <c r="X324" s="12" t="s">
        <v>14</v>
      </c>
      <c r="Y324" s="12" t="s">
        <v>14</v>
      </c>
      <c r="Z324" s="13" t="s">
        <v>342</v>
      </c>
    </row>
    <row r="325" spans="1:26" ht="19.899999999999999" customHeight="1" x14ac:dyDescent="0.25">
      <c r="A325" s="6">
        <v>45947</v>
      </c>
      <c r="B325" s="7" t="s">
        <v>1104</v>
      </c>
      <c r="C325" s="8" t="s">
        <v>1173</v>
      </c>
      <c r="D325" s="8" t="s">
        <v>409</v>
      </c>
      <c r="E325" s="8" t="s">
        <v>1175</v>
      </c>
      <c r="F325" s="9" t="s">
        <v>1180</v>
      </c>
      <c r="G325" s="9" t="s">
        <v>1177</v>
      </c>
      <c r="H325" s="9" t="s">
        <v>1178</v>
      </c>
      <c r="I325" s="9" t="s">
        <v>66</v>
      </c>
      <c r="J325" s="10" t="s">
        <v>15</v>
      </c>
      <c r="K325" s="15" t="str">
        <f>VLOOKUP(J325,DADOS!$A$3:$B$105,2,FALSE)</f>
        <v>EE-GI-001-002</v>
      </c>
      <c r="L325" s="15" t="s">
        <v>341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1</v>
      </c>
      <c r="W325" s="11" t="s">
        <v>409</v>
      </c>
      <c r="X325" s="12" t="s">
        <v>14</v>
      </c>
      <c r="Y325" s="12" t="s">
        <v>14</v>
      </c>
      <c r="Z325" s="13" t="s">
        <v>342</v>
      </c>
    </row>
    <row r="326" spans="1:26" ht="19.899999999999999" customHeight="1" x14ac:dyDescent="0.25">
      <c r="A326" s="6">
        <v>45947</v>
      </c>
      <c r="B326" s="7" t="s">
        <v>367</v>
      </c>
      <c r="C326" s="8" t="s">
        <v>626</v>
      </c>
      <c r="D326" s="8" t="s">
        <v>1155</v>
      </c>
      <c r="E326" s="8" t="s">
        <v>1156</v>
      </c>
      <c r="F326" s="9" t="s">
        <v>1157</v>
      </c>
      <c r="G326" s="9" t="s">
        <v>328</v>
      </c>
      <c r="H326" s="9" t="s">
        <v>340</v>
      </c>
      <c r="I326" s="9" t="s">
        <v>66</v>
      </c>
      <c r="J326" s="10" t="s">
        <v>15</v>
      </c>
      <c r="K326" s="15" t="str">
        <f>VLOOKUP(J326,DADOS!$A$3:$B$105,2,FALSE)</f>
        <v>EE-GI-001-002</v>
      </c>
      <c r="L326" s="15" t="s">
        <v>341</v>
      </c>
      <c r="M326" s="18" t="b">
        <v>0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1155</v>
      </c>
      <c r="X326" s="12" t="s">
        <v>14</v>
      </c>
      <c r="Y326" s="12" t="s">
        <v>14</v>
      </c>
      <c r="Z326" s="13" t="s">
        <v>342</v>
      </c>
    </row>
    <row r="327" spans="1:26" ht="19.899999999999999" customHeight="1" x14ac:dyDescent="0.25">
      <c r="A327" s="6">
        <v>45947</v>
      </c>
      <c r="B327" s="7" t="s">
        <v>367</v>
      </c>
      <c r="C327" s="8" t="s">
        <v>626</v>
      </c>
      <c r="D327" s="8" t="s">
        <v>402</v>
      </c>
      <c r="E327" s="8" t="s">
        <v>1156</v>
      </c>
      <c r="F327" s="9" t="s">
        <v>631</v>
      </c>
      <c r="G327" s="9" t="s">
        <v>320</v>
      </c>
      <c r="H327" s="9" t="s">
        <v>340</v>
      </c>
      <c r="I327" s="9" t="s">
        <v>66</v>
      </c>
      <c r="J327" s="10" t="s">
        <v>15</v>
      </c>
      <c r="K327" s="15" t="str">
        <f>VLOOKUP(J327,DADOS!$A$3:$B$105,2,FALSE)</f>
        <v>EE-GI-001-002</v>
      </c>
      <c r="L327" s="15" t="s">
        <v>341</v>
      </c>
      <c r="M327" s="18" t="b">
        <v>0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1</v>
      </c>
      <c r="W327" s="11" t="s">
        <v>402</v>
      </c>
      <c r="X327" s="12" t="s">
        <v>14</v>
      </c>
      <c r="Y327" s="12" t="s">
        <v>14</v>
      </c>
      <c r="Z327" s="13" t="s">
        <v>342</v>
      </c>
    </row>
    <row r="328" spans="1:26" ht="19.899999999999999" customHeight="1" x14ac:dyDescent="0.25">
      <c r="A328" s="6">
        <v>45947</v>
      </c>
      <c r="B328" s="7" t="s">
        <v>1291</v>
      </c>
      <c r="C328" s="8" t="s">
        <v>1299</v>
      </c>
      <c r="D328" s="8" t="s">
        <v>331</v>
      </c>
      <c r="E328" s="8" t="s">
        <v>1292</v>
      </c>
      <c r="F328" s="9" t="s">
        <v>1293</v>
      </c>
      <c r="G328" s="9" t="s">
        <v>1294</v>
      </c>
      <c r="H328" s="9" t="s">
        <v>1295</v>
      </c>
      <c r="I328" s="9" t="s">
        <v>65</v>
      </c>
      <c r="J328" s="10" t="s">
        <v>255</v>
      </c>
      <c r="K328" s="15" t="str">
        <f>VLOOKUP(J328,DADOS!$A$3:$B$105,2,FALSE)</f>
        <v>EE-GI-001-074</v>
      </c>
      <c r="L328" s="15" t="s">
        <v>268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1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331</v>
      </c>
      <c r="X328" s="12" t="s">
        <v>14</v>
      </c>
      <c r="Y328" s="12" t="s">
        <v>14</v>
      </c>
      <c r="Z328" s="13" t="s">
        <v>270</v>
      </c>
    </row>
    <row r="329" spans="1:26" ht="19.899999999999999" customHeight="1" x14ac:dyDescent="0.25">
      <c r="A329" s="6">
        <v>45947</v>
      </c>
      <c r="B329" s="7" t="s">
        <v>1291</v>
      </c>
      <c r="C329" s="8" t="s">
        <v>1298</v>
      </c>
      <c r="D329" s="8" t="s">
        <v>264</v>
      </c>
      <c r="E329" s="8" t="s">
        <v>1292</v>
      </c>
      <c r="F329" s="9" t="s">
        <v>1297</v>
      </c>
      <c r="G329" s="9" t="s">
        <v>1296</v>
      </c>
      <c r="H329" s="9" t="s">
        <v>1295</v>
      </c>
      <c r="I329" s="9" t="s">
        <v>65</v>
      </c>
      <c r="J329" s="10" t="s">
        <v>255</v>
      </c>
      <c r="K329" s="15" t="str">
        <f>VLOOKUP(J329,DADOS!$A$3:$B$105,2,FALSE)</f>
        <v>EE-GI-001-074</v>
      </c>
      <c r="L329" s="15" t="s">
        <v>268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1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264</v>
      </c>
      <c r="X329" s="12" t="s">
        <v>14</v>
      </c>
      <c r="Y329" s="12" t="s">
        <v>14</v>
      </c>
      <c r="Z329" s="13" t="s">
        <v>270</v>
      </c>
    </row>
    <row r="330" spans="1:26" ht="19.149999999999999" customHeight="1" x14ac:dyDescent="0.25">
      <c r="A330" s="6">
        <v>45947</v>
      </c>
      <c r="B330" s="7" t="s">
        <v>262</v>
      </c>
      <c r="C330" s="8" t="s">
        <v>1940</v>
      </c>
      <c r="D330" s="8" t="s">
        <v>331</v>
      </c>
      <c r="E330" s="8" t="s">
        <v>1941</v>
      </c>
      <c r="F330" s="9" t="s">
        <v>1942</v>
      </c>
      <c r="G330" s="9" t="s">
        <v>1943</v>
      </c>
      <c r="H330" s="9" t="s">
        <v>1944</v>
      </c>
      <c r="I330" s="9" t="s">
        <v>69</v>
      </c>
      <c r="J330" s="10" t="s">
        <v>15</v>
      </c>
      <c r="K330" s="15" t="str">
        <f>VLOOKUP(J330,DADOS!$A$3:$B$105,2,FALSE)</f>
        <v>EE-GI-001-002</v>
      </c>
      <c r="L330" s="15" t="s">
        <v>853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1</v>
      </c>
      <c r="W330" s="11" t="s">
        <v>331</v>
      </c>
      <c r="X330" s="12" t="s">
        <v>14</v>
      </c>
      <c r="Y330" s="12" t="s">
        <v>14</v>
      </c>
      <c r="Z330" s="13" t="s">
        <v>854</v>
      </c>
    </row>
    <row r="331" spans="1:26" ht="19.899999999999999" customHeight="1" x14ac:dyDescent="0.25">
      <c r="A331" s="6">
        <v>45947</v>
      </c>
      <c r="B331" s="7" t="s">
        <v>262</v>
      </c>
      <c r="C331" s="8" t="s">
        <v>1945</v>
      </c>
      <c r="D331" s="8" t="s">
        <v>264</v>
      </c>
      <c r="E331" s="8" t="s">
        <v>1941</v>
      </c>
      <c r="F331" s="9" t="s">
        <v>1946</v>
      </c>
      <c r="G331" s="9" t="s">
        <v>1947</v>
      </c>
      <c r="H331" s="9" t="s">
        <v>1948</v>
      </c>
      <c r="I331" s="9" t="s">
        <v>69</v>
      </c>
      <c r="J331" s="10" t="s">
        <v>15</v>
      </c>
      <c r="K331" s="15" t="str">
        <f>VLOOKUP(J331,DADOS!$A$3:$B$105,2,FALSE)</f>
        <v>EE-GI-001-002</v>
      </c>
      <c r="L331" s="15" t="s">
        <v>853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1</v>
      </c>
      <c r="W331" s="11" t="s">
        <v>264</v>
      </c>
      <c r="X331" s="12" t="s">
        <v>14</v>
      </c>
      <c r="Y331" s="12" t="s">
        <v>14</v>
      </c>
      <c r="Z331" s="13" t="s">
        <v>854</v>
      </c>
    </row>
    <row r="332" spans="1:26" ht="19.899999999999999" customHeight="1" x14ac:dyDescent="0.25">
      <c r="A332" s="6">
        <v>45947</v>
      </c>
      <c r="B332" s="7" t="s">
        <v>262</v>
      </c>
      <c r="C332" s="8" t="s">
        <v>1945</v>
      </c>
      <c r="D332" s="8" t="s">
        <v>273</v>
      </c>
      <c r="E332" s="8" t="s">
        <v>1941</v>
      </c>
      <c r="F332" s="9" t="s">
        <v>1949</v>
      </c>
      <c r="G332" s="9" t="s">
        <v>1947</v>
      </c>
      <c r="H332" s="9" t="s">
        <v>1948</v>
      </c>
      <c r="I332" s="9" t="s">
        <v>69</v>
      </c>
      <c r="J332" s="10" t="s">
        <v>15</v>
      </c>
      <c r="K332" s="15" t="str">
        <f>VLOOKUP(J332,DADOS!$A$3:$B$105,2,FALSE)</f>
        <v>EE-GI-001-002</v>
      </c>
      <c r="L332" s="15" t="s">
        <v>853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1</v>
      </c>
      <c r="W332" s="11" t="s">
        <v>273</v>
      </c>
      <c r="X332" s="12" t="s">
        <v>14</v>
      </c>
      <c r="Y332" s="12" t="s">
        <v>14</v>
      </c>
      <c r="Z332" s="13" t="s">
        <v>854</v>
      </c>
    </row>
    <row r="333" spans="1:26" ht="19.899999999999999" customHeight="1" x14ac:dyDescent="0.25">
      <c r="A333" s="6">
        <v>45947</v>
      </c>
      <c r="B333" s="7" t="s">
        <v>967</v>
      </c>
      <c r="C333" s="8" t="s">
        <v>1963</v>
      </c>
      <c r="D333" s="8" t="s">
        <v>331</v>
      </c>
      <c r="E333" s="8" t="s">
        <v>1964</v>
      </c>
      <c r="F333" s="9" t="s">
        <v>1965</v>
      </c>
      <c r="G333" s="9" t="s">
        <v>14</v>
      </c>
      <c r="H333" s="9" t="s">
        <v>1966</v>
      </c>
      <c r="I333" s="9" t="s">
        <v>14</v>
      </c>
      <c r="J333" s="10" t="s">
        <v>14</v>
      </c>
      <c r="K333" s="15" t="e">
        <f>VLOOKUP(J333,DADOS!$A$3:$B$105,2,FALSE)</f>
        <v>#N/A</v>
      </c>
      <c r="L333" s="15" t="s">
        <v>972</v>
      </c>
      <c r="M333" s="18" t="b">
        <v>1</v>
      </c>
      <c r="N333" s="17" t="b">
        <v>1</v>
      </c>
      <c r="O333" s="17" t="b">
        <v>0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331</v>
      </c>
      <c r="X333" s="12" t="s">
        <v>14</v>
      </c>
      <c r="Y333" s="12" t="s">
        <v>14</v>
      </c>
      <c r="Z333" s="13" t="s">
        <v>854</v>
      </c>
    </row>
    <row r="334" spans="1:26" ht="19.899999999999999" customHeight="1" x14ac:dyDescent="0.25">
      <c r="A334" s="6">
        <v>45947</v>
      </c>
      <c r="B334" s="7" t="s">
        <v>967</v>
      </c>
      <c r="C334" s="8" t="s">
        <v>1967</v>
      </c>
      <c r="D334" s="8" t="s">
        <v>331</v>
      </c>
      <c r="E334" s="8" t="s">
        <v>1964</v>
      </c>
      <c r="F334" s="9" t="s">
        <v>1968</v>
      </c>
      <c r="G334" s="9" t="s">
        <v>14</v>
      </c>
      <c r="H334" s="9" t="s">
        <v>1966</v>
      </c>
      <c r="I334" s="9" t="s">
        <v>14</v>
      </c>
      <c r="J334" s="10" t="s">
        <v>14</v>
      </c>
      <c r="K334" s="15" t="e">
        <f>VLOOKUP(J334,DADOS!$A$3:$B$105,2,FALSE)</f>
        <v>#N/A</v>
      </c>
      <c r="L334" s="15" t="s">
        <v>972</v>
      </c>
      <c r="M334" s="18" t="b">
        <v>1</v>
      </c>
      <c r="N334" s="17" t="b">
        <v>1</v>
      </c>
      <c r="O334" s="17" t="b">
        <v>0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331</v>
      </c>
      <c r="X334" s="12" t="s">
        <v>14</v>
      </c>
      <c r="Y334" s="12" t="s">
        <v>14</v>
      </c>
      <c r="Z334" s="13" t="s">
        <v>854</v>
      </c>
    </row>
    <row r="335" spans="1:26" ht="19.899999999999999" customHeight="1" x14ac:dyDescent="0.25">
      <c r="A335" s="6">
        <v>45947</v>
      </c>
      <c r="B335" s="7" t="s">
        <v>967</v>
      </c>
      <c r="C335" s="8" t="s">
        <v>1971</v>
      </c>
      <c r="D335" s="8" t="s">
        <v>331</v>
      </c>
      <c r="E335" s="8" t="s">
        <v>1964</v>
      </c>
      <c r="F335" s="9" t="s">
        <v>1969</v>
      </c>
      <c r="G335" s="9" t="s">
        <v>14</v>
      </c>
      <c r="H335" s="9" t="s">
        <v>1966</v>
      </c>
      <c r="I335" s="9" t="s">
        <v>14</v>
      </c>
      <c r="J335" s="10" t="s">
        <v>14</v>
      </c>
      <c r="K335" s="15" t="e">
        <f>VLOOKUP(J335,DADOS!$A$3:$B$105,2,FALSE)</f>
        <v>#N/A</v>
      </c>
      <c r="L335" s="15" t="s">
        <v>972</v>
      </c>
      <c r="M335" s="18" t="b">
        <v>1</v>
      </c>
      <c r="N335" s="17" t="b">
        <v>1</v>
      </c>
      <c r="O335" s="17" t="b">
        <v>0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331</v>
      </c>
      <c r="X335" s="12" t="s">
        <v>14</v>
      </c>
      <c r="Y335" s="12" t="s">
        <v>14</v>
      </c>
      <c r="Z335" s="13" t="s">
        <v>854</v>
      </c>
    </row>
    <row r="336" spans="1:26" ht="19.5" customHeight="1" x14ac:dyDescent="0.25">
      <c r="A336" s="6">
        <v>45947</v>
      </c>
      <c r="B336" s="7" t="s">
        <v>967</v>
      </c>
      <c r="C336" s="8" t="s">
        <v>1972</v>
      </c>
      <c r="D336" s="8" t="s">
        <v>331</v>
      </c>
      <c r="E336" s="8" t="s">
        <v>1964</v>
      </c>
      <c r="F336" s="9" t="s">
        <v>1970</v>
      </c>
      <c r="G336" s="9" t="s">
        <v>14</v>
      </c>
      <c r="H336" s="9" t="s">
        <v>1966</v>
      </c>
      <c r="I336" s="9" t="s">
        <v>14</v>
      </c>
      <c r="J336" s="10" t="s">
        <v>14</v>
      </c>
      <c r="K336" s="15" t="e">
        <f>VLOOKUP(J336,DADOS!$A$3:$B$105,2,FALSE)</f>
        <v>#N/A</v>
      </c>
      <c r="L336" s="15" t="s">
        <v>972</v>
      </c>
      <c r="M336" s="18" t="b">
        <v>1</v>
      </c>
      <c r="N336" s="17" t="b">
        <v>1</v>
      </c>
      <c r="O336" s="17" t="b">
        <v>0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331</v>
      </c>
      <c r="X336" s="12" t="s">
        <v>14</v>
      </c>
      <c r="Y336" s="12" t="s">
        <v>14</v>
      </c>
      <c r="Z336" s="13" t="s">
        <v>854</v>
      </c>
    </row>
    <row r="337" spans="1:26" ht="27.75" customHeight="1" x14ac:dyDescent="0.25">
      <c r="A337" s="6">
        <v>45947</v>
      </c>
      <c r="B337" s="7" t="s">
        <v>262</v>
      </c>
      <c r="C337" s="8" t="s">
        <v>2021</v>
      </c>
      <c r="D337" s="8" t="s">
        <v>264</v>
      </c>
      <c r="E337" s="8" t="s">
        <v>1556</v>
      </c>
      <c r="F337" s="9" t="s">
        <v>2022</v>
      </c>
      <c r="G337" s="9" t="s">
        <v>2023</v>
      </c>
      <c r="H337" s="9" t="s">
        <v>2024</v>
      </c>
      <c r="I337" s="9" t="s">
        <v>69</v>
      </c>
      <c r="J337" s="10" t="s">
        <v>17</v>
      </c>
      <c r="K337" s="15" t="str">
        <f>VLOOKUP(J337,DADOS!$A$3:$B$105,2,FALSE)</f>
        <v>EE-GI-001-001</v>
      </c>
      <c r="L337" s="15" t="s">
        <v>268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1</v>
      </c>
      <c r="U337" s="17" t="b">
        <v>1</v>
      </c>
      <c r="V337" s="17" t="b">
        <v>1</v>
      </c>
      <c r="W337" s="11" t="s">
        <v>264</v>
      </c>
      <c r="X337" s="12" t="s">
        <v>14</v>
      </c>
      <c r="Y337" s="12" t="s">
        <v>14</v>
      </c>
      <c r="Z337" s="13" t="s">
        <v>854</v>
      </c>
    </row>
    <row r="338" spans="1:26" ht="27.75" customHeight="1" x14ac:dyDescent="0.25">
      <c r="A338" s="6">
        <v>45950</v>
      </c>
      <c r="B338" s="7" t="s">
        <v>334</v>
      </c>
      <c r="C338" s="8" t="s">
        <v>361</v>
      </c>
      <c r="D338" s="8" t="s">
        <v>292</v>
      </c>
      <c r="E338" s="8" t="s">
        <v>1162</v>
      </c>
      <c r="F338" s="9" t="s">
        <v>362</v>
      </c>
      <c r="G338" s="9" t="s">
        <v>1068</v>
      </c>
      <c r="H338" s="9" t="s">
        <v>340</v>
      </c>
      <c r="I338" s="9" t="s">
        <v>66</v>
      </c>
      <c r="J338" s="10" t="s">
        <v>186</v>
      </c>
      <c r="K338" s="15" t="str">
        <f>VLOOKUP(J338,DADOS!$A$3:$B$105,2,FALSE)</f>
        <v>EE-GI-001-008</v>
      </c>
      <c r="L338" s="15" t="s">
        <v>341</v>
      </c>
      <c r="M338" s="18" t="b">
        <v>0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292</v>
      </c>
      <c r="X338" s="12" t="s">
        <v>14</v>
      </c>
      <c r="Y338" s="12" t="s">
        <v>14</v>
      </c>
      <c r="Z338" s="13" t="s">
        <v>342</v>
      </c>
    </row>
    <row r="339" spans="1:26" ht="19.899999999999999" customHeight="1" x14ac:dyDescent="0.25">
      <c r="A339" s="6">
        <v>45950</v>
      </c>
      <c r="B339" s="7" t="s">
        <v>334</v>
      </c>
      <c r="C339" s="8" t="s">
        <v>361</v>
      </c>
      <c r="D339" s="8" t="s">
        <v>1163</v>
      </c>
      <c r="E339" s="8" t="s">
        <v>1162</v>
      </c>
      <c r="F339" s="9" t="s">
        <v>1164</v>
      </c>
      <c r="G339" s="9" t="s">
        <v>1068</v>
      </c>
      <c r="H339" s="9" t="s">
        <v>340</v>
      </c>
      <c r="I339" s="9" t="s">
        <v>66</v>
      </c>
      <c r="J339" s="10" t="s">
        <v>186</v>
      </c>
      <c r="K339" s="15" t="str">
        <f>VLOOKUP(J339,DADOS!$A$3:$B$105,2,FALSE)</f>
        <v>EE-GI-001-008</v>
      </c>
      <c r="L339" s="15" t="s">
        <v>341</v>
      </c>
      <c r="M339" s="18" t="b">
        <v>0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1163</v>
      </c>
      <c r="X339" s="12" t="s">
        <v>14</v>
      </c>
      <c r="Y339" s="12" t="s">
        <v>14</v>
      </c>
      <c r="Z339" s="13" t="s">
        <v>342</v>
      </c>
    </row>
    <row r="340" spans="1:26" ht="19.899999999999999" customHeight="1" x14ac:dyDescent="0.25">
      <c r="A340" s="6">
        <v>45950</v>
      </c>
      <c r="B340" s="7" t="s">
        <v>334</v>
      </c>
      <c r="C340" s="8" t="s">
        <v>361</v>
      </c>
      <c r="D340" s="8" t="s">
        <v>264</v>
      </c>
      <c r="E340" s="8" t="s">
        <v>1162</v>
      </c>
      <c r="F340" s="9" t="s">
        <v>1165</v>
      </c>
      <c r="G340" s="9" t="s">
        <v>1068</v>
      </c>
      <c r="H340" s="9" t="s">
        <v>340</v>
      </c>
      <c r="I340" s="9" t="s">
        <v>66</v>
      </c>
      <c r="J340" s="10" t="s">
        <v>186</v>
      </c>
      <c r="K340" s="15" t="str">
        <f>VLOOKUP(J340,DADOS!$A$3:$B$105,2,FALSE)</f>
        <v>EE-GI-001-008</v>
      </c>
      <c r="L340" s="15" t="s">
        <v>341</v>
      </c>
      <c r="M340" s="18" t="b">
        <v>0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264</v>
      </c>
      <c r="X340" s="12" t="s">
        <v>14</v>
      </c>
      <c r="Y340" s="12" t="s">
        <v>14</v>
      </c>
      <c r="Z340" s="13" t="s">
        <v>342</v>
      </c>
    </row>
    <row r="341" spans="1:26" ht="19.899999999999999" customHeight="1" x14ac:dyDescent="0.25">
      <c r="A341" s="6">
        <v>45950</v>
      </c>
      <c r="B341" s="7" t="s">
        <v>334</v>
      </c>
      <c r="C341" s="8" t="s">
        <v>361</v>
      </c>
      <c r="D341" s="8" t="s">
        <v>273</v>
      </c>
      <c r="E341" s="8" t="s">
        <v>1162</v>
      </c>
      <c r="F341" s="9" t="s">
        <v>1166</v>
      </c>
      <c r="G341" s="9" t="s">
        <v>1068</v>
      </c>
      <c r="H341" s="9" t="s">
        <v>340</v>
      </c>
      <c r="I341" s="9" t="s">
        <v>69</v>
      </c>
      <c r="J341" s="10" t="s">
        <v>186</v>
      </c>
      <c r="K341" s="15" t="str">
        <f>VLOOKUP(J341,DADOS!$A$3:$B$105,2,FALSE)</f>
        <v>EE-GI-001-008</v>
      </c>
      <c r="L341" s="15" t="s">
        <v>636</v>
      </c>
      <c r="M341" s="18" t="b">
        <v>0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273</v>
      </c>
      <c r="X341" s="12" t="s">
        <v>14</v>
      </c>
      <c r="Y341" s="12" t="s">
        <v>14</v>
      </c>
      <c r="Z341" s="13" t="s">
        <v>342</v>
      </c>
    </row>
    <row r="342" spans="1:26" ht="19.899999999999999" customHeight="1" x14ac:dyDescent="0.25">
      <c r="A342" s="6">
        <v>45950</v>
      </c>
      <c r="B342" s="7" t="s">
        <v>1181</v>
      </c>
      <c r="C342" s="8" t="s">
        <v>1182</v>
      </c>
      <c r="D342" s="8" t="s">
        <v>273</v>
      </c>
      <c r="E342" s="8" t="s">
        <v>1183</v>
      </c>
      <c r="F342" s="9" t="s">
        <v>1184</v>
      </c>
      <c r="G342" s="9" t="s">
        <v>1185</v>
      </c>
      <c r="H342" s="9" t="s">
        <v>1194</v>
      </c>
      <c r="I342" s="9" t="s">
        <v>69</v>
      </c>
      <c r="J342" s="10" t="s">
        <v>250</v>
      </c>
      <c r="K342" s="15" t="str">
        <f>VLOOKUP(J342,DADOS!$A$3:$B$105,2,FALSE)</f>
        <v>EE-GI-001-028</v>
      </c>
      <c r="L342" s="15" t="s">
        <v>636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273</v>
      </c>
      <c r="X342" s="12" t="s">
        <v>14</v>
      </c>
      <c r="Y342" s="12" t="s">
        <v>14</v>
      </c>
      <c r="Z342" s="13" t="s">
        <v>342</v>
      </c>
    </row>
    <row r="343" spans="1:26" ht="19.899999999999999" customHeight="1" x14ac:dyDescent="0.25">
      <c r="A343" s="6">
        <v>45950</v>
      </c>
      <c r="B343" s="7" t="s">
        <v>1181</v>
      </c>
      <c r="C343" s="8" t="s">
        <v>1186</v>
      </c>
      <c r="D343" s="8" t="s">
        <v>273</v>
      </c>
      <c r="E343" s="8" t="s">
        <v>1183</v>
      </c>
      <c r="F343" s="9" t="s">
        <v>1187</v>
      </c>
      <c r="G343" s="9" t="s">
        <v>1188</v>
      </c>
      <c r="H343" s="9" t="s">
        <v>1195</v>
      </c>
      <c r="I343" s="9" t="s">
        <v>69</v>
      </c>
      <c r="J343" s="10" t="s">
        <v>250</v>
      </c>
      <c r="K343" s="15" t="str">
        <f>VLOOKUP(J343,DADOS!$A$3:$B$105,2,FALSE)</f>
        <v>EE-GI-001-028</v>
      </c>
      <c r="L343" s="15" t="s">
        <v>636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273</v>
      </c>
      <c r="X343" s="12" t="s">
        <v>14</v>
      </c>
      <c r="Y343" s="12" t="s">
        <v>14</v>
      </c>
      <c r="Z343" s="13" t="s">
        <v>342</v>
      </c>
    </row>
    <row r="344" spans="1:26" ht="19.899999999999999" customHeight="1" x14ac:dyDescent="0.25">
      <c r="A344" s="6">
        <v>45950</v>
      </c>
      <c r="B344" s="7" t="s">
        <v>1181</v>
      </c>
      <c r="C344" s="8" t="s">
        <v>1189</v>
      </c>
      <c r="D344" s="8" t="s">
        <v>264</v>
      </c>
      <c r="E344" s="8" t="s">
        <v>1183</v>
      </c>
      <c r="F344" s="9" t="s">
        <v>1190</v>
      </c>
      <c r="G344" s="9" t="s">
        <v>1188</v>
      </c>
      <c r="H344" s="9" t="s">
        <v>1196</v>
      </c>
      <c r="I344" s="9" t="s">
        <v>69</v>
      </c>
      <c r="J344" s="10" t="s">
        <v>250</v>
      </c>
      <c r="K344" s="15" t="str">
        <f>VLOOKUP(J344,DADOS!$A$3:$B$105,2,FALSE)</f>
        <v>EE-GI-001-028</v>
      </c>
      <c r="L344" s="15" t="s">
        <v>636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264</v>
      </c>
      <c r="X344" s="12" t="s">
        <v>14</v>
      </c>
      <c r="Y344" s="12" t="s">
        <v>14</v>
      </c>
      <c r="Z344" s="13" t="s">
        <v>342</v>
      </c>
    </row>
    <row r="345" spans="1:26" ht="19.899999999999999" customHeight="1" x14ac:dyDescent="0.25">
      <c r="A345" s="6">
        <v>45950</v>
      </c>
      <c r="B345" s="7" t="s">
        <v>1191</v>
      </c>
      <c r="C345" s="8" t="s">
        <v>1192</v>
      </c>
      <c r="D345" s="8" t="s">
        <v>264</v>
      </c>
      <c r="E345" s="8" t="s">
        <v>1193</v>
      </c>
      <c r="F345" s="9" t="s">
        <v>1197</v>
      </c>
      <c r="G345" s="9" t="s">
        <v>1198</v>
      </c>
      <c r="H345" s="9" t="s">
        <v>1198</v>
      </c>
      <c r="I345" s="9" t="s">
        <v>14</v>
      </c>
      <c r="J345" s="10" t="s">
        <v>14</v>
      </c>
      <c r="K345" s="15" t="e">
        <f>VLOOKUP(J345,DADOS!$A$3:$B$105,2,FALSE)</f>
        <v>#N/A</v>
      </c>
      <c r="L345" s="15" t="s">
        <v>299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264</v>
      </c>
      <c r="X345" s="12" t="s">
        <v>14</v>
      </c>
      <c r="Y345" s="12" t="s">
        <v>14</v>
      </c>
      <c r="Z345" s="13" t="s">
        <v>270</v>
      </c>
    </row>
    <row r="346" spans="1:26" ht="19.899999999999999" customHeight="1" x14ac:dyDescent="0.25">
      <c r="A346" s="6">
        <v>45950</v>
      </c>
      <c r="B346" s="7" t="s">
        <v>262</v>
      </c>
      <c r="C346" s="8" t="s">
        <v>1207</v>
      </c>
      <c r="D346" s="8" t="s">
        <v>408</v>
      </c>
      <c r="E346" s="8" t="s">
        <v>1209</v>
      </c>
      <c r="F346" s="9" t="s">
        <v>1210</v>
      </c>
      <c r="G346" s="9" t="s">
        <v>1212</v>
      </c>
      <c r="H346" s="34"/>
      <c r="I346" s="9" t="s">
        <v>72</v>
      </c>
      <c r="J346" s="10" t="s">
        <v>186</v>
      </c>
      <c r="K346" s="15" t="str">
        <f>VLOOKUP(J346,DADOS!$A$3:$B$105,2,FALSE)</f>
        <v>EE-GI-001-008</v>
      </c>
      <c r="L346" s="15" t="s">
        <v>268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1</v>
      </c>
      <c r="U346" s="17" t="b">
        <v>1</v>
      </c>
      <c r="V346" s="17" t="b">
        <v>1</v>
      </c>
      <c r="W346" s="11" t="s">
        <v>408</v>
      </c>
      <c r="X346" s="12" t="s">
        <v>14</v>
      </c>
      <c r="Y346" s="12" t="s">
        <v>14</v>
      </c>
      <c r="Z346" s="13" t="s">
        <v>270</v>
      </c>
    </row>
    <row r="347" spans="1:26" ht="19.899999999999999" customHeight="1" x14ac:dyDescent="0.25">
      <c r="A347" s="6">
        <v>45950</v>
      </c>
      <c r="B347" s="7" t="s">
        <v>334</v>
      </c>
      <c r="C347" s="8" t="s">
        <v>1264</v>
      </c>
      <c r="D347" s="8" t="s">
        <v>1265</v>
      </c>
      <c r="E347" s="8" t="s">
        <v>1162</v>
      </c>
      <c r="F347" s="9" t="s">
        <v>845</v>
      </c>
      <c r="G347" s="9" t="s">
        <v>328</v>
      </c>
      <c r="H347" s="9" t="s">
        <v>340</v>
      </c>
      <c r="I347" s="9" t="s">
        <v>66</v>
      </c>
      <c r="J347" s="10" t="s">
        <v>15</v>
      </c>
      <c r="K347" s="15" t="str">
        <f>VLOOKUP(J347,DADOS!$A$3:$B$105,2,FALSE)</f>
        <v>EE-GI-001-002</v>
      </c>
      <c r="L347" s="15" t="s">
        <v>636</v>
      </c>
      <c r="M347" s="18" t="b">
        <v>0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1265</v>
      </c>
      <c r="X347" s="12" t="s">
        <v>14</v>
      </c>
      <c r="Y347" s="12" t="s">
        <v>14</v>
      </c>
      <c r="Z347" s="13" t="s">
        <v>342</v>
      </c>
    </row>
    <row r="348" spans="1:26" ht="19.899999999999999" customHeight="1" x14ac:dyDescent="0.25">
      <c r="A348" s="6">
        <v>45950</v>
      </c>
      <c r="B348" s="7" t="s">
        <v>334</v>
      </c>
      <c r="C348" s="8" t="s">
        <v>1147</v>
      </c>
      <c r="D348" s="8" t="s">
        <v>331</v>
      </c>
      <c r="E348" s="8" t="s">
        <v>1262</v>
      </c>
      <c r="F348" s="9" t="s">
        <v>1263</v>
      </c>
      <c r="G348" s="9" t="s">
        <v>320</v>
      </c>
      <c r="H348" s="9" t="s">
        <v>340</v>
      </c>
      <c r="I348" s="9" t="s">
        <v>68</v>
      </c>
      <c r="J348" s="10" t="s">
        <v>15</v>
      </c>
      <c r="K348" s="15" t="str">
        <f>VLOOKUP(J348,DADOS!$A$3:$B$105,2,FALSE)</f>
        <v>EE-GI-001-002</v>
      </c>
      <c r="L348" s="15" t="s">
        <v>636</v>
      </c>
      <c r="M348" s="18" t="b">
        <v>0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331</v>
      </c>
      <c r="X348" s="12" t="s">
        <v>14</v>
      </c>
      <c r="Y348" s="12" t="s">
        <v>14</v>
      </c>
      <c r="Z348" s="13" t="s">
        <v>342</v>
      </c>
    </row>
    <row r="349" spans="1:26" ht="19.899999999999999" customHeight="1" x14ac:dyDescent="0.25">
      <c r="A349" s="6">
        <v>45950</v>
      </c>
      <c r="B349" s="7" t="s">
        <v>262</v>
      </c>
      <c r="C349" s="8" t="s">
        <v>1208</v>
      </c>
      <c r="D349" s="8" t="s">
        <v>408</v>
      </c>
      <c r="E349" s="8" t="s">
        <v>1209</v>
      </c>
      <c r="F349" s="9" t="s">
        <v>1211</v>
      </c>
      <c r="G349" s="9" t="s">
        <v>1212</v>
      </c>
      <c r="H349" s="9" t="s">
        <v>1271</v>
      </c>
      <c r="I349" s="9" t="s">
        <v>72</v>
      </c>
      <c r="J349" s="10" t="s">
        <v>186</v>
      </c>
      <c r="K349" s="15" t="str">
        <f>VLOOKUP(J349,DADOS!$A$3:$B$105,2,FALSE)</f>
        <v>EE-GI-001-008</v>
      </c>
      <c r="L349" s="15" t="s">
        <v>268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408</v>
      </c>
      <c r="X349" s="12" t="s">
        <v>14</v>
      </c>
      <c r="Y349" s="12" t="s">
        <v>14</v>
      </c>
      <c r="Z349" s="13" t="s">
        <v>270</v>
      </c>
    </row>
    <row r="350" spans="1:26" ht="19.899999999999999" customHeight="1" x14ac:dyDescent="0.25">
      <c r="A350" s="6">
        <v>45950</v>
      </c>
      <c r="B350" s="7" t="s">
        <v>262</v>
      </c>
      <c r="C350" s="8" t="s">
        <v>1207</v>
      </c>
      <c r="D350" s="8" t="s">
        <v>408</v>
      </c>
      <c r="E350" s="8" t="s">
        <v>1209</v>
      </c>
      <c r="F350" s="9" t="s">
        <v>1210</v>
      </c>
      <c r="G350" s="9" t="s">
        <v>1212</v>
      </c>
      <c r="H350" s="9" t="s">
        <v>1270</v>
      </c>
      <c r="I350" s="9" t="s">
        <v>72</v>
      </c>
      <c r="J350" s="10" t="s">
        <v>186</v>
      </c>
      <c r="K350" s="15" t="str">
        <f>VLOOKUP(J350,DADOS!$A$3:$B$105,2,FALSE)</f>
        <v>EE-GI-001-008</v>
      </c>
      <c r="L350" s="15" t="s">
        <v>268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1</v>
      </c>
      <c r="U350" s="17" t="b">
        <v>1</v>
      </c>
      <c r="V350" s="17" t="b">
        <v>1</v>
      </c>
      <c r="W350" s="11" t="s">
        <v>408</v>
      </c>
      <c r="X350" s="12" t="s">
        <v>14</v>
      </c>
      <c r="Y350" s="12" t="s">
        <v>14</v>
      </c>
      <c r="Z350" s="13" t="s">
        <v>270</v>
      </c>
    </row>
    <row r="351" spans="1:26" ht="19.899999999999999" customHeight="1" x14ac:dyDescent="0.25">
      <c r="A351" s="6">
        <v>45950</v>
      </c>
      <c r="B351" s="7" t="s">
        <v>958</v>
      </c>
      <c r="C351" s="8" t="s">
        <v>1275</v>
      </c>
      <c r="D351" s="8" t="s">
        <v>764</v>
      </c>
      <c r="E351" s="8" t="s">
        <v>1282</v>
      </c>
      <c r="F351" s="9" t="s">
        <v>1283</v>
      </c>
      <c r="G351" s="9" t="s">
        <v>652</v>
      </c>
      <c r="H351" s="9" t="s">
        <v>1284</v>
      </c>
      <c r="I351" s="9" t="s">
        <v>66</v>
      </c>
      <c r="J351" s="10" t="s">
        <v>174</v>
      </c>
      <c r="K351" s="15" t="str">
        <f>VLOOKUP(J351,DADOS!$A$3:$B$105,2,FALSE)</f>
        <v>EE-GI-001-007</v>
      </c>
      <c r="L351" s="15" t="s">
        <v>341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764</v>
      </c>
      <c r="X351" s="12" t="s">
        <v>14</v>
      </c>
      <c r="Y351" s="12" t="s">
        <v>14</v>
      </c>
      <c r="Z351" s="13" t="s">
        <v>342</v>
      </c>
    </row>
    <row r="352" spans="1:26" ht="19.899999999999999" customHeight="1" x14ac:dyDescent="0.25">
      <c r="A352" s="6">
        <v>45950</v>
      </c>
      <c r="B352" s="7" t="s">
        <v>958</v>
      </c>
      <c r="C352" s="8" t="s">
        <v>1275</v>
      </c>
      <c r="D352" s="8" t="s">
        <v>264</v>
      </c>
      <c r="E352" s="8" t="s">
        <v>1277</v>
      </c>
      <c r="F352" s="9" t="s">
        <v>1281</v>
      </c>
      <c r="G352" s="9" t="s">
        <v>1279</v>
      </c>
      <c r="H352" s="9" t="s">
        <v>340</v>
      </c>
      <c r="I352" s="9" t="s">
        <v>66</v>
      </c>
      <c r="J352" s="10" t="s">
        <v>174</v>
      </c>
      <c r="K352" s="15" t="str">
        <f>VLOOKUP(J352,DADOS!$A$3:$B$105,2,FALSE)</f>
        <v>EE-GI-001-007</v>
      </c>
      <c r="L352" s="15" t="s">
        <v>341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264</v>
      </c>
      <c r="X352" s="12" t="s">
        <v>14</v>
      </c>
      <c r="Y352" s="12" t="s">
        <v>14</v>
      </c>
      <c r="Z352" s="13" t="s">
        <v>342</v>
      </c>
    </row>
    <row r="353" spans="1:26" ht="19.899999999999999" customHeight="1" x14ac:dyDescent="0.25">
      <c r="A353" s="6">
        <v>45950</v>
      </c>
      <c r="B353" s="7" t="s">
        <v>334</v>
      </c>
      <c r="C353" s="8" t="s">
        <v>1288</v>
      </c>
      <c r="D353" s="8" t="s">
        <v>331</v>
      </c>
      <c r="E353" s="8" t="s">
        <v>1162</v>
      </c>
      <c r="F353" s="9" t="s">
        <v>1289</v>
      </c>
      <c r="G353" s="9" t="s">
        <v>1290</v>
      </c>
      <c r="H353" s="9" t="s">
        <v>340</v>
      </c>
      <c r="I353" s="9" t="s">
        <v>69</v>
      </c>
      <c r="J353" s="10" t="s">
        <v>176</v>
      </c>
      <c r="K353" s="15" t="str">
        <f>VLOOKUP(J353,DADOS!$A$3:$B$105,2,FALSE)</f>
        <v>EE-GI-001-011</v>
      </c>
      <c r="L353" s="15" t="s">
        <v>341</v>
      </c>
      <c r="M353" s="18" t="b">
        <v>0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331</v>
      </c>
      <c r="X353" s="12" t="s">
        <v>14</v>
      </c>
      <c r="Y353" s="12" t="s">
        <v>14</v>
      </c>
      <c r="Z353" s="13" t="s">
        <v>342</v>
      </c>
    </row>
    <row r="354" spans="1:26" ht="19.899999999999999" customHeight="1" x14ac:dyDescent="0.25">
      <c r="A354" s="6">
        <v>45950</v>
      </c>
      <c r="B354" s="7" t="s">
        <v>334</v>
      </c>
      <c r="C354" s="8" t="s">
        <v>1285</v>
      </c>
      <c r="D354" s="8" t="s">
        <v>331</v>
      </c>
      <c r="E354" s="8" t="s">
        <v>1162</v>
      </c>
      <c r="F354" s="9" t="s">
        <v>1286</v>
      </c>
      <c r="G354" s="9" t="s">
        <v>1287</v>
      </c>
      <c r="H354" s="9" t="s">
        <v>340</v>
      </c>
      <c r="I354" s="9" t="s">
        <v>69</v>
      </c>
      <c r="J354" s="10" t="s">
        <v>201</v>
      </c>
      <c r="K354" s="15" t="str">
        <f>VLOOKUP(J354,DADOS!$A$3:$B$105,2,FALSE)</f>
        <v>EE-GI-001-054</v>
      </c>
      <c r="L354" s="15" t="s">
        <v>341</v>
      </c>
      <c r="M354" s="18" t="b">
        <v>0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331</v>
      </c>
      <c r="X354" s="12" t="s">
        <v>14</v>
      </c>
      <c r="Y354" s="12" t="s">
        <v>14</v>
      </c>
      <c r="Z354" s="13" t="s">
        <v>342</v>
      </c>
    </row>
    <row r="355" spans="1:26" ht="19.899999999999999" customHeight="1" x14ac:dyDescent="0.25">
      <c r="A355" s="6">
        <v>45950</v>
      </c>
      <c r="B355" s="7" t="s">
        <v>958</v>
      </c>
      <c r="C355" s="8" t="s">
        <v>1275</v>
      </c>
      <c r="D355" s="8" t="s">
        <v>1276</v>
      </c>
      <c r="E355" s="8" t="s">
        <v>1277</v>
      </c>
      <c r="F355" s="9" t="s">
        <v>1278</v>
      </c>
      <c r="G355" s="9" t="s">
        <v>1279</v>
      </c>
      <c r="H355" s="9" t="s">
        <v>1280</v>
      </c>
      <c r="I355" s="9" t="s">
        <v>66</v>
      </c>
      <c r="J355" s="10" t="s">
        <v>174</v>
      </c>
      <c r="K355" s="15" t="str">
        <f>VLOOKUP(J355,DADOS!$A$3:$B$105,2,FALSE)</f>
        <v>EE-GI-001-007</v>
      </c>
      <c r="L355" s="15" t="s">
        <v>341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1276</v>
      </c>
      <c r="X355" s="12" t="s">
        <v>14</v>
      </c>
      <c r="Y355" s="12" t="s">
        <v>14</v>
      </c>
      <c r="Z355" s="13" t="s">
        <v>342</v>
      </c>
    </row>
    <row r="356" spans="1:26" ht="19.899999999999999" customHeight="1" x14ac:dyDescent="0.25">
      <c r="A356" s="6">
        <v>45950</v>
      </c>
      <c r="B356" s="7" t="s">
        <v>1646</v>
      </c>
      <c r="C356" s="8" t="s">
        <v>1973</v>
      </c>
      <c r="D356" s="8" t="s">
        <v>264</v>
      </c>
      <c r="E356" s="8" t="s">
        <v>1974</v>
      </c>
      <c r="F356" s="9" t="s">
        <v>1975</v>
      </c>
      <c r="G356" s="9" t="s">
        <v>14</v>
      </c>
      <c r="H356" s="9" t="s">
        <v>1976</v>
      </c>
      <c r="I356" s="9" t="s">
        <v>72</v>
      </c>
      <c r="J356" s="10" t="s">
        <v>186</v>
      </c>
      <c r="K356" s="15" t="str">
        <f>VLOOKUP(J356,DADOS!$A$3:$B$105,2,FALSE)</f>
        <v>EE-GI-001-008</v>
      </c>
      <c r="L356" s="15" t="s">
        <v>972</v>
      </c>
      <c r="M356" s="18" t="b">
        <v>1</v>
      </c>
      <c r="N356" s="17" t="b">
        <v>1</v>
      </c>
      <c r="O356" s="17" t="b">
        <v>0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264</v>
      </c>
      <c r="X356" s="12" t="s">
        <v>14</v>
      </c>
      <c r="Y356" s="12" t="s">
        <v>14</v>
      </c>
      <c r="Z356" s="13" t="s">
        <v>854</v>
      </c>
    </row>
    <row r="357" spans="1:26" ht="19.899999999999999" customHeight="1" x14ac:dyDescent="0.25">
      <c r="A357" s="6">
        <v>45950</v>
      </c>
      <c r="B357" s="7" t="s">
        <v>1646</v>
      </c>
      <c r="C357" s="8" t="s">
        <v>1977</v>
      </c>
      <c r="D357" s="8" t="s">
        <v>264</v>
      </c>
      <c r="E357" s="8" t="s">
        <v>1978</v>
      </c>
      <c r="F357" s="9" t="s">
        <v>1979</v>
      </c>
      <c r="G357" s="9" t="s">
        <v>14</v>
      </c>
      <c r="H357" s="9" t="s">
        <v>1976</v>
      </c>
      <c r="I357" s="9" t="s">
        <v>72</v>
      </c>
      <c r="J357" s="10" t="s">
        <v>186</v>
      </c>
      <c r="K357" s="15" t="str">
        <f>VLOOKUP(J357,DADOS!$A$3:$B$105,2,FALSE)</f>
        <v>EE-GI-001-008</v>
      </c>
      <c r="L357" s="15" t="s">
        <v>972</v>
      </c>
      <c r="M357" s="18" t="b">
        <v>1</v>
      </c>
      <c r="N357" s="17" t="b">
        <v>1</v>
      </c>
      <c r="O357" s="17" t="b">
        <v>0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264</v>
      </c>
      <c r="X357" s="12" t="s">
        <v>14</v>
      </c>
      <c r="Y357" s="12" t="s">
        <v>14</v>
      </c>
      <c r="Z357" s="13" t="s">
        <v>854</v>
      </c>
    </row>
    <row r="358" spans="1:26" ht="19.899999999999999" customHeight="1" x14ac:dyDescent="0.25">
      <c r="A358" s="6">
        <v>45950</v>
      </c>
      <c r="B358" s="7" t="s">
        <v>1646</v>
      </c>
      <c r="C358" s="8" t="s">
        <v>1980</v>
      </c>
      <c r="D358" s="8" t="s">
        <v>264</v>
      </c>
      <c r="E358" s="8" t="s">
        <v>1981</v>
      </c>
      <c r="F358" s="9" t="s">
        <v>1982</v>
      </c>
      <c r="G358" s="9" t="s">
        <v>1983</v>
      </c>
      <c r="H358" s="9" t="s">
        <v>1984</v>
      </c>
      <c r="I358" s="9" t="s">
        <v>64</v>
      </c>
      <c r="J358" s="10" t="s">
        <v>186</v>
      </c>
      <c r="K358" s="15" t="str">
        <f>VLOOKUP(J358,DADOS!$A$3:$B$105,2,FALSE)</f>
        <v>EE-GI-001-008</v>
      </c>
      <c r="L358" s="15" t="s">
        <v>972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264</v>
      </c>
      <c r="X358" s="12" t="s">
        <v>14</v>
      </c>
      <c r="Y358" s="12" t="s">
        <v>14</v>
      </c>
      <c r="Z358" s="13" t="s">
        <v>854</v>
      </c>
    </row>
    <row r="359" spans="1:26" ht="19.899999999999999" customHeight="1" x14ac:dyDescent="0.25">
      <c r="A359" s="6">
        <v>45951</v>
      </c>
      <c r="B359" s="7" t="s">
        <v>334</v>
      </c>
      <c r="C359" s="8" t="s">
        <v>1407</v>
      </c>
      <c r="D359" s="8" t="s">
        <v>402</v>
      </c>
      <c r="E359" s="8" t="s">
        <v>1308</v>
      </c>
      <c r="F359" s="9" t="s">
        <v>1408</v>
      </c>
      <c r="G359" s="9" t="s">
        <v>1410</v>
      </c>
      <c r="H359" s="9" t="s">
        <v>14</v>
      </c>
      <c r="I359" s="9" t="s">
        <v>66</v>
      </c>
      <c r="J359" s="10" t="s">
        <v>185</v>
      </c>
      <c r="K359" s="15" t="str">
        <f>VLOOKUP(J359,DADOS!$A$3:$B$105,2,FALSE)</f>
        <v>EE-GI-001-031</v>
      </c>
      <c r="L359" s="15" t="s">
        <v>299</v>
      </c>
      <c r="M359" s="18" t="b">
        <v>0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402</v>
      </c>
      <c r="X359" s="12" t="s">
        <v>14</v>
      </c>
      <c r="Y359" s="12" t="s">
        <v>14</v>
      </c>
      <c r="Z359" s="13" t="s">
        <v>270</v>
      </c>
    </row>
    <row r="360" spans="1:26" ht="19.899999999999999" customHeight="1" x14ac:dyDescent="0.25">
      <c r="A360" s="6">
        <v>45951</v>
      </c>
      <c r="B360" s="7" t="s">
        <v>334</v>
      </c>
      <c r="C360" s="8" t="s">
        <v>1407</v>
      </c>
      <c r="D360" s="8" t="s">
        <v>402</v>
      </c>
      <c r="E360" s="8" t="s">
        <v>1308</v>
      </c>
      <c r="F360" s="9" t="s">
        <v>1409</v>
      </c>
      <c r="G360" s="9" t="s">
        <v>1411</v>
      </c>
      <c r="H360" s="9" t="s">
        <v>14</v>
      </c>
      <c r="I360" s="9" t="s">
        <v>66</v>
      </c>
      <c r="J360" s="10" t="s">
        <v>185</v>
      </c>
      <c r="K360" s="15" t="str">
        <f>VLOOKUP(J360,DADOS!$A$3:$B$105,2,FALSE)</f>
        <v>EE-GI-001-031</v>
      </c>
      <c r="L360" s="15" t="s">
        <v>299</v>
      </c>
      <c r="M360" s="18" t="b">
        <v>0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402</v>
      </c>
      <c r="X360" s="12" t="s">
        <v>14</v>
      </c>
      <c r="Y360" s="12" t="s">
        <v>14</v>
      </c>
      <c r="Z360" s="13" t="s">
        <v>270</v>
      </c>
    </row>
    <row r="361" spans="1:26" ht="19.899999999999999" customHeight="1" x14ac:dyDescent="0.25">
      <c r="A361" s="6">
        <v>45951</v>
      </c>
      <c r="B361" s="7" t="s">
        <v>334</v>
      </c>
      <c r="C361" s="8" t="s">
        <v>1812</v>
      </c>
      <c r="D361" s="8" t="s">
        <v>456</v>
      </c>
      <c r="E361" s="8" t="s">
        <v>1308</v>
      </c>
      <c r="F361" s="9" t="s">
        <v>1813</v>
      </c>
      <c r="G361" s="9" t="s">
        <v>328</v>
      </c>
      <c r="H361" s="9" t="s">
        <v>14</v>
      </c>
      <c r="I361" s="9" t="s">
        <v>67</v>
      </c>
      <c r="J361" s="10" t="s">
        <v>15</v>
      </c>
      <c r="K361" s="15" t="str">
        <f>VLOOKUP(J361,DADOS!$A$3:$B$105,2,FALSE)</f>
        <v>EE-GI-001-002</v>
      </c>
      <c r="L361" s="15" t="s">
        <v>299</v>
      </c>
      <c r="M361" s="18" t="b">
        <v>0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1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456</v>
      </c>
      <c r="X361" s="12" t="s">
        <v>14</v>
      </c>
      <c r="Y361" s="12" t="s">
        <v>14</v>
      </c>
      <c r="Z361" s="13" t="s">
        <v>270</v>
      </c>
    </row>
    <row r="362" spans="1:26" ht="19.899999999999999" customHeight="1" x14ac:dyDescent="0.25">
      <c r="A362" s="6">
        <v>45951</v>
      </c>
      <c r="B362" s="7" t="s">
        <v>334</v>
      </c>
      <c r="C362" s="8" t="s">
        <v>1815</v>
      </c>
      <c r="D362" s="8" t="s">
        <v>1174</v>
      </c>
      <c r="E362" s="8" t="s">
        <v>1308</v>
      </c>
      <c r="F362" s="9" t="s">
        <v>1814</v>
      </c>
      <c r="G362" s="9" t="s">
        <v>346</v>
      </c>
      <c r="H362" s="9" t="s">
        <v>14</v>
      </c>
      <c r="I362" s="9" t="s">
        <v>66</v>
      </c>
      <c r="J362" s="10" t="s">
        <v>186</v>
      </c>
      <c r="K362" s="15" t="str">
        <f>VLOOKUP(J362,DADOS!$A$3:$B$105,2,FALSE)</f>
        <v>EE-GI-001-008</v>
      </c>
      <c r="L362" s="15" t="s">
        <v>299</v>
      </c>
      <c r="M362" s="18" t="b">
        <v>0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1174</v>
      </c>
      <c r="X362" s="12" t="s">
        <v>14</v>
      </c>
      <c r="Y362" s="12" t="s">
        <v>14</v>
      </c>
      <c r="Z362" s="13" t="s">
        <v>270</v>
      </c>
    </row>
    <row r="363" spans="1:26" ht="19.899999999999999" customHeight="1" x14ac:dyDescent="0.25">
      <c r="A363" s="6">
        <v>45951</v>
      </c>
      <c r="B363" s="7" t="s">
        <v>262</v>
      </c>
      <c r="C363" s="8" t="s">
        <v>1257</v>
      </c>
      <c r="D363" s="8" t="s">
        <v>331</v>
      </c>
      <c r="E363" s="8" t="s">
        <v>1258</v>
      </c>
      <c r="F363" s="9" t="s">
        <v>1259</v>
      </c>
      <c r="G363" s="9" t="s">
        <v>1260</v>
      </c>
      <c r="H363" s="9" t="s">
        <v>1261</v>
      </c>
      <c r="I363" s="9" t="s">
        <v>68</v>
      </c>
      <c r="J363" s="10" t="s">
        <v>186</v>
      </c>
      <c r="K363" s="15" t="str">
        <f>VLOOKUP(J363,DADOS!$A$3:$B$105,2,FALSE)</f>
        <v>EE-GI-001-008</v>
      </c>
      <c r="L363" s="15" t="s">
        <v>383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331</v>
      </c>
      <c r="X363" s="12" t="s">
        <v>14</v>
      </c>
      <c r="Y363" s="12" t="s">
        <v>14</v>
      </c>
      <c r="Z363" s="13" t="s">
        <v>270</v>
      </c>
    </row>
    <row r="364" spans="1:26" ht="19.899999999999999" customHeight="1" x14ac:dyDescent="0.25">
      <c r="A364" s="6">
        <v>45951</v>
      </c>
      <c r="B364" s="7" t="s">
        <v>262</v>
      </c>
      <c r="C364" s="8" t="s">
        <v>1266</v>
      </c>
      <c r="D364" s="8" t="s">
        <v>264</v>
      </c>
      <c r="E364" s="8" t="s">
        <v>1258</v>
      </c>
      <c r="F364" s="9" t="s">
        <v>1267</v>
      </c>
      <c r="G364" s="9" t="s">
        <v>1268</v>
      </c>
      <c r="H364" s="9" t="s">
        <v>1269</v>
      </c>
      <c r="I364" s="9" t="s">
        <v>68</v>
      </c>
      <c r="J364" s="10" t="s">
        <v>186</v>
      </c>
      <c r="K364" s="15" t="str">
        <f>VLOOKUP(J364,DADOS!$A$3:$B$105,2,FALSE)</f>
        <v>EE-GI-001-008</v>
      </c>
      <c r="L364" s="15" t="s">
        <v>383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264</v>
      </c>
      <c r="X364" s="12" t="s">
        <v>14</v>
      </c>
      <c r="Y364" s="12" t="s">
        <v>14</v>
      </c>
      <c r="Z364" s="13" t="s">
        <v>270</v>
      </c>
    </row>
    <row r="365" spans="1:26" ht="19.899999999999999" customHeight="1" x14ac:dyDescent="0.25">
      <c r="A365" s="6">
        <v>45951</v>
      </c>
      <c r="B365" s="7" t="s">
        <v>262</v>
      </c>
      <c r="C365" s="8" t="s">
        <v>1272</v>
      </c>
      <c r="D365" s="8" t="s">
        <v>331</v>
      </c>
      <c r="E365" s="8" t="s">
        <v>1258</v>
      </c>
      <c r="F365" s="9" t="s">
        <v>1273</v>
      </c>
      <c r="G365" s="9" t="s">
        <v>1274</v>
      </c>
      <c r="H365" s="34"/>
      <c r="I365" s="9" t="s">
        <v>73</v>
      </c>
      <c r="J365" s="10" t="s">
        <v>186</v>
      </c>
      <c r="K365" s="15" t="str">
        <f>VLOOKUP(J365,DADOS!$A$3:$B$105,2,FALSE)</f>
        <v>EE-GI-001-008</v>
      </c>
      <c r="L365" s="15" t="s">
        <v>383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331</v>
      </c>
      <c r="X365" s="12" t="s">
        <v>14</v>
      </c>
      <c r="Y365" s="12" t="s">
        <v>14</v>
      </c>
      <c r="Z365" s="13" t="s">
        <v>270</v>
      </c>
    </row>
    <row r="366" spans="1:26" ht="19.899999999999999" customHeight="1" x14ac:dyDescent="0.25">
      <c r="A366" s="6">
        <v>45951</v>
      </c>
      <c r="B366" s="7" t="s">
        <v>1646</v>
      </c>
      <c r="C366" s="8" t="s">
        <v>1988</v>
      </c>
      <c r="D366" s="8" t="s">
        <v>273</v>
      </c>
      <c r="E366" s="8" t="s">
        <v>1985</v>
      </c>
      <c r="F366" s="9" t="s">
        <v>1986</v>
      </c>
      <c r="G366" s="9" t="s">
        <v>366</v>
      </c>
      <c r="H366" s="9" t="s">
        <v>1987</v>
      </c>
      <c r="I366" s="9" t="s">
        <v>66</v>
      </c>
      <c r="J366" s="10" t="s">
        <v>186</v>
      </c>
      <c r="K366" s="15" t="str">
        <f>VLOOKUP(J366,DADOS!$A$3:$B$105,2,FALSE)</f>
        <v>EE-GI-001-008</v>
      </c>
      <c r="L366" s="15" t="s">
        <v>972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273</v>
      </c>
      <c r="X366" s="12" t="s">
        <v>14</v>
      </c>
      <c r="Y366" s="12" t="s">
        <v>14</v>
      </c>
      <c r="Z366" s="13" t="s">
        <v>854</v>
      </c>
    </row>
    <row r="367" spans="1:26" ht="19.899999999999999" customHeight="1" x14ac:dyDescent="0.25">
      <c r="A367" s="6">
        <v>45951</v>
      </c>
      <c r="B367" s="7" t="s">
        <v>1646</v>
      </c>
      <c r="C367" s="8" t="s">
        <v>1989</v>
      </c>
      <c r="D367" s="8" t="s">
        <v>273</v>
      </c>
      <c r="E367" s="8" t="s">
        <v>1985</v>
      </c>
      <c r="F367" s="9" t="s">
        <v>1990</v>
      </c>
      <c r="G367" s="9" t="s">
        <v>14</v>
      </c>
      <c r="H367" s="9" t="s">
        <v>1987</v>
      </c>
      <c r="I367" s="9" t="s">
        <v>14</v>
      </c>
      <c r="J367" s="10" t="s">
        <v>186</v>
      </c>
      <c r="K367" s="15" t="str">
        <f>VLOOKUP(J367,DADOS!$A$3:$B$105,2,FALSE)</f>
        <v>EE-GI-001-008</v>
      </c>
      <c r="L367" s="15" t="s">
        <v>972</v>
      </c>
      <c r="M367" s="18" t="b">
        <v>1</v>
      </c>
      <c r="N367" s="17" t="b">
        <v>1</v>
      </c>
      <c r="O367" s="17" t="b">
        <v>0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273</v>
      </c>
      <c r="X367" s="12" t="s">
        <v>14</v>
      </c>
      <c r="Y367" s="12" t="s">
        <v>14</v>
      </c>
      <c r="Z367" s="13" t="s">
        <v>854</v>
      </c>
    </row>
    <row r="368" spans="1:26" ht="19.899999999999999" customHeight="1" x14ac:dyDescent="0.25">
      <c r="A368" s="6">
        <v>45952</v>
      </c>
      <c r="B368" s="7" t="s">
        <v>334</v>
      </c>
      <c r="C368" s="8" t="s">
        <v>361</v>
      </c>
      <c r="D368" s="8" t="s">
        <v>408</v>
      </c>
      <c r="E368" s="8" t="s">
        <v>1308</v>
      </c>
      <c r="F368" s="9" t="s">
        <v>362</v>
      </c>
      <c r="G368" s="9" t="s">
        <v>366</v>
      </c>
      <c r="H368" s="9" t="s">
        <v>14</v>
      </c>
      <c r="I368" s="9" t="s">
        <v>66</v>
      </c>
      <c r="J368" s="10" t="s">
        <v>186</v>
      </c>
      <c r="K368" s="15" t="str">
        <f>VLOOKUP(J368,DADOS!$A$3:$B$105,2,FALSE)</f>
        <v>EE-GI-001-008</v>
      </c>
      <c r="L368" s="15" t="s">
        <v>268</v>
      </c>
      <c r="M368" s="18" t="b">
        <v>0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408</v>
      </c>
      <c r="X368" s="12" t="s">
        <v>14</v>
      </c>
      <c r="Y368" s="12" t="s">
        <v>14</v>
      </c>
      <c r="Z368" s="13" t="s">
        <v>270</v>
      </c>
    </row>
    <row r="369" spans="1:26" ht="19.899999999999999" customHeight="1" x14ac:dyDescent="0.25">
      <c r="A369" s="6">
        <v>45952</v>
      </c>
      <c r="B369" s="7" t="s">
        <v>334</v>
      </c>
      <c r="C369" s="8" t="s">
        <v>361</v>
      </c>
      <c r="D369" s="8" t="s">
        <v>551</v>
      </c>
      <c r="E369" s="8" t="s">
        <v>1308</v>
      </c>
      <c r="F369" s="9" t="s">
        <v>1166</v>
      </c>
      <c r="G369" s="9" t="s">
        <v>1068</v>
      </c>
      <c r="H369" s="9" t="s">
        <v>14</v>
      </c>
      <c r="I369" s="9" t="s">
        <v>66</v>
      </c>
      <c r="J369" s="10" t="s">
        <v>186</v>
      </c>
      <c r="K369" s="15" t="str">
        <f>VLOOKUP(J369,DADOS!$A$3:$B$105,2,FALSE)</f>
        <v>EE-GI-001-008</v>
      </c>
      <c r="L369" s="15" t="s">
        <v>268</v>
      </c>
      <c r="M369" s="18" t="b">
        <v>0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1</v>
      </c>
      <c r="W369" s="11" t="s">
        <v>551</v>
      </c>
      <c r="X369" s="12" t="s">
        <v>14</v>
      </c>
      <c r="Y369" s="12" t="s">
        <v>14</v>
      </c>
      <c r="Z369" s="13" t="s">
        <v>270</v>
      </c>
    </row>
    <row r="370" spans="1:26" ht="19.899999999999999" customHeight="1" x14ac:dyDescent="0.25">
      <c r="A370" s="6">
        <v>45952</v>
      </c>
      <c r="B370" s="7" t="s">
        <v>334</v>
      </c>
      <c r="C370" s="8" t="s">
        <v>361</v>
      </c>
      <c r="D370" s="8" t="s">
        <v>264</v>
      </c>
      <c r="E370" s="8" t="s">
        <v>1308</v>
      </c>
      <c r="F370" s="9" t="s">
        <v>1309</v>
      </c>
      <c r="G370" s="9" t="s">
        <v>1068</v>
      </c>
      <c r="H370" s="9" t="s">
        <v>14</v>
      </c>
      <c r="I370" s="9" t="s">
        <v>66</v>
      </c>
      <c r="J370" s="10" t="s">
        <v>186</v>
      </c>
      <c r="K370" s="15" t="str">
        <f>VLOOKUP(J370,DADOS!$A$3:$B$105,2,FALSE)</f>
        <v>EE-GI-001-008</v>
      </c>
      <c r="L370" s="15" t="s">
        <v>268</v>
      </c>
      <c r="M370" s="18" t="b">
        <v>0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1</v>
      </c>
      <c r="W370" s="11" t="s">
        <v>264</v>
      </c>
      <c r="X370" s="12" t="s">
        <v>14</v>
      </c>
      <c r="Y370" s="12" t="s">
        <v>14</v>
      </c>
      <c r="Z370" s="13" t="s">
        <v>270</v>
      </c>
    </row>
    <row r="371" spans="1:26" ht="19.899999999999999" customHeight="1" x14ac:dyDescent="0.25">
      <c r="A371" s="6">
        <v>45952</v>
      </c>
      <c r="B371" s="7" t="s">
        <v>334</v>
      </c>
      <c r="C371" s="8" t="s">
        <v>1459</v>
      </c>
      <c r="D371" s="8" t="s">
        <v>331</v>
      </c>
      <c r="E371" s="8" t="s">
        <v>1460</v>
      </c>
      <c r="F371" s="9" t="s">
        <v>1461</v>
      </c>
      <c r="G371" s="9" t="s">
        <v>1355</v>
      </c>
      <c r="H371" s="9" t="s">
        <v>14</v>
      </c>
      <c r="I371" s="9" t="s">
        <v>66</v>
      </c>
      <c r="J371" s="10" t="s">
        <v>186</v>
      </c>
      <c r="K371" s="15" t="str">
        <f>VLOOKUP(J371,DADOS!$A$3:$B$105,2,FALSE)</f>
        <v>EE-GI-001-008</v>
      </c>
      <c r="L371" s="15" t="s">
        <v>268</v>
      </c>
      <c r="M371" s="18" t="b">
        <v>0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331</v>
      </c>
      <c r="X371" s="12" t="s">
        <v>14</v>
      </c>
      <c r="Y371" s="12" t="s">
        <v>14</v>
      </c>
      <c r="Z371" s="13" t="s">
        <v>270</v>
      </c>
    </row>
    <row r="372" spans="1:26" ht="19.899999999999999" customHeight="1" x14ac:dyDescent="0.25">
      <c r="A372" s="6">
        <v>45952</v>
      </c>
      <c r="B372" s="7" t="s">
        <v>334</v>
      </c>
      <c r="C372" s="8" t="s">
        <v>1671</v>
      </c>
      <c r="D372" s="8" t="s">
        <v>264</v>
      </c>
      <c r="E372" s="8" t="s">
        <v>1460</v>
      </c>
      <c r="F372" s="9" t="s">
        <v>1672</v>
      </c>
      <c r="G372" s="9" t="s">
        <v>1674</v>
      </c>
      <c r="H372" s="9" t="s">
        <v>14</v>
      </c>
      <c r="I372" s="9" t="s">
        <v>70</v>
      </c>
      <c r="J372" s="10" t="s">
        <v>174</v>
      </c>
      <c r="K372" s="15" t="str">
        <f>VLOOKUP(J372,DADOS!$A$3:$B$105,2,FALSE)</f>
        <v>EE-GI-001-007</v>
      </c>
      <c r="L372" s="15" t="s">
        <v>268</v>
      </c>
      <c r="M372" s="18" t="b">
        <v>0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264</v>
      </c>
      <c r="X372" s="12" t="s">
        <v>14</v>
      </c>
      <c r="Y372" s="12" t="s">
        <v>14</v>
      </c>
      <c r="Z372" s="13" t="s">
        <v>270</v>
      </c>
    </row>
    <row r="373" spans="1:26" ht="19.899999999999999" customHeight="1" x14ac:dyDescent="0.25">
      <c r="A373" s="6">
        <v>45952</v>
      </c>
      <c r="B373" s="7" t="s">
        <v>334</v>
      </c>
      <c r="C373" s="8" t="s">
        <v>1671</v>
      </c>
      <c r="D373" s="8" t="s">
        <v>264</v>
      </c>
      <c r="E373" s="8" t="s">
        <v>1460</v>
      </c>
      <c r="F373" s="9" t="s">
        <v>1673</v>
      </c>
      <c r="G373" s="9" t="s">
        <v>1674</v>
      </c>
      <c r="H373" s="9" t="s">
        <v>14</v>
      </c>
      <c r="I373" s="9" t="s">
        <v>70</v>
      </c>
      <c r="J373" s="10" t="s">
        <v>174</v>
      </c>
      <c r="K373" s="15" t="str">
        <f>VLOOKUP(J373,DADOS!$A$3:$B$105,2,FALSE)</f>
        <v>EE-GI-001-007</v>
      </c>
      <c r="L373" s="15" t="s">
        <v>268</v>
      </c>
      <c r="M373" s="18" t="b">
        <v>0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264</v>
      </c>
      <c r="X373" s="12" t="s">
        <v>14</v>
      </c>
      <c r="Y373" s="12" t="s">
        <v>14</v>
      </c>
      <c r="Z373" s="13" t="s">
        <v>270</v>
      </c>
    </row>
    <row r="374" spans="1:26" ht="19.899999999999999" customHeight="1" x14ac:dyDescent="0.25">
      <c r="A374" s="6">
        <v>45952</v>
      </c>
      <c r="B374" s="7" t="s">
        <v>732</v>
      </c>
      <c r="C374" s="8" t="s">
        <v>1310</v>
      </c>
      <c r="D374" s="8" t="s">
        <v>408</v>
      </c>
      <c r="E374" s="8" t="s">
        <v>1311</v>
      </c>
      <c r="F374" s="9" t="s">
        <v>1312</v>
      </c>
      <c r="G374" s="9" t="s">
        <v>14</v>
      </c>
      <c r="H374" s="9" t="s">
        <v>14</v>
      </c>
      <c r="I374" s="9" t="s">
        <v>93</v>
      </c>
      <c r="J374" s="10" t="s">
        <v>14</v>
      </c>
      <c r="K374" s="15" t="e">
        <f>VLOOKUP(J374,DADOS!$A$3:$B$105,2,FALSE)</f>
        <v>#N/A</v>
      </c>
      <c r="L374" s="15" t="s">
        <v>299</v>
      </c>
      <c r="M374" s="18" t="b">
        <v>0</v>
      </c>
      <c r="N374" s="17" t="b">
        <v>1</v>
      </c>
      <c r="O374" s="17" t="b">
        <v>0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408</v>
      </c>
      <c r="X374" s="12" t="s">
        <v>14</v>
      </c>
      <c r="Y374" s="12" t="s">
        <v>14</v>
      </c>
      <c r="Z374" s="13" t="s">
        <v>270</v>
      </c>
    </row>
    <row r="375" spans="1:26" ht="19.899999999999999" customHeight="1" x14ac:dyDescent="0.25">
      <c r="A375" s="6">
        <v>45952</v>
      </c>
      <c r="B375" s="7" t="s">
        <v>1135</v>
      </c>
      <c r="C375" s="8" t="s">
        <v>1473</v>
      </c>
      <c r="D375" s="8" t="s">
        <v>1265</v>
      </c>
      <c r="E375" s="8" t="s">
        <v>1474</v>
      </c>
      <c r="F375" s="9" t="s">
        <v>1475</v>
      </c>
      <c r="G375" s="9" t="s">
        <v>1476</v>
      </c>
      <c r="H375" s="9" t="s">
        <v>1472</v>
      </c>
      <c r="I375" s="9" t="s">
        <v>65</v>
      </c>
      <c r="J375" s="10" t="s">
        <v>255</v>
      </c>
      <c r="K375" s="15" t="str">
        <f>VLOOKUP(J375,DADOS!$A$3:$B$105,2,FALSE)</f>
        <v>EE-GI-001-074</v>
      </c>
      <c r="L375" s="15" t="s">
        <v>299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1</v>
      </c>
      <c r="S375" s="17" t="b">
        <v>0</v>
      </c>
      <c r="T375" s="17" t="b">
        <v>0</v>
      </c>
      <c r="U375" s="17" t="b">
        <v>0</v>
      </c>
      <c r="V375" s="17" t="b">
        <v>0</v>
      </c>
      <c r="W375" s="11" t="s">
        <v>1265</v>
      </c>
      <c r="X375" s="12" t="s">
        <v>14</v>
      </c>
      <c r="Y375" s="12" t="s">
        <v>14</v>
      </c>
      <c r="Z375" s="13" t="s">
        <v>270</v>
      </c>
    </row>
    <row r="376" spans="1:26" ht="19.899999999999999" customHeight="1" x14ac:dyDescent="0.25">
      <c r="A376" s="6">
        <v>45952</v>
      </c>
      <c r="B376" s="7" t="s">
        <v>1135</v>
      </c>
      <c r="C376" s="8" t="s">
        <v>1479</v>
      </c>
      <c r="D376" s="8" t="s">
        <v>264</v>
      </c>
      <c r="E376" s="8" t="s">
        <v>1474</v>
      </c>
      <c r="F376" s="9" t="s">
        <v>1478</v>
      </c>
      <c r="G376" s="9" t="s">
        <v>1477</v>
      </c>
      <c r="H376" s="9" t="s">
        <v>1472</v>
      </c>
      <c r="I376" s="9" t="s">
        <v>69</v>
      </c>
      <c r="J376" s="10" t="s">
        <v>254</v>
      </c>
      <c r="K376" s="15" t="str">
        <f>VLOOKUP(J376,DADOS!$A$3:$B$105,2,FALSE)</f>
        <v>EE-GI-001-073</v>
      </c>
      <c r="L376" s="15" t="s">
        <v>268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1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264</v>
      </c>
      <c r="X376" s="12" t="s">
        <v>14</v>
      </c>
      <c r="Y376" s="12" t="s">
        <v>14</v>
      </c>
      <c r="Z376" s="13" t="s">
        <v>270</v>
      </c>
    </row>
    <row r="377" spans="1:26" ht="19.899999999999999" customHeight="1" x14ac:dyDescent="0.25">
      <c r="A377" s="6">
        <v>45952</v>
      </c>
      <c r="B377" s="7" t="s">
        <v>1135</v>
      </c>
      <c r="C377" s="8" t="s">
        <v>1487</v>
      </c>
      <c r="D377" s="8" t="s">
        <v>408</v>
      </c>
      <c r="E377" s="8" t="s">
        <v>1481</v>
      </c>
      <c r="F377" s="9" t="s">
        <v>1488</v>
      </c>
      <c r="G377" s="9" t="s">
        <v>1491</v>
      </c>
      <c r="H377" s="9" t="s">
        <v>1485</v>
      </c>
      <c r="I377" s="9" t="s">
        <v>70</v>
      </c>
      <c r="J377" s="10" t="s">
        <v>254</v>
      </c>
      <c r="K377" s="15" t="str">
        <f>VLOOKUP(J377,DADOS!$A$3:$B$105,2,FALSE)</f>
        <v>EE-GI-001-073</v>
      </c>
      <c r="L377" s="15" t="s">
        <v>268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1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408</v>
      </c>
      <c r="X377" s="12" t="s">
        <v>14</v>
      </c>
      <c r="Y377" s="12" t="s">
        <v>14</v>
      </c>
      <c r="Z377" s="13" t="s">
        <v>270</v>
      </c>
    </row>
    <row r="378" spans="1:26" ht="19.899999999999999" customHeight="1" x14ac:dyDescent="0.25">
      <c r="A378" s="6">
        <v>45952</v>
      </c>
      <c r="B378" s="7" t="s">
        <v>1135</v>
      </c>
      <c r="C378" s="8" t="s">
        <v>1487</v>
      </c>
      <c r="D378" s="8" t="s">
        <v>331</v>
      </c>
      <c r="E378" s="8" t="s">
        <v>1481</v>
      </c>
      <c r="F378" s="9" t="s">
        <v>1489</v>
      </c>
      <c r="G378" s="9" t="s">
        <v>1491</v>
      </c>
      <c r="H378" s="9" t="s">
        <v>1485</v>
      </c>
      <c r="I378" s="9" t="s">
        <v>70</v>
      </c>
      <c r="J378" s="10" t="s">
        <v>254</v>
      </c>
      <c r="K378" s="15" t="str">
        <f>VLOOKUP(J378,DADOS!$A$3:$B$105,2,FALSE)</f>
        <v>EE-GI-001-073</v>
      </c>
      <c r="L378" s="15" t="s">
        <v>268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1</v>
      </c>
      <c r="S378" s="17" t="b">
        <v>0</v>
      </c>
      <c r="T378" s="17" t="b">
        <v>0</v>
      </c>
      <c r="U378" s="17" t="b">
        <v>0</v>
      </c>
      <c r="V378" s="17" t="b">
        <v>0</v>
      </c>
      <c r="W378" s="11" t="s">
        <v>331</v>
      </c>
      <c r="X378" s="12" t="s">
        <v>14</v>
      </c>
      <c r="Y378" s="12" t="s">
        <v>14</v>
      </c>
      <c r="Z378" s="13" t="s">
        <v>270</v>
      </c>
    </row>
    <row r="379" spans="1:26" ht="19.899999999999999" customHeight="1" x14ac:dyDescent="0.25">
      <c r="A379" s="6">
        <v>45952</v>
      </c>
      <c r="B379" s="7" t="s">
        <v>1135</v>
      </c>
      <c r="C379" s="8" t="s">
        <v>1487</v>
      </c>
      <c r="D379" s="8" t="s">
        <v>331</v>
      </c>
      <c r="E379" s="8" t="s">
        <v>1481</v>
      </c>
      <c r="F379" s="9" t="s">
        <v>1490</v>
      </c>
      <c r="G379" s="9" t="s">
        <v>1491</v>
      </c>
      <c r="H379" s="9" t="s">
        <v>1485</v>
      </c>
      <c r="I379" s="9" t="s">
        <v>70</v>
      </c>
      <c r="J379" s="10" t="s">
        <v>254</v>
      </c>
      <c r="K379" s="15" t="str">
        <f>VLOOKUP(J379,DADOS!$A$3:$B$105,2,FALSE)</f>
        <v>EE-GI-001-073</v>
      </c>
      <c r="L379" s="15" t="s">
        <v>268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1</v>
      </c>
      <c r="S379" s="17" t="b">
        <v>0</v>
      </c>
      <c r="T379" s="17" t="b">
        <v>0</v>
      </c>
      <c r="U379" s="17" t="b">
        <v>0</v>
      </c>
      <c r="V379" s="17" t="b">
        <v>0</v>
      </c>
      <c r="W379" s="11" t="s">
        <v>331</v>
      </c>
      <c r="X379" s="12" t="s">
        <v>14</v>
      </c>
      <c r="Y379" s="12" t="s">
        <v>14</v>
      </c>
      <c r="Z379" s="13" t="s">
        <v>270</v>
      </c>
    </row>
    <row r="380" spans="1:26" ht="19.899999999999999" customHeight="1" x14ac:dyDescent="0.25">
      <c r="A380" s="6">
        <v>45952</v>
      </c>
      <c r="B380" s="7" t="s">
        <v>1135</v>
      </c>
      <c r="C380" s="8" t="s">
        <v>1496</v>
      </c>
      <c r="D380" s="8" t="s">
        <v>331</v>
      </c>
      <c r="E380" s="8" t="s">
        <v>1497</v>
      </c>
      <c r="F380" s="9" t="s">
        <v>1498</v>
      </c>
      <c r="G380" s="9" t="s">
        <v>1499</v>
      </c>
      <c r="H380" s="9" t="s">
        <v>1500</v>
      </c>
      <c r="I380" s="9" t="s">
        <v>69</v>
      </c>
      <c r="J380" s="10" t="s">
        <v>258</v>
      </c>
      <c r="K380" s="15" t="str">
        <f>VLOOKUP(J380,DADOS!$A$3:$B$105,2,FALSE)</f>
        <v>EE-GI-001-071</v>
      </c>
      <c r="L380" s="15" t="s">
        <v>299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0</v>
      </c>
      <c r="T380" s="17" t="b">
        <v>0</v>
      </c>
      <c r="U380" s="17" t="b">
        <v>0</v>
      </c>
      <c r="V380" s="17" t="b">
        <v>0</v>
      </c>
      <c r="W380" s="11" t="s">
        <v>331</v>
      </c>
      <c r="X380" s="12" t="s">
        <v>14</v>
      </c>
      <c r="Y380" s="12" t="s">
        <v>14</v>
      </c>
      <c r="Z380" s="13" t="s">
        <v>270</v>
      </c>
    </row>
    <row r="381" spans="1:26" ht="19.899999999999999" customHeight="1" x14ac:dyDescent="0.25">
      <c r="A381" s="6">
        <v>45952</v>
      </c>
      <c r="B381" s="7" t="s">
        <v>1129</v>
      </c>
      <c r="C381" s="8" t="s">
        <v>1501</v>
      </c>
      <c r="D381" s="8" t="s">
        <v>264</v>
      </c>
      <c r="E381" s="8" t="s">
        <v>1502</v>
      </c>
      <c r="F381" s="9" t="s">
        <v>1503</v>
      </c>
      <c r="G381" s="9" t="s">
        <v>1507</v>
      </c>
      <c r="H381" s="9" t="s">
        <v>1508</v>
      </c>
      <c r="I381" s="9" t="s">
        <v>69</v>
      </c>
      <c r="J381" s="10" t="s">
        <v>258</v>
      </c>
      <c r="K381" s="15" t="str">
        <f>VLOOKUP(J381,DADOS!$A$3:$B$105,2,FALSE)</f>
        <v>EE-GI-001-071</v>
      </c>
      <c r="L381" s="15" t="s">
        <v>299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 t="s">
        <v>264</v>
      </c>
      <c r="X381" s="12" t="s">
        <v>14</v>
      </c>
      <c r="Y381" s="12" t="s">
        <v>14</v>
      </c>
      <c r="Z381" s="13" t="s">
        <v>270</v>
      </c>
    </row>
    <row r="382" spans="1:26" ht="19.899999999999999" customHeight="1" x14ac:dyDescent="0.25">
      <c r="A382" s="6">
        <v>45952</v>
      </c>
      <c r="B382" s="7" t="s">
        <v>1129</v>
      </c>
      <c r="C382" s="8" t="s">
        <v>1501</v>
      </c>
      <c r="D382" s="8" t="s">
        <v>264</v>
      </c>
      <c r="E382" s="8" t="s">
        <v>1502</v>
      </c>
      <c r="F382" s="9" t="s">
        <v>1504</v>
      </c>
      <c r="G382" s="9" t="s">
        <v>1507</v>
      </c>
      <c r="H382" s="9" t="s">
        <v>1508</v>
      </c>
      <c r="I382" s="9" t="s">
        <v>69</v>
      </c>
      <c r="J382" s="10" t="s">
        <v>258</v>
      </c>
      <c r="K382" s="15" t="str">
        <f>VLOOKUP(J382,DADOS!$A$3:$B$105,2,FALSE)</f>
        <v>EE-GI-001-071</v>
      </c>
      <c r="L382" s="15" t="s">
        <v>299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 t="s">
        <v>264</v>
      </c>
      <c r="X382" s="12" t="s">
        <v>14</v>
      </c>
      <c r="Y382" s="12" t="s">
        <v>14</v>
      </c>
      <c r="Z382" s="13" t="s">
        <v>270</v>
      </c>
    </row>
    <row r="383" spans="1:26" ht="19.899999999999999" customHeight="1" x14ac:dyDescent="0.25">
      <c r="A383" s="6">
        <v>45952</v>
      </c>
      <c r="B383" s="7" t="s">
        <v>1129</v>
      </c>
      <c r="C383" s="8" t="s">
        <v>1501</v>
      </c>
      <c r="D383" s="8" t="s">
        <v>264</v>
      </c>
      <c r="E383" s="8" t="s">
        <v>1502</v>
      </c>
      <c r="F383" s="9" t="s">
        <v>1505</v>
      </c>
      <c r="G383" s="9" t="s">
        <v>1507</v>
      </c>
      <c r="H383" s="9" t="s">
        <v>1508</v>
      </c>
      <c r="I383" s="9" t="s">
        <v>69</v>
      </c>
      <c r="J383" s="10" t="s">
        <v>258</v>
      </c>
      <c r="K383" s="15" t="str">
        <f>VLOOKUP(J383,DADOS!$A$3:$B$105,2,FALSE)</f>
        <v>EE-GI-001-071</v>
      </c>
      <c r="L383" s="15" t="s">
        <v>299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 t="s">
        <v>264</v>
      </c>
      <c r="X383" s="12" t="s">
        <v>14</v>
      </c>
      <c r="Y383" s="12" t="s">
        <v>14</v>
      </c>
      <c r="Z383" s="13" t="s">
        <v>270</v>
      </c>
    </row>
    <row r="384" spans="1:26" ht="19.899999999999999" customHeight="1" x14ac:dyDescent="0.25">
      <c r="A384" s="6">
        <v>45952</v>
      </c>
      <c r="B384" s="7" t="s">
        <v>1129</v>
      </c>
      <c r="C384" s="8" t="s">
        <v>1501</v>
      </c>
      <c r="D384" s="8" t="s">
        <v>264</v>
      </c>
      <c r="E384" s="8" t="s">
        <v>1502</v>
      </c>
      <c r="F384" s="9" t="s">
        <v>1506</v>
      </c>
      <c r="G384" s="9" t="s">
        <v>1507</v>
      </c>
      <c r="H384" s="9" t="s">
        <v>1508</v>
      </c>
      <c r="I384" s="9" t="s">
        <v>69</v>
      </c>
      <c r="J384" s="10" t="s">
        <v>258</v>
      </c>
      <c r="K384" s="15" t="str">
        <f>VLOOKUP(J384,DADOS!$A$3:$B$105,2,FALSE)</f>
        <v>EE-GI-001-071</v>
      </c>
      <c r="L384" s="15" t="s">
        <v>299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0</v>
      </c>
      <c r="V384" s="17" t="b">
        <v>0</v>
      </c>
      <c r="W384" s="11" t="s">
        <v>264</v>
      </c>
      <c r="X384" s="12" t="s">
        <v>14</v>
      </c>
      <c r="Y384" s="12" t="s">
        <v>14</v>
      </c>
      <c r="Z384" s="13" t="s">
        <v>270</v>
      </c>
    </row>
    <row r="385" spans="1:26" ht="19.899999999999999" customHeight="1" x14ac:dyDescent="0.25">
      <c r="A385" s="6">
        <v>45952</v>
      </c>
      <c r="B385" s="7" t="s">
        <v>300</v>
      </c>
      <c r="C385" s="8" t="s">
        <v>911</v>
      </c>
      <c r="D385" s="8" t="s">
        <v>408</v>
      </c>
      <c r="E385" s="8" t="s">
        <v>1753</v>
      </c>
      <c r="F385" s="9" t="s">
        <v>1754</v>
      </c>
      <c r="G385" s="9" t="s">
        <v>874</v>
      </c>
      <c r="H385" s="9" t="s">
        <v>1755</v>
      </c>
      <c r="I385" s="9" t="s">
        <v>66</v>
      </c>
      <c r="J385" s="10" t="s">
        <v>15</v>
      </c>
      <c r="K385" s="15" t="str">
        <f>VLOOKUP(J385,DADOS!$A$3:$B$105,2,FALSE)</f>
        <v>EE-GI-001-002</v>
      </c>
      <c r="L385" s="15" t="s">
        <v>268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1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 t="s">
        <v>14</v>
      </c>
      <c r="X385" s="12" t="s">
        <v>408</v>
      </c>
      <c r="Y385" s="12" t="s">
        <v>1756</v>
      </c>
      <c r="Z385" s="12" t="s">
        <v>270</v>
      </c>
    </row>
    <row r="386" spans="1:26" ht="19.899999999999999" customHeight="1" x14ac:dyDescent="0.25">
      <c r="A386" s="6">
        <v>45952</v>
      </c>
      <c r="B386" s="7" t="s">
        <v>300</v>
      </c>
      <c r="C386" s="8" t="s">
        <v>321</v>
      </c>
      <c r="D386" s="8" t="s">
        <v>336</v>
      </c>
      <c r="E386" s="8" t="s">
        <v>1910</v>
      </c>
      <c r="F386" s="9" t="s">
        <v>883</v>
      </c>
      <c r="G386" s="9" t="s">
        <v>874</v>
      </c>
      <c r="H386" s="9" t="s">
        <v>1911</v>
      </c>
      <c r="I386" s="9" t="s">
        <v>66</v>
      </c>
      <c r="J386" s="10" t="s">
        <v>15</v>
      </c>
      <c r="K386" s="15" t="str">
        <f>VLOOKUP(J386,DADOS!$A$3:$B$105,2,FALSE)</f>
        <v>EE-GI-001-002</v>
      </c>
      <c r="L386" s="15" t="s">
        <v>299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1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336</v>
      </c>
      <c r="X386" s="12" t="s">
        <v>14</v>
      </c>
      <c r="Y386" s="12" t="s">
        <v>14</v>
      </c>
      <c r="Z386" s="13" t="s">
        <v>270</v>
      </c>
    </row>
    <row r="387" spans="1:26" ht="19.899999999999999" customHeight="1" x14ac:dyDescent="0.25">
      <c r="A387" s="6">
        <v>45952</v>
      </c>
      <c r="B387" s="7" t="s">
        <v>300</v>
      </c>
      <c r="C387" s="8" t="s">
        <v>321</v>
      </c>
      <c r="D387" s="8" t="s">
        <v>408</v>
      </c>
      <c r="E387" s="8" t="s">
        <v>1912</v>
      </c>
      <c r="F387" s="9" t="s">
        <v>1913</v>
      </c>
      <c r="G387" s="9" t="s">
        <v>1614</v>
      </c>
      <c r="H387" s="9" t="s">
        <v>1914</v>
      </c>
      <c r="I387" s="9" t="s">
        <v>66</v>
      </c>
      <c r="J387" s="10" t="s">
        <v>15</v>
      </c>
      <c r="K387" s="15" t="str">
        <f>VLOOKUP(J387,DADOS!$A$3:$B$105,2,FALSE)</f>
        <v>EE-GI-001-002</v>
      </c>
      <c r="L387" s="15" t="s">
        <v>299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1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 t="s">
        <v>408</v>
      </c>
      <c r="X387" s="12" t="s">
        <v>14</v>
      </c>
      <c r="Y387" s="12" t="s">
        <v>14</v>
      </c>
      <c r="Z387" s="13" t="s">
        <v>270</v>
      </c>
    </row>
    <row r="388" spans="1:26" ht="19.899999999999999" customHeight="1" x14ac:dyDescent="0.25">
      <c r="A388" s="6">
        <v>45952</v>
      </c>
      <c r="B388" s="7" t="s">
        <v>300</v>
      </c>
      <c r="C388" s="8" t="s">
        <v>321</v>
      </c>
      <c r="D388" s="8" t="s">
        <v>408</v>
      </c>
      <c r="E388" s="8" t="s">
        <v>1912</v>
      </c>
      <c r="F388" s="9" t="s">
        <v>877</v>
      </c>
      <c r="G388" s="9" t="s">
        <v>1614</v>
      </c>
      <c r="H388" s="9" t="s">
        <v>1914</v>
      </c>
      <c r="I388" s="9" t="s">
        <v>66</v>
      </c>
      <c r="J388" s="10" t="s">
        <v>15</v>
      </c>
      <c r="K388" s="15" t="str">
        <f>VLOOKUP(J388,DADOS!$A$3:$B$105,2,FALSE)</f>
        <v>EE-GI-001-002</v>
      </c>
      <c r="L388" s="15" t="s">
        <v>299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1</v>
      </c>
      <c r="S388" s="17" t="b">
        <v>0</v>
      </c>
      <c r="T388" s="17" t="b">
        <v>0</v>
      </c>
      <c r="U388" s="17" t="b">
        <v>0</v>
      </c>
      <c r="V388" s="17" t="b">
        <v>0</v>
      </c>
      <c r="W388" s="11" t="s">
        <v>408</v>
      </c>
      <c r="X388" s="12" t="s">
        <v>14</v>
      </c>
      <c r="Y388" s="12" t="s">
        <v>14</v>
      </c>
      <c r="Z388" s="13" t="s">
        <v>270</v>
      </c>
    </row>
    <row r="389" spans="1:26" ht="19.899999999999999" customHeight="1" x14ac:dyDescent="0.25">
      <c r="A389" s="6">
        <v>45952</v>
      </c>
      <c r="B389" s="7" t="s">
        <v>300</v>
      </c>
      <c r="C389" s="8" t="s">
        <v>321</v>
      </c>
      <c r="D389" s="8" t="s">
        <v>264</v>
      </c>
      <c r="E389" s="8" t="s">
        <v>1915</v>
      </c>
      <c r="F389" s="9" t="s">
        <v>1916</v>
      </c>
      <c r="G389" s="9" t="s">
        <v>320</v>
      </c>
      <c r="H389" s="9" t="s">
        <v>1917</v>
      </c>
      <c r="I389" s="9" t="s">
        <v>66</v>
      </c>
      <c r="J389" s="10" t="s">
        <v>15</v>
      </c>
      <c r="K389" s="15" t="str">
        <f>VLOOKUP(J389,DADOS!$A$3:$B$105,2,FALSE)</f>
        <v>EE-GI-001-002</v>
      </c>
      <c r="L389" s="15" t="s">
        <v>299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1</v>
      </c>
      <c r="S389" s="17" t="b">
        <v>0</v>
      </c>
      <c r="T389" s="17" t="b">
        <v>0</v>
      </c>
      <c r="U389" s="17" t="b">
        <v>0</v>
      </c>
      <c r="V389" s="17" t="b">
        <v>0</v>
      </c>
      <c r="W389" s="11" t="s">
        <v>264</v>
      </c>
      <c r="X389" s="12" t="s">
        <v>14</v>
      </c>
      <c r="Y389" s="12" t="s">
        <v>14</v>
      </c>
      <c r="Z389" s="13" t="s">
        <v>270</v>
      </c>
    </row>
    <row r="390" spans="1:26" ht="19.899999999999999" customHeight="1" x14ac:dyDescent="0.25">
      <c r="A390" s="6">
        <v>45952</v>
      </c>
      <c r="B390" s="7" t="s">
        <v>300</v>
      </c>
      <c r="C390" s="8" t="s">
        <v>321</v>
      </c>
      <c r="D390" s="8" t="s">
        <v>336</v>
      </c>
      <c r="E390" s="8" t="s">
        <v>1915</v>
      </c>
      <c r="F390" s="9" t="s">
        <v>883</v>
      </c>
      <c r="G390" s="9" t="s">
        <v>1918</v>
      </c>
      <c r="H390" s="9" t="s">
        <v>1919</v>
      </c>
      <c r="I390" s="9" t="s">
        <v>66</v>
      </c>
      <c r="J390" s="10" t="s">
        <v>15</v>
      </c>
      <c r="K390" s="15" t="str">
        <f>VLOOKUP(J390,DADOS!$A$3:$B$105,2,FALSE)</f>
        <v>EE-GI-001-002</v>
      </c>
      <c r="L390" s="15" t="s">
        <v>299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1</v>
      </c>
      <c r="S390" s="17" t="b">
        <v>0</v>
      </c>
      <c r="T390" s="17" t="b">
        <v>0</v>
      </c>
      <c r="U390" s="17" t="b">
        <v>0</v>
      </c>
      <c r="V390" s="17" t="b">
        <v>0</v>
      </c>
      <c r="W390" s="11" t="s">
        <v>336</v>
      </c>
      <c r="X390" s="12" t="s">
        <v>14</v>
      </c>
      <c r="Y390" s="12" t="s">
        <v>14</v>
      </c>
      <c r="Z390" s="13" t="s">
        <v>270</v>
      </c>
    </row>
    <row r="391" spans="1:26" ht="19.899999999999999" customHeight="1" x14ac:dyDescent="0.25">
      <c r="A391" s="6">
        <v>45952</v>
      </c>
      <c r="B391" s="7" t="s">
        <v>300</v>
      </c>
      <c r="C391" s="8" t="s">
        <v>315</v>
      </c>
      <c r="D391" s="8" t="s">
        <v>291</v>
      </c>
      <c r="E391" s="8" t="s">
        <v>1915</v>
      </c>
      <c r="F391" s="9" t="s">
        <v>880</v>
      </c>
      <c r="G391" s="9" t="s">
        <v>320</v>
      </c>
      <c r="H391" s="9" t="s">
        <v>1920</v>
      </c>
      <c r="I391" s="9" t="s">
        <v>66</v>
      </c>
      <c r="J391" s="10" t="s">
        <v>15</v>
      </c>
      <c r="K391" s="15" t="str">
        <f>VLOOKUP(J391,DADOS!$A$3:$B$105,2,FALSE)</f>
        <v>EE-GI-001-002</v>
      </c>
      <c r="L391" s="15" t="s">
        <v>299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1</v>
      </c>
      <c r="S391" s="17" t="b">
        <v>0</v>
      </c>
      <c r="T391" s="17" t="b">
        <v>0</v>
      </c>
      <c r="U391" s="17" t="b">
        <v>0</v>
      </c>
      <c r="V391" s="17" t="b">
        <v>0</v>
      </c>
      <c r="W391" s="11" t="s">
        <v>291</v>
      </c>
      <c r="X391" s="12" t="s">
        <v>14</v>
      </c>
      <c r="Y391" s="12" t="s">
        <v>14</v>
      </c>
      <c r="Z391" s="13" t="s">
        <v>270</v>
      </c>
    </row>
    <row r="392" spans="1:26" ht="19.899999999999999" customHeight="1" x14ac:dyDescent="0.25">
      <c r="A392" s="6">
        <v>45952</v>
      </c>
      <c r="B392" s="7" t="s">
        <v>300</v>
      </c>
      <c r="C392" s="8" t="s">
        <v>315</v>
      </c>
      <c r="D392" s="8" t="s">
        <v>426</v>
      </c>
      <c r="E392" s="8" t="s">
        <v>1915</v>
      </c>
      <c r="F392" s="9" t="s">
        <v>1921</v>
      </c>
      <c r="G392" s="9" t="s">
        <v>304</v>
      </c>
      <c r="H392" s="9" t="s">
        <v>1922</v>
      </c>
      <c r="I392" s="9" t="s">
        <v>66</v>
      </c>
      <c r="J392" s="10" t="s">
        <v>15</v>
      </c>
      <c r="K392" s="15" t="str">
        <f>VLOOKUP(J392,DADOS!$A$3:$B$105,2,FALSE)</f>
        <v>EE-GI-001-002</v>
      </c>
      <c r="L392" s="15" t="s">
        <v>299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1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 t="s">
        <v>426</v>
      </c>
      <c r="X392" s="12" t="s">
        <v>14</v>
      </c>
      <c r="Y392" s="12" t="s">
        <v>14</v>
      </c>
      <c r="Z392" s="13" t="s">
        <v>270</v>
      </c>
    </row>
    <row r="393" spans="1:26" ht="19.899999999999999" customHeight="1" x14ac:dyDescent="0.25">
      <c r="A393" s="6">
        <v>45952</v>
      </c>
      <c r="B393" s="7" t="s">
        <v>300</v>
      </c>
      <c r="C393" s="8" t="s">
        <v>315</v>
      </c>
      <c r="D393" s="8" t="s">
        <v>273</v>
      </c>
      <c r="E393" s="8" t="s">
        <v>1915</v>
      </c>
      <c r="F393" s="9" t="s">
        <v>1923</v>
      </c>
      <c r="G393" s="9" t="s">
        <v>304</v>
      </c>
      <c r="H393" s="9" t="s">
        <v>1922</v>
      </c>
      <c r="I393" s="9" t="s">
        <v>66</v>
      </c>
      <c r="J393" s="10" t="s">
        <v>15</v>
      </c>
      <c r="K393" s="15" t="str">
        <f>VLOOKUP(J393,DADOS!$A$3:$B$105,2,FALSE)</f>
        <v>EE-GI-001-002</v>
      </c>
      <c r="L393" s="15" t="s">
        <v>299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1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 t="s">
        <v>273</v>
      </c>
      <c r="X393" s="12" t="s">
        <v>14</v>
      </c>
      <c r="Y393" s="12" t="s">
        <v>14</v>
      </c>
      <c r="Z393" s="13" t="s">
        <v>270</v>
      </c>
    </row>
    <row r="394" spans="1:26" ht="19.899999999999999" customHeight="1" x14ac:dyDescent="0.25">
      <c r="A394" s="6">
        <v>45952</v>
      </c>
      <c r="B394" s="7" t="s">
        <v>300</v>
      </c>
      <c r="C394" s="8" t="s">
        <v>315</v>
      </c>
      <c r="D394" s="8" t="s">
        <v>264</v>
      </c>
      <c r="E394" s="8" t="s">
        <v>1915</v>
      </c>
      <c r="F394" s="9" t="s">
        <v>1924</v>
      </c>
      <c r="G394" s="9" t="s">
        <v>304</v>
      </c>
      <c r="H394" s="9" t="s">
        <v>1922</v>
      </c>
      <c r="I394" s="9" t="s">
        <v>66</v>
      </c>
      <c r="J394" s="10" t="s">
        <v>15</v>
      </c>
      <c r="K394" s="15" t="str">
        <f>VLOOKUP(J394,DADOS!$A$3:$B$105,2,FALSE)</f>
        <v>EE-GI-001-002</v>
      </c>
      <c r="L394" s="15" t="s">
        <v>299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1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 t="s">
        <v>264</v>
      </c>
      <c r="X394" s="12" t="s">
        <v>14</v>
      </c>
      <c r="Y394" s="12" t="s">
        <v>14</v>
      </c>
      <c r="Z394" s="13" t="s">
        <v>270</v>
      </c>
    </row>
    <row r="395" spans="1:26" ht="19.899999999999999" customHeight="1" x14ac:dyDescent="0.25">
      <c r="A395" s="6">
        <v>45952</v>
      </c>
      <c r="B395" s="7" t="s">
        <v>300</v>
      </c>
      <c r="C395" s="8" t="s">
        <v>1925</v>
      </c>
      <c r="D395" s="8" t="s">
        <v>402</v>
      </c>
      <c r="E395" s="8" t="s">
        <v>1926</v>
      </c>
      <c r="F395" s="9" t="s">
        <v>1927</v>
      </c>
      <c r="G395" s="9" t="s">
        <v>1928</v>
      </c>
      <c r="H395" s="9" t="s">
        <v>1929</v>
      </c>
      <c r="I395" s="9" t="s">
        <v>66</v>
      </c>
      <c r="J395" s="10" t="s">
        <v>17</v>
      </c>
      <c r="K395" s="15" t="str">
        <f>VLOOKUP(J395,DADOS!$A$3:$B$105,2,FALSE)</f>
        <v>EE-GI-001-001</v>
      </c>
      <c r="L395" s="15" t="s">
        <v>299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 t="s">
        <v>402</v>
      </c>
      <c r="X395" s="12" t="s">
        <v>14</v>
      </c>
      <c r="Y395" s="12" t="s">
        <v>14</v>
      </c>
      <c r="Z395" s="13" t="s">
        <v>270</v>
      </c>
    </row>
    <row r="396" spans="1:26" ht="19.899999999999999" customHeight="1" x14ac:dyDescent="0.25">
      <c r="A396" s="6">
        <v>45952</v>
      </c>
      <c r="B396" s="7" t="s">
        <v>300</v>
      </c>
      <c r="C396" s="8" t="s">
        <v>1925</v>
      </c>
      <c r="D396" s="8" t="s">
        <v>264</v>
      </c>
      <c r="E396" s="8" t="s">
        <v>1926</v>
      </c>
      <c r="F396" s="9" t="s">
        <v>1930</v>
      </c>
      <c r="G396" s="9" t="s">
        <v>1928</v>
      </c>
      <c r="H396" s="9" t="s">
        <v>1929</v>
      </c>
      <c r="I396" s="9" t="s">
        <v>66</v>
      </c>
      <c r="J396" s="10" t="s">
        <v>17</v>
      </c>
      <c r="K396" s="15" t="str">
        <f>VLOOKUP(J396,DADOS!$A$3:$B$105,2,FALSE)</f>
        <v>EE-GI-001-001</v>
      </c>
      <c r="L396" s="15" t="s">
        <v>299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 t="s">
        <v>264</v>
      </c>
      <c r="X396" s="12" t="s">
        <v>14</v>
      </c>
      <c r="Y396" s="12" t="s">
        <v>14</v>
      </c>
      <c r="Z396" s="13" t="s">
        <v>270</v>
      </c>
    </row>
    <row r="397" spans="1:26" ht="19.899999999999999" customHeight="1" x14ac:dyDescent="0.25">
      <c r="A397" s="6">
        <v>45952</v>
      </c>
      <c r="B397" s="7" t="s">
        <v>300</v>
      </c>
      <c r="C397" s="8" t="s">
        <v>1925</v>
      </c>
      <c r="D397" s="8" t="s">
        <v>331</v>
      </c>
      <c r="E397" s="8" t="s">
        <v>1926</v>
      </c>
      <c r="F397" s="9" t="s">
        <v>1931</v>
      </c>
      <c r="G397" s="9" t="s">
        <v>1928</v>
      </c>
      <c r="H397" s="9" t="s">
        <v>1929</v>
      </c>
      <c r="I397" s="9" t="s">
        <v>66</v>
      </c>
      <c r="J397" s="10" t="s">
        <v>17</v>
      </c>
      <c r="K397" s="15" t="str">
        <f>VLOOKUP(J397,DADOS!$A$3:$B$105,2,FALSE)</f>
        <v>EE-GI-001-001</v>
      </c>
      <c r="L397" s="15" t="s">
        <v>299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0</v>
      </c>
      <c r="W397" s="11" t="s">
        <v>331</v>
      </c>
      <c r="X397" s="12" t="s">
        <v>14</v>
      </c>
      <c r="Y397" s="12" t="s">
        <v>14</v>
      </c>
      <c r="Z397" s="13" t="s">
        <v>270</v>
      </c>
    </row>
    <row r="398" spans="1:26" ht="19.899999999999999" customHeight="1" x14ac:dyDescent="0.25">
      <c r="A398" s="6">
        <v>45952</v>
      </c>
      <c r="B398" s="7" t="s">
        <v>300</v>
      </c>
      <c r="C398" s="8" t="s">
        <v>1932</v>
      </c>
      <c r="D398" s="8" t="s">
        <v>264</v>
      </c>
      <c r="E398" s="8" t="s">
        <v>1933</v>
      </c>
      <c r="F398" s="9" t="s">
        <v>1934</v>
      </c>
      <c r="G398" s="9" t="s">
        <v>874</v>
      </c>
      <c r="H398" s="9" t="s">
        <v>1935</v>
      </c>
      <c r="I398" s="9" t="s">
        <v>68</v>
      </c>
      <c r="J398" s="10" t="s">
        <v>15</v>
      </c>
      <c r="K398" s="15" t="str">
        <f>VLOOKUP(J398,DADOS!$A$3:$B$105,2,FALSE)</f>
        <v>EE-GI-001-002</v>
      </c>
      <c r="L398" s="15" t="s">
        <v>268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1</v>
      </c>
      <c r="S398" s="17" t="b">
        <v>0</v>
      </c>
      <c r="T398" s="17" t="b">
        <v>0</v>
      </c>
      <c r="U398" s="17" t="b">
        <v>0</v>
      </c>
      <c r="V398" s="17" t="b">
        <v>0</v>
      </c>
      <c r="W398" s="11" t="s">
        <v>264</v>
      </c>
      <c r="X398" s="12" t="s">
        <v>14</v>
      </c>
      <c r="Y398" s="12" t="s">
        <v>14</v>
      </c>
      <c r="Z398" s="13" t="s">
        <v>270</v>
      </c>
    </row>
    <row r="399" spans="1:26" ht="19.899999999999999" customHeight="1" x14ac:dyDescent="0.25">
      <c r="A399" s="6">
        <v>45953</v>
      </c>
      <c r="B399" s="7" t="s">
        <v>1135</v>
      </c>
      <c r="C399" s="8" t="s">
        <v>1492</v>
      </c>
      <c r="D399" s="8" t="s">
        <v>264</v>
      </c>
      <c r="E399" s="8" t="s">
        <v>1482</v>
      </c>
      <c r="F399" s="9" t="s">
        <v>1493</v>
      </c>
      <c r="G399" s="9" t="s">
        <v>1494</v>
      </c>
      <c r="H399" s="9" t="s">
        <v>1495</v>
      </c>
      <c r="I399" s="9" t="s">
        <v>65</v>
      </c>
      <c r="J399" s="10" t="s">
        <v>255</v>
      </c>
      <c r="K399" s="15" t="str">
        <f>VLOOKUP(J399,DADOS!$A$3:$B$105,2,FALSE)</f>
        <v>EE-GI-001-074</v>
      </c>
      <c r="L399" s="15" t="s">
        <v>299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1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 t="s">
        <v>264</v>
      </c>
      <c r="X399" s="12" t="s">
        <v>14</v>
      </c>
      <c r="Y399" s="12" t="s">
        <v>14</v>
      </c>
      <c r="Z399" s="13" t="s">
        <v>270</v>
      </c>
    </row>
    <row r="400" spans="1:26" ht="19.899999999999999" customHeight="1" x14ac:dyDescent="0.25">
      <c r="A400" s="6">
        <v>45953</v>
      </c>
      <c r="B400" s="7" t="s">
        <v>1135</v>
      </c>
      <c r="C400" s="8" t="s">
        <v>1480</v>
      </c>
      <c r="D400" s="8" t="s">
        <v>264</v>
      </c>
      <c r="E400" s="8" t="s">
        <v>1482</v>
      </c>
      <c r="F400" s="9" t="s">
        <v>1483</v>
      </c>
      <c r="G400" s="9" t="s">
        <v>1484</v>
      </c>
      <c r="H400" s="9" t="s">
        <v>1486</v>
      </c>
      <c r="I400" s="9" t="s">
        <v>65</v>
      </c>
      <c r="J400" s="10" t="s">
        <v>255</v>
      </c>
      <c r="K400" s="15" t="str">
        <f>VLOOKUP(J400,DADOS!$A$3:$B$105,2,FALSE)</f>
        <v>EE-GI-001-074</v>
      </c>
      <c r="L400" s="15" t="s">
        <v>268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1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 t="s">
        <v>264</v>
      </c>
      <c r="X400" s="12" t="s">
        <v>14</v>
      </c>
      <c r="Y400" s="12" t="s">
        <v>14</v>
      </c>
      <c r="Z400" s="13" t="s">
        <v>270</v>
      </c>
    </row>
    <row r="401" spans="1:26" ht="19.899999999999999" customHeight="1" x14ac:dyDescent="0.25">
      <c r="A401" s="6">
        <v>45953</v>
      </c>
      <c r="B401" s="7" t="s">
        <v>1321</v>
      </c>
      <c r="C401" s="8" t="s">
        <v>985</v>
      </c>
      <c r="D401" s="8" t="s">
        <v>1322</v>
      </c>
      <c r="E401" s="8" t="s">
        <v>1324</v>
      </c>
      <c r="F401" s="9" t="s">
        <v>1325</v>
      </c>
      <c r="G401" s="9" t="s">
        <v>1328</v>
      </c>
      <c r="H401" s="9" t="s">
        <v>1327</v>
      </c>
      <c r="I401" s="9" t="s">
        <v>66</v>
      </c>
      <c r="J401" s="10" t="s">
        <v>186</v>
      </c>
      <c r="K401" s="15" t="str">
        <f>VLOOKUP(J401,DADOS!$A$3:$B$105,2,FALSE)</f>
        <v>EE-GI-001-008</v>
      </c>
      <c r="L401" s="15" t="s">
        <v>299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1</v>
      </c>
      <c r="W401" s="11" t="s">
        <v>1322</v>
      </c>
      <c r="X401" s="12" t="s">
        <v>14</v>
      </c>
      <c r="Y401" s="12" t="s">
        <v>14</v>
      </c>
      <c r="Z401" s="13" t="s">
        <v>270</v>
      </c>
    </row>
    <row r="402" spans="1:26" ht="19.899999999999999" customHeight="1" x14ac:dyDescent="0.25">
      <c r="A402" s="6">
        <v>45953</v>
      </c>
      <c r="B402" s="7" t="s">
        <v>1321</v>
      </c>
      <c r="C402" s="8" t="s">
        <v>985</v>
      </c>
      <c r="D402" s="8" t="s">
        <v>1323</v>
      </c>
      <c r="E402" s="8" t="s">
        <v>1324</v>
      </c>
      <c r="F402" s="9" t="s">
        <v>1326</v>
      </c>
      <c r="G402" s="9" t="s">
        <v>1328</v>
      </c>
      <c r="H402" s="9" t="s">
        <v>1327</v>
      </c>
      <c r="I402" s="9" t="s">
        <v>66</v>
      </c>
      <c r="J402" s="10" t="s">
        <v>186</v>
      </c>
      <c r="K402" s="15" t="str">
        <f>VLOOKUP(J402,DADOS!$A$3:$B$105,2,FALSE)</f>
        <v>EE-GI-001-008</v>
      </c>
      <c r="L402" s="15" t="s">
        <v>299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1</v>
      </c>
      <c r="W402" s="11" t="s">
        <v>1323</v>
      </c>
      <c r="X402" s="12" t="s">
        <v>14</v>
      </c>
      <c r="Y402" s="12" t="s">
        <v>14</v>
      </c>
      <c r="Z402" s="13" t="s">
        <v>270</v>
      </c>
    </row>
    <row r="403" spans="1:26" ht="19.899999999999999" customHeight="1" x14ac:dyDescent="0.25">
      <c r="A403" s="6">
        <v>45953</v>
      </c>
      <c r="B403" s="7" t="s">
        <v>1329</v>
      </c>
      <c r="C403" s="8" t="s">
        <v>1330</v>
      </c>
      <c r="D403" s="8" t="s">
        <v>426</v>
      </c>
      <c r="E403" s="8" t="s">
        <v>1331</v>
      </c>
      <c r="F403" s="9" t="s">
        <v>1332</v>
      </c>
      <c r="G403" s="9" t="s">
        <v>1850</v>
      </c>
      <c r="H403" s="9" t="s">
        <v>1850</v>
      </c>
      <c r="I403" s="9" t="s">
        <v>69</v>
      </c>
      <c r="J403" s="10" t="s">
        <v>24</v>
      </c>
      <c r="K403" s="15" t="str">
        <f>VLOOKUP(J403,DADOS!$A$3:$B$105,2,FALSE)</f>
        <v>EE-GI-021-005</v>
      </c>
      <c r="L403" s="15" t="s">
        <v>268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1</v>
      </c>
      <c r="W403" s="11" t="s">
        <v>426</v>
      </c>
      <c r="X403" s="12" t="s">
        <v>14</v>
      </c>
      <c r="Y403" s="12" t="s">
        <v>14</v>
      </c>
      <c r="Z403" s="13" t="s">
        <v>270</v>
      </c>
    </row>
    <row r="404" spans="1:26" ht="19.899999999999999" customHeight="1" x14ac:dyDescent="0.25">
      <c r="A404" s="6">
        <v>45953</v>
      </c>
      <c r="B404" s="7" t="s">
        <v>1329</v>
      </c>
      <c r="C404" s="8" t="s">
        <v>1846</v>
      </c>
      <c r="D404" s="8" t="s">
        <v>331</v>
      </c>
      <c r="E404" s="8" t="s">
        <v>1847</v>
      </c>
      <c r="F404" s="9" t="s">
        <v>1848</v>
      </c>
      <c r="G404" s="9" t="s">
        <v>1849</v>
      </c>
      <c r="H404" s="9" t="s">
        <v>1849</v>
      </c>
      <c r="I404" s="9" t="s">
        <v>69</v>
      </c>
      <c r="J404" s="10" t="s">
        <v>24</v>
      </c>
      <c r="K404" s="15" t="str">
        <f>VLOOKUP(J404,DADOS!$A$3:$B$105,2,FALSE)</f>
        <v>EE-GI-021-005</v>
      </c>
      <c r="L404" s="15" t="s">
        <v>268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1</v>
      </c>
      <c r="W404" s="11" t="s">
        <v>331</v>
      </c>
      <c r="X404" s="12" t="s">
        <v>14</v>
      </c>
      <c r="Y404" s="12" t="s">
        <v>14</v>
      </c>
      <c r="Z404" s="13" t="s">
        <v>270</v>
      </c>
    </row>
    <row r="405" spans="1:26" ht="19.899999999999999" customHeight="1" x14ac:dyDescent="0.25">
      <c r="A405" s="6">
        <v>45953</v>
      </c>
      <c r="B405" s="7" t="s">
        <v>1151</v>
      </c>
      <c r="C405" s="8" t="s">
        <v>1343</v>
      </c>
      <c r="D405" s="8" t="s">
        <v>336</v>
      </c>
      <c r="E405" s="8" t="s">
        <v>1344</v>
      </c>
      <c r="F405" s="9" t="s">
        <v>1345</v>
      </c>
      <c r="G405" s="9" t="s">
        <v>539</v>
      </c>
      <c r="H405" s="9" t="s">
        <v>1346</v>
      </c>
      <c r="I405" s="9" t="s">
        <v>65</v>
      </c>
      <c r="J405" s="10" t="s">
        <v>17</v>
      </c>
      <c r="K405" s="15" t="str">
        <f>VLOOKUP(J405,DADOS!$A$3:$B$105,2,FALSE)</f>
        <v>EE-GI-001-001</v>
      </c>
      <c r="L405" s="15" t="s">
        <v>268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0</v>
      </c>
      <c r="S405" s="17" t="b">
        <v>0</v>
      </c>
      <c r="T405" s="17" t="b">
        <v>1</v>
      </c>
      <c r="U405" s="17" t="b">
        <v>1</v>
      </c>
      <c r="V405" s="17" t="b">
        <v>1</v>
      </c>
      <c r="W405" s="11" t="s">
        <v>336</v>
      </c>
      <c r="X405" s="12" t="s">
        <v>14</v>
      </c>
      <c r="Y405" s="12" t="s">
        <v>14</v>
      </c>
      <c r="Z405" s="13" t="s">
        <v>270</v>
      </c>
    </row>
    <row r="406" spans="1:26" ht="19.899999999999999" customHeight="1" x14ac:dyDescent="0.25">
      <c r="A406" s="6">
        <v>45953</v>
      </c>
      <c r="B406" s="7" t="s">
        <v>1151</v>
      </c>
      <c r="C406" s="8" t="s">
        <v>1347</v>
      </c>
      <c r="D406" s="8" t="s">
        <v>264</v>
      </c>
      <c r="E406" s="8" t="s">
        <v>1348</v>
      </c>
      <c r="F406" s="9" t="s">
        <v>1349</v>
      </c>
      <c r="G406" s="9" t="s">
        <v>1350</v>
      </c>
      <c r="H406" s="9" t="s">
        <v>1351</v>
      </c>
      <c r="I406" s="9" t="s">
        <v>72</v>
      </c>
      <c r="J406" s="10" t="s">
        <v>186</v>
      </c>
      <c r="K406" s="15" t="str">
        <f>VLOOKUP(J406,DADOS!$A$3:$B$105,2,FALSE)</f>
        <v>EE-GI-001-008</v>
      </c>
      <c r="L406" s="15" t="s">
        <v>383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0</v>
      </c>
      <c r="S406" s="17" t="b">
        <v>0</v>
      </c>
      <c r="T406" s="17" t="b">
        <v>1</v>
      </c>
      <c r="U406" s="17" t="b">
        <v>1</v>
      </c>
      <c r="V406" s="17" t="b">
        <v>1</v>
      </c>
      <c r="W406" s="11" t="s">
        <v>14</v>
      </c>
      <c r="X406" s="12" t="s">
        <v>264</v>
      </c>
      <c r="Y406" s="12" t="s">
        <v>1352</v>
      </c>
      <c r="Z406" s="12" t="s">
        <v>270</v>
      </c>
    </row>
    <row r="407" spans="1:26" ht="19.899999999999999" customHeight="1" x14ac:dyDescent="0.25">
      <c r="A407" s="6">
        <v>45953</v>
      </c>
      <c r="B407" s="7" t="s">
        <v>400</v>
      </c>
      <c r="C407" s="8" t="s">
        <v>1816</v>
      </c>
      <c r="D407" s="8" t="s">
        <v>283</v>
      </c>
      <c r="E407" s="8" t="s">
        <v>1379</v>
      </c>
      <c r="F407" s="9" t="s">
        <v>1228</v>
      </c>
      <c r="G407" s="9" t="s">
        <v>418</v>
      </c>
      <c r="H407" s="9" t="s">
        <v>1820</v>
      </c>
      <c r="I407" s="9" t="s">
        <v>66</v>
      </c>
      <c r="J407" s="10" t="s">
        <v>241</v>
      </c>
      <c r="K407" s="15" t="str">
        <f>VLOOKUP(J407,DADOS!$A$3:$B$105,2,FALSE)</f>
        <v>EE-GI-221-048</v>
      </c>
      <c r="L407" s="15" t="s">
        <v>1382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1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 t="s">
        <v>283</v>
      </c>
      <c r="X407" s="12" t="s">
        <v>14</v>
      </c>
      <c r="Y407" s="12" t="s">
        <v>14</v>
      </c>
      <c r="Z407" s="13" t="s">
        <v>270</v>
      </c>
    </row>
    <row r="408" spans="1:26" ht="19.899999999999999" customHeight="1" x14ac:dyDescent="0.25">
      <c r="A408" s="6">
        <v>45953</v>
      </c>
      <c r="B408" s="7" t="s">
        <v>400</v>
      </c>
      <c r="C408" s="8" t="s">
        <v>1817</v>
      </c>
      <c r="D408" s="8" t="s">
        <v>1255</v>
      </c>
      <c r="E408" s="8" t="s">
        <v>1379</v>
      </c>
      <c r="F408" s="9" t="s">
        <v>1818</v>
      </c>
      <c r="G408" s="9" t="s">
        <v>418</v>
      </c>
      <c r="H408" s="9" t="s">
        <v>1819</v>
      </c>
      <c r="I408" s="9" t="s">
        <v>66</v>
      </c>
      <c r="J408" s="10" t="s">
        <v>241</v>
      </c>
      <c r="K408" s="15" t="str">
        <f>VLOOKUP(J408,DADOS!$A$3:$B$105,2,FALSE)</f>
        <v>EE-GI-221-048</v>
      </c>
      <c r="L408" s="15" t="s">
        <v>1382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1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 t="s">
        <v>1255</v>
      </c>
      <c r="X408" s="12" t="s">
        <v>14</v>
      </c>
      <c r="Y408" s="12" t="s">
        <v>14</v>
      </c>
      <c r="Z408" s="13" t="s">
        <v>270</v>
      </c>
    </row>
    <row r="409" spans="1:26" ht="19.899999999999999" customHeight="1" x14ac:dyDescent="0.25">
      <c r="A409" s="6">
        <v>45953</v>
      </c>
      <c r="B409" s="7" t="s">
        <v>400</v>
      </c>
      <c r="C409" s="8" t="s">
        <v>1817</v>
      </c>
      <c r="D409" s="8" t="s">
        <v>292</v>
      </c>
      <c r="E409" s="8" t="s">
        <v>1379</v>
      </c>
      <c r="F409" s="9" t="s">
        <v>464</v>
      </c>
      <c r="G409" s="9" t="s">
        <v>418</v>
      </c>
      <c r="H409" s="9" t="s">
        <v>1821</v>
      </c>
      <c r="I409" s="9" t="s">
        <v>66</v>
      </c>
      <c r="J409" s="10" t="s">
        <v>241</v>
      </c>
      <c r="K409" s="15" t="str">
        <f>VLOOKUP(J409,DADOS!$A$3:$B$105,2,FALSE)</f>
        <v>EE-GI-221-048</v>
      </c>
      <c r="L409" s="15" t="s">
        <v>1382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1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 t="s">
        <v>292</v>
      </c>
      <c r="X409" s="12" t="s">
        <v>14</v>
      </c>
      <c r="Y409" s="12" t="s">
        <v>14</v>
      </c>
      <c r="Z409" s="13" t="s">
        <v>270</v>
      </c>
    </row>
    <row r="410" spans="1:26" ht="19.899999999999999" customHeight="1" x14ac:dyDescent="0.25">
      <c r="A410" s="6">
        <v>45953</v>
      </c>
      <c r="B410" s="7" t="s">
        <v>400</v>
      </c>
      <c r="C410" s="8" t="s">
        <v>1822</v>
      </c>
      <c r="D410" s="8" t="s">
        <v>264</v>
      </c>
      <c r="E410" s="8" t="s">
        <v>1379</v>
      </c>
      <c r="F410" s="9" t="s">
        <v>1823</v>
      </c>
      <c r="G410" s="9" t="s">
        <v>1824</v>
      </c>
      <c r="H410" s="9" t="s">
        <v>1825</v>
      </c>
      <c r="I410" s="9" t="s">
        <v>68</v>
      </c>
      <c r="J410" s="10" t="s">
        <v>28</v>
      </c>
      <c r="K410" s="15" t="str">
        <f>VLOOKUP(J410,DADOS!$A$3:$B$105,2,FALSE)</f>
        <v>EE-GI-221-042</v>
      </c>
      <c r="L410" s="15" t="s">
        <v>1382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1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 t="s">
        <v>264</v>
      </c>
      <c r="X410" s="12" t="s">
        <v>14</v>
      </c>
      <c r="Y410" s="12" t="s">
        <v>14</v>
      </c>
      <c r="Z410" s="13" t="s">
        <v>270</v>
      </c>
    </row>
    <row r="411" spans="1:26" ht="19.899999999999999" customHeight="1" x14ac:dyDescent="0.25">
      <c r="A411" s="6">
        <v>45953</v>
      </c>
      <c r="B411" s="7" t="s">
        <v>400</v>
      </c>
      <c r="C411" s="8" t="s">
        <v>1834</v>
      </c>
      <c r="D411" s="8" t="s">
        <v>273</v>
      </c>
      <c r="E411" s="8" t="s">
        <v>1379</v>
      </c>
      <c r="F411" s="9" t="s">
        <v>1835</v>
      </c>
      <c r="G411" s="9" t="s">
        <v>1836</v>
      </c>
      <c r="H411" s="9" t="s">
        <v>1837</v>
      </c>
      <c r="I411" s="9" t="s">
        <v>66</v>
      </c>
      <c r="J411" s="10" t="s">
        <v>233</v>
      </c>
      <c r="K411" s="15" t="str">
        <f>VLOOKUP(J411,DADOS!$A$3:$B$105,2,FALSE)</f>
        <v>EE-GI-221-031</v>
      </c>
      <c r="L411" s="15" t="s">
        <v>1382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1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 t="s">
        <v>273</v>
      </c>
      <c r="X411" s="12" t="s">
        <v>14</v>
      </c>
      <c r="Y411" s="12" t="s">
        <v>14</v>
      </c>
      <c r="Z411" s="13" t="s">
        <v>270</v>
      </c>
    </row>
    <row r="412" spans="1:26" ht="19.899999999999999" customHeight="1" x14ac:dyDescent="0.25">
      <c r="A412" s="6">
        <v>45953</v>
      </c>
      <c r="B412" s="7" t="s">
        <v>400</v>
      </c>
      <c r="C412" s="8" t="s">
        <v>1838</v>
      </c>
      <c r="D412" s="8" t="s">
        <v>331</v>
      </c>
      <c r="E412" s="8" t="s">
        <v>1379</v>
      </c>
      <c r="F412" s="9" t="s">
        <v>1242</v>
      </c>
      <c r="G412" s="9" t="s">
        <v>473</v>
      </c>
      <c r="H412" s="9" t="s">
        <v>1839</v>
      </c>
      <c r="I412" s="9" t="s">
        <v>66</v>
      </c>
      <c r="J412" s="10" t="s">
        <v>235</v>
      </c>
      <c r="K412" s="15" t="str">
        <f>VLOOKUP(J412,DADOS!$A$3:$B$105,2,FALSE)</f>
        <v>EE-GI-221-035</v>
      </c>
      <c r="L412" s="15" t="s">
        <v>1382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1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331</v>
      </c>
      <c r="X412" s="12" t="s">
        <v>14</v>
      </c>
      <c r="Y412" s="12" t="s">
        <v>14</v>
      </c>
      <c r="Z412" s="13" t="s">
        <v>270</v>
      </c>
    </row>
    <row r="413" spans="1:26" ht="19.899999999999999" customHeight="1" x14ac:dyDescent="0.25">
      <c r="A413" s="6">
        <v>45953</v>
      </c>
      <c r="B413" s="7" t="s">
        <v>400</v>
      </c>
      <c r="C413" s="8" t="s">
        <v>1838</v>
      </c>
      <c r="D413" s="8" t="s">
        <v>1163</v>
      </c>
      <c r="E413" s="8" t="s">
        <v>1379</v>
      </c>
      <c r="F413" s="9" t="s">
        <v>1840</v>
      </c>
      <c r="G413" s="9" t="s">
        <v>473</v>
      </c>
      <c r="H413" s="9" t="s">
        <v>1839</v>
      </c>
      <c r="I413" s="9" t="s">
        <v>66</v>
      </c>
      <c r="J413" s="10" t="s">
        <v>235</v>
      </c>
      <c r="K413" s="15" t="str">
        <f>VLOOKUP(J413,DADOS!$A$3:$B$105,2,FALSE)</f>
        <v>EE-GI-221-035</v>
      </c>
      <c r="L413" s="15" t="s">
        <v>1382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1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1163</v>
      </c>
      <c r="X413" s="12" t="s">
        <v>14</v>
      </c>
      <c r="Y413" s="12" t="s">
        <v>14</v>
      </c>
      <c r="Z413" s="13" t="s">
        <v>270</v>
      </c>
    </row>
    <row r="414" spans="1:26" ht="19.899999999999999" customHeight="1" x14ac:dyDescent="0.25">
      <c r="A414" s="6">
        <v>45953</v>
      </c>
      <c r="B414" s="7" t="s">
        <v>400</v>
      </c>
      <c r="C414" s="8" t="s">
        <v>1838</v>
      </c>
      <c r="D414" s="8" t="s">
        <v>264</v>
      </c>
      <c r="E414" s="8" t="s">
        <v>1379</v>
      </c>
      <c r="F414" s="9" t="s">
        <v>1841</v>
      </c>
      <c r="G414" s="9" t="s">
        <v>473</v>
      </c>
      <c r="H414" s="9" t="s">
        <v>1839</v>
      </c>
      <c r="I414" s="9" t="s">
        <v>66</v>
      </c>
      <c r="J414" s="10" t="s">
        <v>235</v>
      </c>
      <c r="K414" s="15" t="str">
        <f>VLOOKUP(J414,DADOS!$A$3:$B$105,2,FALSE)</f>
        <v>EE-GI-221-035</v>
      </c>
      <c r="L414" s="15" t="s">
        <v>1382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1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264</v>
      </c>
      <c r="X414" s="12" t="s">
        <v>14</v>
      </c>
      <c r="Y414" s="12" t="s">
        <v>14</v>
      </c>
      <c r="Z414" s="13" t="s">
        <v>270</v>
      </c>
    </row>
    <row r="415" spans="1:26" ht="19.899999999999999" customHeight="1" x14ac:dyDescent="0.25">
      <c r="A415" s="6">
        <v>45953</v>
      </c>
      <c r="B415" s="7" t="s">
        <v>400</v>
      </c>
      <c r="C415" s="8" t="s">
        <v>1842</v>
      </c>
      <c r="D415" s="8" t="s">
        <v>408</v>
      </c>
      <c r="E415" s="8" t="s">
        <v>1379</v>
      </c>
      <c r="F415" s="9" t="s">
        <v>1843</v>
      </c>
      <c r="G415" s="9" t="s">
        <v>473</v>
      </c>
      <c r="H415" s="9" t="s">
        <v>1844</v>
      </c>
      <c r="I415" s="9" t="s">
        <v>66</v>
      </c>
      <c r="J415" s="10" t="s">
        <v>235</v>
      </c>
      <c r="K415" s="15" t="str">
        <f>VLOOKUP(J415,DADOS!$A$3:$B$105,2,FALSE)</f>
        <v>EE-GI-221-035</v>
      </c>
      <c r="L415" s="15" t="s">
        <v>1382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1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 t="s">
        <v>408</v>
      </c>
      <c r="X415" s="12" t="s">
        <v>14</v>
      </c>
      <c r="Y415" s="12" t="s">
        <v>14</v>
      </c>
      <c r="Z415" s="13" t="s">
        <v>270</v>
      </c>
    </row>
    <row r="416" spans="1:26" ht="19.899999999999999" customHeight="1" x14ac:dyDescent="0.25">
      <c r="A416" s="6">
        <v>45953</v>
      </c>
      <c r="B416" s="7" t="s">
        <v>400</v>
      </c>
      <c r="C416" s="8" t="s">
        <v>1842</v>
      </c>
      <c r="D416" s="8" t="s">
        <v>331</v>
      </c>
      <c r="E416" s="8" t="s">
        <v>1379</v>
      </c>
      <c r="F416" s="9" t="s">
        <v>1845</v>
      </c>
      <c r="G416" s="9" t="s">
        <v>473</v>
      </c>
      <c r="H416" s="9" t="s">
        <v>1844</v>
      </c>
      <c r="I416" s="9" t="s">
        <v>66</v>
      </c>
      <c r="J416" s="10" t="s">
        <v>235</v>
      </c>
      <c r="K416" s="15" t="str">
        <f>VLOOKUP(J416,DADOS!$A$3:$B$105,2,FALSE)</f>
        <v>EE-GI-221-035</v>
      </c>
      <c r="L416" s="15" t="s">
        <v>1382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1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 t="s">
        <v>331</v>
      </c>
      <c r="X416" s="12" t="s">
        <v>14</v>
      </c>
      <c r="Y416" s="12" t="s">
        <v>14</v>
      </c>
      <c r="Z416" s="13" t="s">
        <v>270</v>
      </c>
    </row>
    <row r="417" spans="1:26" ht="19.899999999999999" customHeight="1" x14ac:dyDescent="0.25">
      <c r="A417" s="6">
        <v>45953</v>
      </c>
      <c r="B417" s="7" t="s">
        <v>400</v>
      </c>
      <c r="C417" s="8" t="s">
        <v>1874</v>
      </c>
      <c r="D417" s="8" t="s">
        <v>456</v>
      </c>
      <c r="E417" s="8" t="s">
        <v>1379</v>
      </c>
      <c r="F417" s="9" t="s">
        <v>1875</v>
      </c>
      <c r="G417" s="9" t="s">
        <v>1220</v>
      </c>
      <c r="H417" s="9" t="s">
        <v>1876</v>
      </c>
      <c r="I417" s="9" t="s">
        <v>68</v>
      </c>
      <c r="J417" s="10" t="s">
        <v>233</v>
      </c>
      <c r="K417" s="15" t="str">
        <f>VLOOKUP(J417,DADOS!$A$3:$B$105,2,FALSE)</f>
        <v>EE-GI-221-031</v>
      </c>
      <c r="L417" s="15" t="s">
        <v>1382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1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 t="s">
        <v>456</v>
      </c>
      <c r="X417" s="12" t="s">
        <v>14</v>
      </c>
      <c r="Y417" s="12" t="s">
        <v>14</v>
      </c>
      <c r="Z417" s="13" t="s">
        <v>270</v>
      </c>
    </row>
    <row r="418" spans="1:26" ht="19.899999999999999" customHeight="1" x14ac:dyDescent="0.25">
      <c r="A418" s="6">
        <v>45953</v>
      </c>
      <c r="B418" s="7" t="s">
        <v>400</v>
      </c>
      <c r="C418" s="8" t="s">
        <v>1874</v>
      </c>
      <c r="D418" s="8" t="s">
        <v>273</v>
      </c>
      <c r="E418" s="8" t="s">
        <v>1379</v>
      </c>
      <c r="F418" s="9" t="s">
        <v>1878</v>
      </c>
      <c r="G418" s="9" t="s">
        <v>1220</v>
      </c>
      <c r="H418" s="9" t="s">
        <v>1876</v>
      </c>
      <c r="I418" s="9" t="s">
        <v>68</v>
      </c>
      <c r="J418" s="10" t="s">
        <v>233</v>
      </c>
      <c r="K418" s="15" t="str">
        <f>VLOOKUP(J418,DADOS!$A$3:$B$105,2,FALSE)</f>
        <v>EE-GI-221-031</v>
      </c>
      <c r="L418" s="15" t="s">
        <v>1382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1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 t="s">
        <v>1877</v>
      </c>
      <c r="X418" s="12" t="s">
        <v>14</v>
      </c>
      <c r="Y418" s="12" t="s">
        <v>14</v>
      </c>
      <c r="Z418" s="13" t="s">
        <v>270</v>
      </c>
    </row>
    <row r="419" spans="1:26" ht="19.899999999999999" customHeight="1" x14ac:dyDescent="0.25">
      <c r="A419" s="6">
        <v>45953</v>
      </c>
      <c r="B419" s="7" t="s">
        <v>400</v>
      </c>
      <c r="C419" s="8" t="s">
        <v>1879</v>
      </c>
      <c r="D419" s="8" t="s">
        <v>408</v>
      </c>
      <c r="E419" s="8" t="s">
        <v>1539</v>
      </c>
      <c r="F419" s="9" t="s">
        <v>1880</v>
      </c>
      <c r="G419" s="9" t="s">
        <v>418</v>
      </c>
      <c r="H419" s="9" t="s">
        <v>1881</v>
      </c>
      <c r="I419" s="9" t="s">
        <v>68</v>
      </c>
      <c r="J419" s="10" t="s">
        <v>241</v>
      </c>
      <c r="K419" s="15" t="str">
        <f>VLOOKUP(J419,DADOS!$A$3:$B$105,2,FALSE)</f>
        <v>EE-GI-221-048</v>
      </c>
      <c r="L419" s="15" t="s">
        <v>1382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1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 t="s">
        <v>408</v>
      </c>
      <c r="X419" s="12" t="s">
        <v>14</v>
      </c>
      <c r="Y419" s="12" t="s">
        <v>14</v>
      </c>
      <c r="Z419" s="13" t="s">
        <v>270</v>
      </c>
    </row>
    <row r="420" spans="1:26" ht="19.899999999999999" customHeight="1" x14ac:dyDescent="0.25">
      <c r="A420" s="6">
        <v>45953</v>
      </c>
      <c r="B420" s="7" t="s">
        <v>400</v>
      </c>
      <c r="C420" s="8" t="s">
        <v>1834</v>
      </c>
      <c r="D420" s="8" t="s">
        <v>273</v>
      </c>
      <c r="E420" s="8" t="s">
        <v>1379</v>
      </c>
      <c r="F420" s="9" t="s">
        <v>1835</v>
      </c>
      <c r="G420" s="9" t="s">
        <v>1836</v>
      </c>
      <c r="H420" s="9" t="s">
        <v>1837</v>
      </c>
      <c r="I420" s="9" t="s">
        <v>66</v>
      </c>
      <c r="J420" s="10" t="s">
        <v>233</v>
      </c>
      <c r="K420" s="15" t="str">
        <f>VLOOKUP(J420,DADOS!$A$3:$B$105,2,FALSE)</f>
        <v>EE-GI-221-031</v>
      </c>
      <c r="L420" s="15" t="s">
        <v>1382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1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 t="s">
        <v>273</v>
      </c>
      <c r="X420" s="12" t="s">
        <v>14</v>
      </c>
      <c r="Y420" s="12" t="s">
        <v>14</v>
      </c>
      <c r="Z420" s="13" t="s">
        <v>270</v>
      </c>
    </row>
    <row r="421" spans="1:26" ht="19.899999999999999" customHeight="1" x14ac:dyDescent="0.25">
      <c r="A421" s="6">
        <v>45953</v>
      </c>
      <c r="B421" s="7" t="s">
        <v>400</v>
      </c>
      <c r="C421" s="8" t="s">
        <v>1882</v>
      </c>
      <c r="D421" s="8" t="s">
        <v>331</v>
      </c>
      <c r="E421" s="8" t="s">
        <v>1379</v>
      </c>
      <c r="F421" s="9" t="s">
        <v>1883</v>
      </c>
      <c r="G421" s="9" t="s">
        <v>1220</v>
      </c>
      <c r="H421" s="34"/>
      <c r="I421" s="9" t="s">
        <v>68</v>
      </c>
      <c r="J421" s="10" t="s">
        <v>233</v>
      </c>
      <c r="K421" s="15" t="str">
        <f>VLOOKUP(J421,DADOS!$A$3:$B$105,2,FALSE)</f>
        <v>EE-GI-221-031</v>
      </c>
      <c r="L421" s="15" t="s">
        <v>1382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1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 t="s">
        <v>331</v>
      </c>
      <c r="X421" s="12" t="s">
        <v>14</v>
      </c>
      <c r="Y421" s="12" t="s">
        <v>14</v>
      </c>
      <c r="Z421" s="13" t="s">
        <v>270</v>
      </c>
    </row>
    <row r="422" spans="1:26" ht="19.899999999999999" customHeight="1" x14ac:dyDescent="0.25">
      <c r="A422" s="6">
        <v>45953</v>
      </c>
      <c r="B422" s="7" t="s">
        <v>400</v>
      </c>
      <c r="C422" s="8" t="s">
        <v>1882</v>
      </c>
      <c r="D422" s="8" t="s">
        <v>331</v>
      </c>
      <c r="E422" s="8" t="s">
        <v>1379</v>
      </c>
      <c r="F422" s="9" t="s">
        <v>1883</v>
      </c>
      <c r="G422" s="9" t="s">
        <v>1220</v>
      </c>
      <c r="H422" s="34"/>
      <c r="I422" s="9" t="s">
        <v>68</v>
      </c>
      <c r="J422" s="10" t="s">
        <v>233</v>
      </c>
      <c r="K422" s="15" t="str">
        <f>VLOOKUP(J422,DADOS!$A$3:$B$105,2,FALSE)</f>
        <v>EE-GI-221-031</v>
      </c>
      <c r="L422" s="15" t="s">
        <v>1382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1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 t="s">
        <v>331</v>
      </c>
      <c r="X422" s="12" t="s">
        <v>14</v>
      </c>
      <c r="Y422" s="12" t="s">
        <v>14</v>
      </c>
      <c r="Z422" s="13" t="s">
        <v>270</v>
      </c>
    </row>
    <row r="423" spans="1:26" ht="19.899999999999999" customHeight="1" x14ac:dyDescent="0.25">
      <c r="A423" s="6">
        <v>45953</v>
      </c>
      <c r="B423" s="7" t="s">
        <v>400</v>
      </c>
      <c r="C423" s="8" t="s">
        <v>1884</v>
      </c>
      <c r="D423" s="8" t="s">
        <v>402</v>
      </c>
      <c r="E423" s="8" t="s">
        <v>1379</v>
      </c>
      <c r="F423" s="9" t="s">
        <v>1213</v>
      </c>
      <c r="G423" s="9" t="s">
        <v>418</v>
      </c>
      <c r="H423" s="9" t="s">
        <v>1885</v>
      </c>
      <c r="I423" s="9" t="s">
        <v>68</v>
      </c>
      <c r="J423" s="10" t="s">
        <v>241</v>
      </c>
      <c r="K423" s="15" t="str">
        <f>VLOOKUP(J423,DADOS!$A$3:$B$105,2,FALSE)</f>
        <v>EE-GI-221-048</v>
      </c>
      <c r="L423" s="15" t="s">
        <v>1382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1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 t="s">
        <v>402</v>
      </c>
      <c r="X423" s="12" t="s">
        <v>14</v>
      </c>
      <c r="Y423" s="12" t="s">
        <v>14</v>
      </c>
      <c r="Z423" s="13" t="s">
        <v>270</v>
      </c>
    </row>
    <row r="424" spans="1:26" ht="19.899999999999999" customHeight="1" x14ac:dyDescent="0.25">
      <c r="A424" s="6">
        <v>45953</v>
      </c>
      <c r="B424" s="7" t="s">
        <v>400</v>
      </c>
      <c r="C424" s="8" t="s">
        <v>1886</v>
      </c>
      <c r="D424" s="8" t="s">
        <v>331</v>
      </c>
      <c r="E424" s="8" t="s">
        <v>1379</v>
      </c>
      <c r="F424" s="9" t="s">
        <v>1887</v>
      </c>
      <c r="G424" s="9" t="s">
        <v>641</v>
      </c>
      <c r="H424" s="9" t="s">
        <v>1888</v>
      </c>
      <c r="I424" s="9" t="s">
        <v>68</v>
      </c>
      <c r="J424" s="10" t="s">
        <v>19</v>
      </c>
      <c r="K424" s="15" t="str">
        <f>VLOOKUP(J424,DADOS!$A$3:$B$105,2,FALSE)</f>
        <v>EE-GI-221-033</v>
      </c>
      <c r="L424" s="15" t="s">
        <v>1382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1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 t="s">
        <v>331</v>
      </c>
      <c r="X424" s="12" t="s">
        <v>14</v>
      </c>
      <c r="Y424" s="12" t="s">
        <v>14</v>
      </c>
      <c r="Z424" s="13" t="s">
        <v>270</v>
      </c>
    </row>
    <row r="425" spans="1:26" s="45" customFormat="1" ht="19.899999999999999" customHeight="1" x14ac:dyDescent="0.25">
      <c r="A425" s="6">
        <v>45954</v>
      </c>
      <c r="B425" s="7" t="s">
        <v>1104</v>
      </c>
      <c r="C425" s="8" t="s">
        <v>1765</v>
      </c>
      <c r="D425" s="8" t="s">
        <v>1766</v>
      </c>
      <c r="E425" s="8" t="s">
        <v>1767</v>
      </c>
      <c r="F425" s="9" t="s">
        <v>1768</v>
      </c>
      <c r="G425" s="9" t="s">
        <v>1769</v>
      </c>
      <c r="H425" s="9" t="s">
        <v>1770</v>
      </c>
      <c r="I425" s="9" t="s">
        <v>66</v>
      </c>
      <c r="J425" s="10" t="s">
        <v>186</v>
      </c>
      <c r="K425" s="15" t="str">
        <f>VLOOKUP(J425,DADOS!$A$3:$B$105,2,FALSE)</f>
        <v>EE-GI-001-008</v>
      </c>
      <c r="L425" s="15" t="s">
        <v>341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 t="s">
        <v>1766</v>
      </c>
      <c r="X425" s="12" t="s">
        <v>14</v>
      </c>
      <c r="Y425" s="12" t="s">
        <v>14</v>
      </c>
      <c r="Z425" s="13" t="s">
        <v>342</v>
      </c>
    </row>
    <row r="426" spans="1:26" ht="19.899999999999999" customHeight="1" x14ac:dyDescent="0.25">
      <c r="A426" s="6">
        <v>45954</v>
      </c>
      <c r="B426" s="7" t="s">
        <v>367</v>
      </c>
      <c r="C426" s="8" t="s">
        <v>1791</v>
      </c>
      <c r="D426" s="8" t="s">
        <v>660</v>
      </c>
      <c r="E426" s="8" t="s">
        <v>1793</v>
      </c>
      <c r="F426" s="9" t="s">
        <v>1794</v>
      </c>
      <c r="G426" s="9" t="s">
        <v>1797</v>
      </c>
      <c r="H426" s="9" t="s">
        <v>1799</v>
      </c>
      <c r="I426" s="9" t="s">
        <v>66</v>
      </c>
      <c r="J426" s="10" t="s">
        <v>186</v>
      </c>
      <c r="K426" s="15" t="str">
        <f>VLOOKUP(J426,DADOS!$A$3:$B$105,2,FALSE)</f>
        <v>EE-GI-001-008</v>
      </c>
      <c r="L426" s="15" t="s">
        <v>341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1</v>
      </c>
      <c r="W426" s="11" t="s">
        <v>660</v>
      </c>
      <c r="X426" s="12" t="s">
        <v>14</v>
      </c>
      <c r="Y426" s="12" t="s">
        <v>14</v>
      </c>
      <c r="Z426" s="13" t="s">
        <v>342</v>
      </c>
    </row>
    <row r="427" spans="1:26" ht="19.899999999999999" customHeight="1" x14ac:dyDescent="0.25">
      <c r="A427" s="6">
        <v>45954</v>
      </c>
      <c r="B427" s="7" t="s">
        <v>367</v>
      </c>
      <c r="C427" s="8" t="s">
        <v>1791</v>
      </c>
      <c r="D427" s="8" t="s">
        <v>1174</v>
      </c>
      <c r="E427" s="8" t="s">
        <v>1793</v>
      </c>
      <c r="F427" s="9" t="s">
        <v>1795</v>
      </c>
      <c r="G427" s="9" t="s">
        <v>1797</v>
      </c>
      <c r="H427" s="9" t="s">
        <v>1799</v>
      </c>
      <c r="I427" s="9" t="s">
        <v>66</v>
      </c>
      <c r="J427" s="10" t="s">
        <v>186</v>
      </c>
      <c r="K427" s="15" t="str">
        <f>VLOOKUP(J427,DADOS!$A$3:$B$105,2,FALSE)</f>
        <v>EE-GI-001-008</v>
      </c>
      <c r="L427" s="15" t="s">
        <v>341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1</v>
      </c>
      <c r="W427" s="11" t="s">
        <v>1174</v>
      </c>
      <c r="X427" s="12" t="s">
        <v>14</v>
      </c>
      <c r="Y427" s="12" t="s">
        <v>14</v>
      </c>
      <c r="Z427" s="13" t="s">
        <v>342</v>
      </c>
    </row>
    <row r="428" spans="1:26" ht="19.899999999999999" customHeight="1" x14ac:dyDescent="0.25">
      <c r="A428" s="6">
        <v>45954</v>
      </c>
      <c r="B428" s="7" t="s">
        <v>367</v>
      </c>
      <c r="C428" s="8" t="s">
        <v>1791</v>
      </c>
      <c r="D428" s="8" t="s">
        <v>1792</v>
      </c>
      <c r="E428" s="8" t="s">
        <v>1793</v>
      </c>
      <c r="F428" s="9" t="s">
        <v>1796</v>
      </c>
      <c r="G428" s="9" t="s">
        <v>1798</v>
      </c>
      <c r="H428" s="9" t="s">
        <v>1799</v>
      </c>
      <c r="I428" s="9" t="s">
        <v>66</v>
      </c>
      <c r="J428" s="10" t="s">
        <v>186</v>
      </c>
      <c r="K428" s="15" t="str">
        <f>VLOOKUP(J428,DADOS!$A$3:$B$105,2,FALSE)</f>
        <v>EE-GI-001-008</v>
      </c>
      <c r="L428" s="15" t="s">
        <v>341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1</v>
      </c>
      <c r="W428" s="11" t="s">
        <v>1792</v>
      </c>
      <c r="X428" s="12" t="s">
        <v>14</v>
      </c>
      <c r="Y428" s="12" t="s">
        <v>14</v>
      </c>
      <c r="Z428" s="13" t="s">
        <v>342</v>
      </c>
    </row>
    <row r="429" spans="1:26" ht="19.899999999999999" customHeight="1" x14ac:dyDescent="0.25">
      <c r="A429" s="6">
        <v>45954</v>
      </c>
      <c r="B429" s="7" t="s">
        <v>367</v>
      </c>
      <c r="C429" s="8" t="s">
        <v>1264</v>
      </c>
      <c r="D429" s="8" t="s">
        <v>643</v>
      </c>
      <c r="E429" s="8" t="s">
        <v>1776</v>
      </c>
      <c r="F429" s="9" t="s">
        <v>1777</v>
      </c>
      <c r="G429" s="9" t="s">
        <v>1778</v>
      </c>
      <c r="H429" s="9" t="s">
        <v>1779</v>
      </c>
      <c r="I429" s="9" t="s">
        <v>66</v>
      </c>
      <c r="J429" s="10" t="s">
        <v>15</v>
      </c>
      <c r="K429" s="15" t="str">
        <f>VLOOKUP(J429,DADOS!$A$3:$B$105,2,FALSE)</f>
        <v>EE-GI-001-002</v>
      </c>
      <c r="L429" s="15" t="s">
        <v>341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 t="s">
        <v>643</v>
      </c>
      <c r="X429" s="12" t="s">
        <v>14</v>
      </c>
      <c r="Y429" s="12" t="s">
        <v>14</v>
      </c>
      <c r="Z429" s="13" t="s">
        <v>342</v>
      </c>
    </row>
    <row r="430" spans="1:26" ht="19.899999999999999" customHeight="1" x14ac:dyDescent="0.25">
      <c r="A430" s="6">
        <v>45954</v>
      </c>
      <c r="B430" s="7" t="s">
        <v>334</v>
      </c>
      <c r="C430" s="8" t="s">
        <v>1353</v>
      </c>
      <c r="D430" s="8" t="s">
        <v>331</v>
      </c>
      <c r="E430" s="8" t="s">
        <v>1359</v>
      </c>
      <c r="F430" s="9" t="s">
        <v>1354</v>
      </c>
      <c r="G430" s="9" t="s">
        <v>1355</v>
      </c>
      <c r="H430" s="9" t="s">
        <v>14</v>
      </c>
      <c r="I430" s="9" t="s">
        <v>67</v>
      </c>
      <c r="J430" s="10" t="s">
        <v>186</v>
      </c>
      <c r="K430" s="15" t="str">
        <f>VLOOKUP(J430,DADOS!$A$3:$B$105,2,FALSE)</f>
        <v>EE-GI-001-008</v>
      </c>
      <c r="L430" s="15" t="s">
        <v>268</v>
      </c>
      <c r="M430" s="18" t="b">
        <v>0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1</v>
      </c>
      <c r="W430" s="11" t="s">
        <v>331</v>
      </c>
      <c r="X430" s="12" t="s">
        <v>14</v>
      </c>
      <c r="Y430" s="12" t="s">
        <v>14</v>
      </c>
      <c r="Z430" s="13" t="s">
        <v>270</v>
      </c>
    </row>
    <row r="431" spans="1:26" ht="19.899999999999999" customHeight="1" x14ac:dyDescent="0.25">
      <c r="A431" s="6">
        <v>45954</v>
      </c>
      <c r="B431" s="7" t="s">
        <v>334</v>
      </c>
      <c r="C431" s="8" t="s">
        <v>1804</v>
      </c>
      <c r="D431" s="8" t="s">
        <v>1111</v>
      </c>
      <c r="E431" s="8" t="s">
        <v>1810</v>
      </c>
      <c r="F431" s="9" t="s">
        <v>1805</v>
      </c>
      <c r="G431" s="9" t="s">
        <v>1811</v>
      </c>
      <c r="H431" s="9" t="s">
        <v>14</v>
      </c>
      <c r="I431" s="9" t="s">
        <v>66</v>
      </c>
      <c r="J431" s="10" t="s">
        <v>15</v>
      </c>
      <c r="K431" s="15" t="str">
        <f>VLOOKUP(J431,DADOS!$A$3:$B$105,2,FALSE)</f>
        <v>EE-GI-001-002</v>
      </c>
      <c r="L431" s="15" t="s">
        <v>299</v>
      </c>
      <c r="M431" s="18" t="b">
        <v>0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1</v>
      </c>
      <c r="S431" s="17" t="b">
        <v>0</v>
      </c>
      <c r="T431" s="17" t="b">
        <v>0</v>
      </c>
      <c r="U431" s="17" t="b">
        <v>0</v>
      </c>
      <c r="V431" s="17" t="b">
        <v>1</v>
      </c>
      <c r="W431" s="11" t="s">
        <v>1111</v>
      </c>
      <c r="X431" s="12" t="s">
        <v>14</v>
      </c>
      <c r="Y431" s="12" t="s">
        <v>14</v>
      </c>
      <c r="Z431" s="13" t="s">
        <v>270</v>
      </c>
    </row>
    <row r="432" spans="1:26" ht="19.899999999999999" customHeight="1" x14ac:dyDescent="0.25">
      <c r="A432" s="6">
        <v>45954</v>
      </c>
      <c r="B432" s="7" t="s">
        <v>1356</v>
      </c>
      <c r="C432" s="8" t="s">
        <v>1357</v>
      </c>
      <c r="D432" s="8" t="s">
        <v>273</v>
      </c>
      <c r="E432" s="8" t="s">
        <v>1358</v>
      </c>
      <c r="F432" s="9" t="s">
        <v>1360</v>
      </c>
      <c r="G432" s="34"/>
      <c r="H432" s="34"/>
      <c r="I432" s="9" t="s">
        <v>69</v>
      </c>
      <c r="J432" s="10" t="s">
        <v>24</v>
      </c>
      <c r="K432" s="15" t="str">
        <f>VLOOKUP(J432,DADOS!$A$3:$B$105,2,FALSE)</f>
        <v>EE-GI-021-005</v>
      </c>
      <c r="L432" s="15" t="s">
        <v>268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1</v>
      </c>
      <c r="W432" s="11" t="s">
        <v>273</v>
      </c>
      <c r="X432" s="12" t="s">
        <v>14</v>
      </c>
      <c r="Y432" s="12" t="s">
        <v>14</v>
      </c>
      <c r="Z432" s="13" t="s">
        <v>270</v>
      </c>
    </row>
    <row r="433" spans="1:26" ht="19.899999999999999" customHeight="1" x14ac:dyDescent="0.25">
      <c r="A433" s="6">
        <v>45954</v>
      </c>
      <c r="B433" s="7" t="s">
        <v>300</v>
      </c>
      <c r="C433" s="8" t="s">
        <v>1361</v>
      </c>
      <c r="D433" s="8" t="s">
        <v>331</v>
      </c>
      <c r="E433" s="8" t="s">
        <v>1362</v>
      </c>
      <c r="F433" s="9" t="s">
        <v>1363</v>
      </c>
      <c r="G433" s="9" t="s">
        <v>874</v>
      </c>
      <c r="H433" s="9" t="s">
        <v>1364</v>
      </c>
      <c r="I433" s="9" t="s">
        <v>65</v>
      </c>
      <c r="J433" s="10" t="s">
        <v>15</v>
      </c>
      <c r="K433" s="15" t="str">
        <f>VLOOKUP(J433,DADOS!$A$3:$B$105,2,FALSE)</f>
        <v>EE-GI-001-002</v>
      </c>
      <c r="L433" s="15" t="s">
        <v>299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1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 t="s">
        <v>331</v>
      </c>
      <c r="X433" s="12" t="s">
        <v>14</v>
      </c>
      <c r="Y433" s="12" t="s">
        <v>14</v>
      </c>
      <c r="Z433" s="13" t="s">
        <v>270</v>
      </c>
    </row>
    <row r="434" spans="1:26" ht="19.899999999999999" customHeight="1" x14ac:dyDescent="0.25">
      <c r="A434" s="6">
        <v>45954</v>
      </c>
      <c r="B434" s="7" t="s">
        <v>490</v>
      </c>
      <c r="C434" s="8" t="s">
        <v>1365</v>
      </c>
      <c r="D434" s="8" t="s">
        <v>331</v>
      </c>
      <c r="E434" s="8" t="s">
        <v>1366</v>
      </c>
      <c r="F434" s="9" t="s">
        <v>1367</v>
      </c>
      <c r="G434" s="9" t="s">
        <v>1368</v>
      </c>
      <c r="H434" s="9" t="s">
        <v>1369</v>
      </c>
      <c r="I434" s="9" t="s">
        <v>69</v>
      </c>
      <c r="J434" s="10" t="s">
        <v>185</v>
      </c>
      <c r="K434" s="15" t="str">
        <f>VLOOKUP(J434,DADOS!$A$3:$B$105,2,FALSE)</f>
        <v>EE-GI-001-031</v>
      </c>
      <c r="L434" s="15" t="s">
        <v>268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 t="s">
        <v>331</v>
      </c>
      <c r="X434" s="12" t="s">
        <v>14</v>
      </c>
      <c r="Y434" s="12" t="s">
        <v>14</v>
      </c>
      <c r="Z434" s="13" t="s">
        <v>270</v>
      </c>
    </row>
    <row r="435" spans="1:26" ht="19.899999999999999" customHeight="1" x14ac:dyDescent="0.25">
      <c r="A435" s="6">
        <v>45954</v>
      </c>
      <c r="B435" s="7" t="s">
        <v>490</v>
      </c>
      <c r="C435" s="8" t="s">
        <v>1370</v>
      </c>
      <c r="D435" s="8" t="s">
        <v>331</v>
      </c>
      <c r="E435" s="8" t="s">
        <v>1374</v>
      </c>
      <c r="F435" s="9" t="s">
        <v>1005</v>
      </c>
      <c r="G435" s="9" t="s">
        <v>1371</v>
      </c>
      <c r="H435" s="9" t="s">
        <v>1372</v>
      </c>
      <c r="I435" s="9" t="s">
        <v>97</v>
      </c>
      <c r="J435" s="10" t="s">
        <v>185</v>
      </c>
      <c r="K435" s="15" t="str">
        <f>VLOOKUP(J435,DADOS!$A$3:$B$105,2,FALSE)</f>
        <v>EE-GI-001-031</v>
      </c>
      <c r="L435" s="15" t="s">
        <v>268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 t="s">
        <v>331</v>
      </c>
      <c r="X435" s="12" t="s">
        <v>14</v>
      </c>
      <c r="Y435" s="12" t="s">
        <v>14</v>
      </c>
      <c r="Z435" s="13" t="s">
        <v>270</v>
      </c>
    </row>
    <row r="436" spans="1:26" ht="19.899999999999999" customHeight="1" x14ac:dyDescent="0.25">
      <c r="A436" s="6">
        <v>45954</v>
      </c>
      <c r="B436" s="7" t="s">
        <v>490</v>
      </c>
      <c r="C436" s="8" t="s">
        <v>1373</v>
      </c>
      <c r="D436" s="8" t="s">
        <v>331</v>
      </c>
      <c r="E436" s="8" t="s">
        <v>1366</v>
      </c>
      <c r="F436" s="9" t="s">
        <v>1375</v>
      </c>
      <c r="G436" s="9" t="s">
        <v>1376</v>
      </c>
      <c r="H436" s="9" t="s">
        <v>1377</v>
      </c>
      <c r="I436" s="9" t="s">
        <v>69</v>
      </c>
      <c r="J436" s="10" t="s">
        <v>185</v>
      </c>
      <c r="K436" s="15" t="str">
        <f>VLOOKUP(J436,DADOS!$A$3:$B$105,2,FALSE)</f>
        <v>EE-GI-001-031</v>
      </c>
      <c r="L436" s="15" t="s">
        <v>268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 t="s">
        <v>331</v>
      </c>
      <c r="X436" s="12" t="s">
        <v>14</v>
      </c>
      <c r="Y436" s="12" t="s">
        <v>14</v>
      </c>
      <c r="Z436" s="13" t="s">
        <v>270</v>
      </c>
    </row>
    <row r="437" spans="1:26" ht="19.899999999999999" customHeight="1" x14ac:dyDescent="0.25">
      <c r="A437" s="6">
        <v>45954</v>
      </c>
      <c r="B437" s="7" t="s">
        <v>490</v>
      </c>
      <c r="C437" s="8" t="s">
        <v>1370</v>
      </c>
      <c r="D437" s="8" t="s">
        <v>273</v>
      </c>
      <c r="E437" s="8" t="s">
        <v>1826</v>
      </c>
      <c r="F437" s="9" t="s">
        <v>1005</v>
      </c>
      <c r="G437" s="9" t="s">
        <v>1827</v>
      </c>
      <c r="H437" s="9" t="s">
        <v>1828</v>
      </c>
      <c r="I437" s="9" t="s">
        <v>97</v>
      </c>
      <c r="J437" s="10" t="s">
        <v>185</v>
      </c>
      <c r="K437" s="15" t="str">
        <f>VLOOKUP(J437,DADOS!$A$3:$B$105,2,FALSE)</f>
        <v>EE-GI-001-031</v>
      </c>
      <c r="L437" s="15" t="s">
        <v>268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 t="s">
        <v>273</v>
      </c>
      <c r="X437" s="12" t="s">
        <v>14</v>
      </c>
      <c r="Y437" s="12" t="s">
        <v>14</v>
      </c>
      <c r="Z437" s="13" t="s">
        <v>270</v>
      </c>
    </row>
    <row r="438" spans="1:26" ht="19.899999999999999" customHeight="1" x14ac:dyDescent="0.25">
      <c r="A438" s="6">
        <v>45954</v>
      </c>
      <c r="B438" s="7" t="s">
        <v>367</v>
      </c>
      <c r="C438" s="8" t="s">
        <v>626</v>
      </c>
      <c r="D438" s="8" t="s">
        <v>643</v>
      </c>
      <c r="E438" s="8" t="s">
        <v>1776</v>
      </c>
      <c r="F438" s="9" t="s">
        <v>1777</v>
      </c>
      <c r="G438" s="9" t="s">
        <v>1778</v>
      </c>
      <c r="H438" s="9" t="s">
        <v>1779</v>
      </c>
      <c r="I438" s="9" t="s">
        <v>66</v>
      </c>
      <c r="J438" s="10" t="s">
        <v>15</v>
      </c>
      <c r="K438" s="15" t="str">
        <f>VLOOKUP(J438,DADOS!$A$3:$B$105,2,FALSE)</f>
        <v>EE-GI-001-002</v>
      </c>
      <c r="L438" s="15" t="s">
        <v>341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 t="s">
        <v>643</v>
      </c>
      <c r="X438" s="12" t="s">
        <v>14</v>
      </c>
      <c r="Y438" s="12" t="s">
        <v>14</v>
      </c>
      <c r="Z438" s="13" t="s">
        <v>270</v>
      </c>
    </row>
    <row r="439" spans="1:26" ht="19.899999999999999" customHeight="1" x14ac:dyDescent="0.25">
      <c r="A439" s="6">
        <v>45954</v>
      </c>
      <c r="B439" s="7" t="s">
        <v>490</v>
      </c>
      <c r="C439" s="8" t="s">
        <v>1373</v>
      </c>
      <c r="D439" s="8" t="s">
        <v>409</v>
      </c>
      <c r="E439" s="8" t="s">
        <v>1710</v>
      </c>
      <c r="F439" s="9" t="s">
        <v>1375</v>
      </c>
      <c r="G439" s="9" t="s">
        <v>1711</v>
      </c>
      <c r="H439" s="9" t="s">
        <v>1712</v>
      </c>
      <c r="I439" s="9" t="s">
        <v>69</v>
      </c>
      <c r="J439" s="10" t="s">
        <v>185</v>
      </c>
      <c r="K439" s="15" t="str">
        <f>VLOOKUP(J439,DADOS!$A$3:$B$105,2,FALSE)</f>
        <v>EE-GI-001-031</v>
      </c>
      <c r="L439" s="15" t="s">
        <v>268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 t="s">
        <v>409</v>
      </c>
      <c r="X439" s="12" t="s">
        <v>14</v>
      </c>
      <c r="Y439" s="12" t="s">
        <v>14</v>
      </c>
      <c r="Z439" s="13" t="s">
        <v>270</v>
      </c>
    </row>
    <row r="440" spans="1:26" ht="19.899999999999999" customHeight="1" x14ac:dyDescent="0.25">
      <c r="A440" s="6">
        <v>45954</v>
      </c>
      <c r="B440" s="7" t="s">
        <v>400</v>
      </c>
      <c r="C440" s="8" t="s">
        <v>1378</v>
      </c>
      <c r="D440" s="8" t="s">
        <v>331</v>
      </c>
      <c r="E440" s="8" t="s">
        <v>1379</v>
      </c>
      <c r="F440" s="9" t="s">
        <v>1380</v>
      </c>
      <c r="G440" s="9" t="s">
        <v>1169</v>
      </c>
      <c r="H440" s="9" t="s">
        <v>1381</v>
      </c>
      <c r="I440" s="9" t="s">
        <v>66</v>
      </c>
      <c r="J440" s="10" t="s">
        <v>60</v>
      </c>
      <c r="K440" s="15" t="str">
        <f>VLOOKUP(J440,DADOS!$A$3:$B$105,2,FALSE)</f>
        <v>EE-GI-221-038</v>
      </c>
      <c r="L440" s="15" t="s">
        <v>1382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1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 t="s">
        <v>14</v>
      </c>
      <c r="X440" s="12" t="s">
        <v>331</v>
      </c>
      <c r="Y440" s="12" t="s">
        <v>1383</v>
      </c>
      <c r="Z440" s="12" t="s">
        <v>270</v>
      </c>
    </row>
    <row r="441" spans="1:26" ht="19.899999999999999" customHeight="1" x14ac:dyDescent="0.25">
      <c r="A441" s="6">
        <v>45954</v>
      </c>
      <c r="B441" s="7" t="s">
        <v>390</v>
      </c>
      <c r="C441" s="8" t="s">
        <v>1420</v>
      </c>
      <c r="D441" s="8" t="s">
        <v>408</v>
      </c>
      <c r="E441" s="8" t="s">
        <v>1421</v>
      </c>
      <c r="F441" s="9" t="s">
        <v>1422</v>
      </c>
      <c r="G441" s="9" t="s">
        <v>1423</v>
      </c>
      <c r="H441" s="9" t="s">
        <v>1424</v>
      </c>
      <c r="I441" s="9" t="s">
        <v>64</v>
      </c>
      <c r="J441" s="10" t="s">
        <v>186</v>
      </c>
      <c r="K441" s="15" t="str">
        <f>VLOOKUP(J441,DADOS!$A$3:$B$105,2,FALSE)</f>
        <v>EE-GI-001-008</v>
      </c>
      <c r="L441" s="15" t="s">
        <v>383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 t="s">
        <v>408</v>
      </c>
      <c r="X441" s="12" t="s">
        <v>14</v>
      </c>
      <c r="Y441" s="12" t="s">
        <v>14</v>
      </c>
      <c r="Z441" s="13" t="s">
        <v>270</v>
      </c>
    </row>
    <row r="442" spans="1:26" ht="19.899999999999999" customHeight="1" x14ac:dyDescent="0.25">
      <c r="A442" s="6">
        <v>45954</v>
      </c>
      <c r="B442" s="7" t="s">
        <v>262</v>
      </c>
      <c r="C442" s="8" t="s">
        <v>1957</v>
      </c>
      <c r="D442" s="8" t="s">
        <v>331</v>
      </c>
      <c r="E442" s="8" t="s">
        <v>1455</v>
      </c>
      <c r="F442" s="9" t="s">
        <v>1958</v>
      </c>
      <c r="G442" s="9" t="s">
        <v>1959</v>
      </c>
      <c r="H442" s="9" t="s">
        <v>1953</v>
      </c>
      <c r="I442" s="9" t="s">
        <v>69</v>
      </c>
      <c r="J442" s="10" t="s">
        <v>185</v>
      </c>
      <c r="K442" s="15" t="str">
        <f>VLOOKUP(J442,DADOS!$A$3:$B$105,2,FALSE)</f>
        <v>EE-GI-001-031</v>
      </c>
      <c r="L442" s="15" t="s">
        <v>853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0</v>
      </c>
      <c r="S442" s="17" t="b">
        <v>0</v>
      </c>
      <c r="T442" s="17" t="b">
        <v>1</v>
      </c>
      <c r="U442" s="17" t="b">
        <v>1</v>
      </c>
      <c r="V442" s="17" t="b">
        <v>1</v>
      </c>
      <c r="W442" s="11" t="s">
        <v>331</v>
      </c>
      <c r="X442" s="12" t="s">
        <v>14</v>
      </c>
      <c r="Y442" s="12" t="s">
        <v>14</v>
      </c>
      <c r="Z442" s="13" t="s">
        <v>854</v>
      </c>
    </row>
    <row r="443" spans="1:26" ht="19.899999999999999" customHeight="1" x14ac:dyDescent="0.25">
      <c r="A443" s="6">
        <v>45954</v>
      </c>
      <c r="B443" s="7" t="s">
        <v>262</v>
      </c>
      <c r="C443" s="8" t="s">
        <v>1957</v>
      </c>
      <c r="D443" s="8" t="s">
        <v>264</v>
      </c>
      <c r="E443" s="8" t="s">
        <v>1455</v>
      </c>
      <c r="F443" s="9" t="s">
        <v>1961</v>
      </c>
      <c r="G443" s="9" t="s">
        <v>1960</v>
      </c>
      <c r="H443" s="9" t="s">
        <v>1953</v>
      </c>
      <c r="I443" s="9" t="s">
        <v>69</v>
      </c>
      <c r="J443" s="10" t="s">
        <v>185</v>
      </c>
      <c r="K443" s="15" t="str">
        <f>VLOOKUP(J443,DADOS!$A$3:$B$105,2,FALSE)</f>
        <v>EE-GI-001-031</v>
      </c>
      <c r="L443" s="15" t="s">
        <v>853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0</v>
      </c>
      <c r="S443" s="17" t="b">
        <v>0</v>
      </c>
      <c r="T443" s="17" t="b">
        <v>1</v>
      </c>
      <c r="U443" s="17" t="b">
        <v>1</v>
      </c>
      <c r="V443" s="17" t="b">
        <v>1</v>
      </c>
      <c r="W443" s="11" t="s">
        <v>264</v>
      </c>
      <c r="X443" s="12" t="s">
        <v>14</v>
      </c>
      <c r="Y443" s="12" t="s">
        <v>14</v>
      </c>
      <c r="Z443" s="13" t="s">
        <v>854</v>
      </c>
    </row>
    <row r="444" spans="1:26" ht="19.899999999999999" customHeight="1" x14ac:dyDescent="0.25">
      <c r="A444" s="6">
        <v>45954</v>
      </c>
      <c r="B444" s="7" t="s">
        <v>967</v>
      </c>
      <c r="C444" s="8" t="s">
        <v>1991</v>
      </c>
      <c r="D444" s="8" t="s">
        <v>273</v>
      </c>
      <c r="E444" s="8" t="s">
        <v>1992</v>
      </c>
      <c r="F444" s="9" t="s">
        <v>1993</v>
      </c>
      <c r="G444" s="9" t="s">
        <v>14</v>
      </c>
      <c r="H444" s="9" t="s">
        <v>1994</v>
      </c>
      <c r="I444" s="9" t="s">
        <v>14</v>
      </c>
      <c r="J444" s="10" t="s">
        <v>14</v>
      </c>
      <c r="K444" s="15" t="e">
        <f>VLOOKUP(J444,[1]DADOS!$A$3:$B$105,2,FALSE)</f>
        <v>#N/A</v>
      </c>
      <c r="L444" s="15" t="s">
        <v>972</v>
      </c>
      <c r="M444" s="18" t="b">
        <v>1</v>
      </c>
      <c r="N444" s="17" t="b">
        <v>1</v>
      </c>
      <c r="O444" s="17" t="b">
        <v>0</v>
      </c>
      <c r="P444" s="17" t="b">
        <v>1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1</v>
      </c>
      <c r="W444" s="11" t="s">
        <v>273</v>
      </c>
      <c r="X444" s="12" t="s">
        <v>14</v>
      </c>
      <c r="Y444" s="12" t="s">
        <v>14</v>
      </c>
      <c r="Z444" s="13" t="s">
        <v>854</v>
      </c>
    </row>
    <row r="445" spans="1:26" ht="19.899999999999999" customHeight="1" x14ac:dyDescent="0.25">
      <c r="A445" s="6">
        <v>45954</v>
      </c>
      <c r="B445" s="7" t="s">
        <v>967</v>
      </c>
      <c r="C445" s="8" t="s">
        <v>1963</v>
      </c>
      <c r="D445" s="8" t="s">
        <v>331</v>
      </c>
      <c r="E445" s="8" t="s">
        <v>1995</v>
      </c>
      <c r="F445" s="9" t="s">
        <v>1996</v>
      </c>
      <c r="G445" s="9" t="s">
        <v>14</v>
      </c>
      <c r="H445" s="9" t="s">
        <v>1997</v>
      </c>
      <c r="I445" s="9" t="s">
        <v>14</v>
      </c>
      <c r="J445" s="10" t="s">
        <v>14</v>
      </c>
      <c r="K445" s="15" t="e">
        <f>VLOOKUP(J445,[1]DADOS!$A$3:$B$105,2,FALSE)</f>
        <v>#N/A</v>
      </c>
      <c r="L445" s="15" t="s">
        <v>972</v>
      </c>
      <c r="M445" s="18" t="b">
        <v>1</v>
      </c>
      <c r="N445" s="17" t="b">
        <v>1</v>
      </c>
      <c r="O445" s="17" t="b">
        <v>0</v>
      </c>
      <c r="P445" s="17" t="b">
        <v>1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1</v>
      </c>
      <c r="W445" s="11" t="s">
        <v>331</v>
      </c>
      <c r="X445" s="12" t="s">
        <v>14</v>
      </c>
      <c r="Y445" s="12" t="s">
        <v>14</v>
      </c>
      <c r="Z445" s="13" t="s">
        <v>854</v>
      </c>
    </row>
    <row r="446" spans="1:26" ht="19.899999999999999" customHeight="1" x14ac:dyDescent="0.25">
      <c r="A446" s="6">
        <v>45954</v>
      </c>
      <c r="B446" s="7" t="s">
        <v>1646</v>
      </c>
      <c r="C446" s="6" t="s">
        <v>1998</v>
      </c>
      <c r="D446" s="8" t="s">
        <v>331</v>
      </c>
      <c r="E446" s="8" t="s">
        <v>1999</v>
      </c>
      <c r="F446" s="9" t="s">
        <v>2000</v>
      </c>
      <c r="G446" s="9" t="s">
        <v>267</v>
      </c>
      <c r="H446" s="9" t="s">
        <v>2001</v>
      </c>
      <c r="I446" s="9" t="s">
        <v>67</v>
      </c>
      <c r="J446" s="10" t="s">
        <v>186</v>
      </c>
      <c r="K446" s="15" t="str">
        <f>VLOOKUP(J446,[1]DADOS!$A$3:$B$105,2,FALSE)</f>
        <v>EE-GI-001-008</v>
      </c>
      <c r="L446" s="15" t="s">
        <v>972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1</v>
      </c>
      <c r="W446" s="11" t="s">
        <v>331</v>
      </c>
      <c r="X446" s="12" t="s">
        <v>14</v>
      </c>
      <c r="Y446" s="12" t="s">
        <v>14</v>
      </c>
      <c r="Z446" s="13" t="s">
        <v>854</v>
      </c>
    </row>
    <row r="447" spans="1:26" ht="19.899999999999999" customHeight="1" x14ac:dyDescent="0.25">
      <c r="A447" s="6">
        <v>45957</v>
      </c>
      <c r="B447" s="7" t="s">
        <v>499</v>
      </c>
      <c r="C447" s="8" t="s">
        <v>1392</v>
      </c>
      <c r="D447" s="8" t="s">
        <v>273</v>
      </c>
      <c r="E447" s="8" t="s">
        <v>1394</v>
      </c>
      <c r="F447" s="9" t="s">
        <v>1393</v>
      </c>
      <c r="G447" s="9" t="s">
        <v>1395</v>
      </c>
      <c r="H447" s="9" t="s">
        <v>1396</v>
      </c>
      <c r="I447" s="9" t="s">
        <v>70</v>
      </c>
      <c r="J447" s="10" t="s">
        <v>255</v>
      </c>
      <c r="K447" s="15" t="str">
        <f>VLOOKUP(J447,DADOS!$A$3:$B$105,2,FALSE)</f>
        <v>EE-GI-001-074</v>
      </c>
      <c r="L447" s="15" t="s">
        <v>299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0</v>
      </c>
      <c r="R447" s="17" t="b">
        <v>1</v>
      </c>
      <c r="S447" s="17" t="b">
        <v>0</v>
      </c>
      <c r="T447" s="17" t="b">
        <v>0</v>
      </c>
      <c r="U447" s="17" t="b">
        <v>0</v>
      </c>
      <c r="V447" s="17" t="b">
        <v>1</v>
      </c>
      <c r="W447" s="11" t="s">
        <v>273</v>
      </c>
      <c r="X447" s="12" t="s">
        <v>14</v>
      </c>
      <c r="Y447" s="12" t="s">
        <v>14</v>
      </c>
      <c r="Z447" s="13" t="s">
        <v>270</v>
      </c>
    </row>
    <row r="448" spans="1:26" ht="19.899999999999999" customHeight="1" x14ac:dyDescent="0.25">
      <c r="A448" s="6">
        <v>45957</v>
      </c>
      <c r="B448" s="7" t="s">
        <v>1032</v>
      </c>
      <c r="C448" s="8" t="s">
        <v>1400</v>
      </c>
      <c r="D448" s="8" t="s">
        <v>273</v>
      </c>
      <c r="E448" s="8" t="s">
        <v>1401</v>
      </c>
      <c r="F448" s="9" t="s">
        <v>1402</v>
      </c>
      <c r="G448" s="9" t="s">
        <v>1403</v>
      </c>
      <c r="H448" s="9" t="s">
        <v>1404</v>
      </c>
      <c r="I448" s="9" t="s">
        <v>66</v>
      </c>
      <c r="J448" s="10" t="s">
        <v>176</v>
      </c>
      <c r="K448" s="15" t="str">
        <f>VLOOKUP(J448,DADOS!$A$3:$B$105,2,FALSE)</f>
        <v>EE-GI-001-011</v>
      </c>
      <c r="L448" s="15" t="s">
        <v>299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1</v>
      </c>
      <c r="S448" s="17" t="b">
        <v>0</v>
      </c>
      <c r="T448" s="17" t="b">
        <v>0</v>
      </c>
      <c r="U448" s="17" t="b">
        <v>0</v>
      </c>
      <c r="V448" s="17" t="b">
        <v>1</v>
      </c>
      <c r="W448" s="11" t="s">
        <v>273</v>
      </c>
      <c r="X448" s="12" t="s">
        <v>14</v>
      </c>
      <c r="Y448" s="12" t="s">
        <v>14</v>
      </c>
      <c r="Z448" s="13" t="s">
        <v>270</v>
      </c>
    </row>
    <row r="449" spans="1:26" ht="19.899999999999999" customHeight="1" x14ac:dyDescent="0.25">
      <c r="A449" s="6">
        <v>45957</v>
      </c>
      <c r="B449" s="7" t="s">
        <v>1032</v>
      </c>
      <c r="C449" s="8" t="s">
        <v>1405</v>
      </c>
      <c r="D449" s="8" t="s">
        <v>264</v>
      </c>
      <c r="E449" s="8" t="s">
        <v>1401</v>
      </c>
      <c r="F449" s="9" t="s">
        <v>1406</v>
      </c>
      <c r="G449" s="9" t="s">
        <v>1128</v>
      </c>
      <c r="H449" s="9" t="s">
        <v>1404</v>
      </c>
      <c r="I449" s="9" t="s">
        <v>69</v>
      </c>
      <c r="J449" s="10" t="s">
        <v>176</v>
      </c>
      <c r="K449" s="15" t="str">
        <f>VLOOKUP(J449,DADOS!$A$3:$B$105,2,FALSE)</f>
        <v>EE-GI-001-011</v>
      </c>
      <c r="L449" s="15" t="s">
        <v>299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1</v>
      </c>
      <c r="S449" s="17" t="b">
        <v>0</v>
      </c>
      <c r="T449" s="17" t="b">
        <v>0</v>
      </c>
      <c r="U449" s="17" t="b">
        <v>0</v>
      </c>
      <c r="V449" s="17" t="b">
        <v>1</v>
      </c>
      <c r="W449" s="11" t="s">
        <v>264</v>
      </c>
      <c r="X449" s="12" t="s">
        <v>14</v>
      </c>
      <c r="Y449" s="12" t="s">
        <v>14</v>
      </c>
      <c r="Z449" s="13" t="s">
        <v>270</v>
      </c>
    </row>
    <row r="450" spans="1:26" ht="19.899999999999999" customHeight="1" x14ac:dyDescent="0.25">
      <c r="A450" s="6">
        <v>45957</v>
      </c>
      <c r="B450" s="7" t="s">
        <v>1412</v>
      </c>
      <c r="C450" s="8" t="s">
        <v>1413</v>
      </c>
      <c r="D450" s="8" t="s">
        <v>273</v>
      </c>
      <c r="E450" s="8" t="s">
        <v>1415</v>
      </c>
      <c r="F450" s="9" t="s">
        <v>1416</v>
      </c>
      <c r="G450" s="9" t="s">
        <v>1051</v>
      </c>
      <c r="H450" s="34"/>
      <c r="I450" s="9" t="s">
        <v>66</v>
      </c>
      <c r="J450" s="10" t="s">
        <v>223</v>
      </c>
      <c r="K450" s="15" t="str">
        <f>VLOOKUP(J450,DADOS!$A$3:$B$105,2,FALSE)</f>
        <v>EE-GI-024-008</v>
      </c>
      <c r="L450" s="15" t="s">
        <v>299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 t="s">
        <v>273</v>
      </c>
      <c r="X450" s="12" t="s">
        <v>14</v>
      </c>
      <c r="Y450" s="12" t="s">
        <v>14</v>
      </c>
      <c r="Z450" s="13" t="s">
        <v>270</v>
      </c>
    </row>
    <row r="451" spans="1:26" ht="19.899999999999999" customHeight="1" x14ac:dyDescent="0.25">
      <c r="A451" s="35">
        <v>45957</v>
      </c>
      <c r="B451" s="36" t="s">
        <v>1037</v>
      </c>
      <c r="C451" s="37" t="s">
        <v>1894</v>
      </c>
      <c r="D451" s="37" t="s">
        <v>264</v>
      </c>
      <c r="E451" s="37" t="s">
        <v>1895</v>
      </c>
      <c r="F451" s="34" t="s">
        <v>1896</v>
      </c>
      <c r="G451" s="34" t="s">
        <v>1897</v>
      </c>
      <c r="H451" s="34"/>
      <c r="I451" s="34" t="s">
        <v>69</v>
      </c>
      <c r="J451" s="38" t="s">
        <v>190</v>
      </c>
      <c r="K451" s="39" t="str">
        <f>VLOOKUP(J451,DADOS!$A$3:$B$105,2,FALSE)</f>
        <v>EE-GI-001-037</v>
      </c>
      <c r="L451" s="39" t="s">
        <v>341</v>
      </c>
      <c r="M451" s="40" t="b">
        <v>0</v>
      </c>
      <c r="N451" s="41" t="b">
        <v>1</v>
      </c>
      <c r="O451" s="41" t="b">
        <v>1</v>
      </c>
      <c r="P451" s="41" t="b">
        <v>1</v>
      </c>
      <c r="Q451" s="41" t="b">
        <v>0</v>
      </c>
      <c r="R451" s="41" t="b">
        <v>0</v>
      </c>
      <c r="S451" s="41" t="b">
        <v>0</v>
      </c>
      <c r="T451" s="41" t="b">
        <v>0</v>
      </c>
      <c r="U451" s="41" t="b">
        <v>0</v>
      </c>
      <c r="V451" s="41" t="b">
        <v>1</v>
      </c>
      <c r="W451" s="42" t="s">
        <v>545</v>
      </c>
      <c r="X451" s="43" t="s">
        <v>264</v>
      </c>
      <c r="Y451" s="43" t="s">
        <v>1898</v>
      </c>
      <c r="Z451" s="44" t="s">
        <v>342</v>
      </c>
    </row>
    <row r="452" spans="1:26" ht="19.899999999999999" customHeight="1" x14ac:dyDescent="0.25">
      <c r="A452" s="6">
        <v>45957</v>
      </c>
      <c r="B452" s="7" t="s">
        <v>1412</v>
      </c>
      <c r="C452" s="8" t="s">
        <v>1414</v>
      </c>
      <c r="D452" s="8" t="s">
        <v>426</v>
      </c>
      <c r="E452" s="8" t="s">
        <v>1417</v>
      </c>
      <c r="F452" s="9" t="s">
        <v>1418</v>
      </c>
      <c r="G452" s="9" t="s">
        <v>1419</v>
      </c>
      <c r="H452" s="34"/>
      <c r="I452" s="9" t="s">
        <v>66</v>
      </c>
      <c r="J452" s="10" t="s">
        <v>223</v>
      </c>
      <c r="K452" s="15" t="str">
        <f>VLOOKUP(J452,DADOS!$A$3:$B$105,2,FALSE)</f>
        <v>EE-GI-024-008</v>
      </c>
      <c r="L452" s="15" t="s">
        <v>299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 t="s">
        <v>426</v>
      </c>
      <c r="X452" s="12" t="s">
        <v>14</v>
      </c>
      <c r="Y452" s="12" t="s">
        <v>14</v>
      </c>
      <c r="Z452" s="13" t="s">
        <v>270</v>
      </c>
    </row>
    <row r="453" spans="1:26" ht="19.899999999999999" customHeight="1" x14ac:dyDescent="0.25">
      <c r="A453" s="6">
        <v>45957</v>
      </c>
      <c r="B453" s="7" t="s">
        <v>262</v>
      </c>
      <c r="C453" s="8" t="s">
        <v>1425</v>
      </c>
      <c r="D453" s="8" t="s">
        <v>402</v>
      </c>
      <c r="E453" s="8" t="s">
        <v>1426</v>
      </c>
      <c r="F453" s="9" t="s">
        <v>1427</v>
      </c>
      <c r="G453" s="9" t="s">
        <v>1428</v>
      </c>
      <c r="H453" s="9" t="s">
        <v>1429</v>
      </c>
      <c r="I453" s="9" t="s">
        <v>64</v>
      </c>
      <c r="J453" s="10" t="s">
        <v>186</v>
      </c>
      <c r="K453" s="15" t="str">
        <f>VLOOKUP(J453,DADOS!$A$3:$B$105,2,FALSE)</f>
        <v>EE-GI-001-008</v>
      </c>
      <c r="L453" s="15" t="s">
        <v>268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 t="s">
        <v>402</v>
      </c>
      <c r="X453" s="12" t="s">
        <v>14</v>
      </c>
      <c r="Y453" s="12" t="s">
        <v>14</v>
      </c>
      <c r="Z453" s="13" t="s">
        <v>270</v>
      </c>
    </row>
    <row r="454" spans="1:26" ht="19.899999999999999" customHeight="1" x14ac:dyDescent="0.25">
      <c r="A454" s="6">
        <v>45957</v>
      </c>
      <c r="B454" s="7" t="s">
        <v>262</v>
      </c>
      <c r="C454" s="8" t="s">
        <v>1434</v>
      </c>
      <c r="D454" s="8" t="s">
        <v>264</v>
      </c>
      <c r="E454" s="8" t="s">
        <v>1433</v>
      </c>
      <c r="F454" s="9" t="s">
        <v>1432</v>
      </c>
      <c r="G454" s="9" t="s">
        <v>1431</v>
      </c>
      <c r="H454" s="9" t="s">
        <v>1430</v>
      </c>
      <c r="I454" s="9" t="s">
        <v>64</v>
      </c>
      <c r="J454" s="10" t="s">
        <v>186</v>
      </c>
      <c r="K454" s="15" t="str">
        <f>VLOOKUP(J454,DADOS!$A$3:$B$105,2,FALSE)</f>
        <v>EE-GI-001-008</v>
      </c>
      <c r="L454" s="15" t="s">
        <v>299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 t="s">
        <v>264</v>
      </c>
      <c r="X454" s="12" t="s">
        <v>14</v>
      </c>
      <c r="Y454" s="12" t="s">
        <v>14</v>
      </c>
      <c r="Z454" s="13" t="s">
        <v>270</v>
      </c>
    </row>
    <row r="455" spans="1:26" ht="19.899999999999999" customHeight="1" x14ac:dyDescent="0.25">
      <c r="A455" s="6">
        <v>45957</v>
      </c>
      <c r="B455" s="7" t="s">
        <v>490</v>
      </c>
      <c r="C455" s="8" t="s">
        <v>1435</v>
      </c>
      <c r="D455" s="8" t="s">
        <v>264</v>
      </c>
      <c r="E455" s="8" t="s">
        <v>1436</v>
      </c>
      <c r="F455" s="9" t="s">
        <v>1437</v>
      </c>
      <c r="G455" s="9" t="s">
        <v>1438</v>
      </c>
      <c r="H455" s="9" t="s">
        <v>1440</v>
      </c>
      <c r="I455" s="9" t="s">
        <v>97</v>
      </c>
      <c r="J455" s="10" t="s">
        <v>210</v>
      </c>
      <c r="K455" s="15" t="str">
        <f>VLOOKUP(J455,DADOS!$A$3:$B$105,2,FALSE)</f>
        <v>EE-GI-021-008</v>
      </c>
      <c r="L455" s="15" t="s">
        <v>268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 t="s">
        <v>14</v>
      </c>
      <c r="X455" s="12" t="s">
        <v>264</v>
      </c>
      <c r="Y455" s="12" t="s">
        <v>1439</v>
      </c>
      <c r="Z455" s="12" t="s">
        <v>270</v>
      </c>
    </row>
    <row r="456" spans="1:26" ht="19.899999999999999" customHeight="1" x14ac:dyDescent="0.25">
      <c r="A456" s="6">
        <v>45957</v>
      </c>
      <c r="B456" s="7" t="s">
        <v>334</v>
      </c>
      <c r="C456" s="8" t="s">
        <v>1466</v>
      </c>
      <c r="D456" s="8" t="s">
        <v>331</v>
      </c>
      <c r="E456" s="8" t="s">
        <v>1467</v>
      </c>
      <c r="F456" s="9" t="s">
        <v>1468</v>
      </c>
      <c r="G456" s="9" t="s">
        <v>710</v>
      </c>
      <c r="H456" s="9" t="s">
        <v>14</v>
      </c>
      <c r="I456" s="9" t="s">
        <v>67</v>
      </c>
      <c r="J456" s="10" t="s">
        <v>186</v>
      </c>
      <c r="K456" s="15" t="str">
        <f>VLOOKUP(J456,DADOS!$A$3:$B$105,2,FALSE)</f>
        <v>EE-GI-001-008</v>
      </c>
      <c r="L456" s="15" t="s">
        <v>268</v>
      </c>
      <c r="M456" s="18" t="b">
        <v>0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1</v>
      </c>
      <c r="W456" s="11" t="s">
        <v>331</v>
      </c>
      <c r="X456" s="12" t="s">
        <v>14</v>
      </c>
      <c r="Y456" s="12" t="s">
        <v>14</v>
      </c>
      <c r="Z456" s="13" t="s">
        <v>270</v>
      </c>
    </row>
    <row r="457" spans="1:26" ht="19.899999999999999" customHeight="1" x14ac:dyDescent="0.25">
      <c r="A457" s="6">
        <v>45957</v>
      </c>
      <c r="B457" s="7" t="s">
        <v>334</v>
      </c>
      <c r="C457" s="8" t="s">
        <v>1469</v>
      </c>
      <c r="D457" s="8" t="s">
        <v>408</v>
      </c>
      <c r="E457" s="8" t="s">
        <v>1467</v>
      </c>
      <c r="F457" s="9" t="s">
        <v>1470</v>
      </c>
      <c r="G457" s="9" t="s">
        <v>710</v>
      </c>
      <c r="H457" s="9" t="s">
        <v>14</v>
      </c>
      <c r="I457" s="9" t="s">
        <v>66</v>
      </c>
      <c r="J457" s="10" t="s">
        <v>186</v>
      </c>
      <c r="K457" s="15" t="str">
        <f>VLOOKUP(J457,DADOS!$A$3:$B$105,2,FALSE)</f>
        <v>EE-GI-001-008</v>
      </c>
      <c r="L457" s="15" t="s">
        <v>268</v>
      </c>
      <c r="M457" s="18" t="b">
        <v>0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1</v>
      </c>
      <c r="W457" s="11" t="s">
        <v>408</v>
      </c>
      <c r="X457" s="12" t="s">
        <v>14</v>
      </c>
      <c r="Y457" s="12" t="s">
        <v>14</v>
      </c>
      <c r="Z457" s="13" t="s">
        <v>270</v>
      </c>
    </row>
    <row r="458" spans="1:26" ht="19.899999999999999" customHeight="1" x14ac:dyDescent="0.25">
      <c r="A458" s="6">
        <v>45957</v>
      </c>
      <c r="B458" s="7" t="s">
        <v>334</v>
      </c>
      <c r="C458" s="8" t="s">
        <v>1062</v>
      </c>
      <c r="D458" s="8" t="s">
        <v>409</v>
      </c>
      <c r="E458" s="8" t="s">
        <v>1467</v>
      </c>
      <c r="F458" s="9" t="s">
        <v>1063</v>
      </c>
      <c r="G458" s="9" t="s">
        <v>1471</v>
      </c>
      <c r="H458" s="9" t="s">
        <v>14</v>
      </c>
      <c r="I458" s="9" t="s">
        <v>66</v>
      </c>
      <c r="J458" s="10" t="s">
        <v>186</v>
      </c>
      <c r="K458" s="15" t="str">
        <f>VLOOKUP(J458,DADOS!$A$3:$B$105,2,FALSE)</f>
        <v>EE-GI-001-008</v>
      </c>
      <c r="L458" s="15" t="s">
        <v>299</v>
      </c>
      <c r="M458" s="18" t="b">
        <v>0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1</v>
      </c>
      <c r="W458" s="11" t="s">
        <v>409</v>
      </c>
      <c r="X458" s="12" t="s">
        <v>14</v>
      </c>
      <c r="Y458" s="12" t="s">
        <v>14</v>
      </c>
      <c r="Z458" s="13" t="s">
        <v>270</v>
      </c>
    </row>
    <row r="459" spans="1:26" ht="19.899999999999999" customHeight="1" x14ac:dyDescent="0.25">
      <c r="A459" s="6">
        <v>45957</v>
      </c>
      <c r="B459" s="7" t="s">
        <v>334</v>
      </c>
      <c r="C459" s="8" t="s">
        <v>1675</v>
      </c>
      <c r="D459" s="8" t="s">
        <v>408</v>
      </c>
      <c r="E459" s="8" t="s">
        <v>1467</v>
      </c>
      <c r="F459" s="9" t="s">
        <v>1676</v>
      </c>
      <c r="G459" s="9" t="s">
        <v>1677</v>
      </c>
      <c r="H459" s="9" t="s">
        <v>14</v>
      </c>
      <c r="I459" s="9" t="s">
        <v>65</v>
      </c>
      <c r="J459" s="10" t="s">
        <v>255</v>
      </c>
      <c r="K459" s="15" t="str">
        <f>VLOOKUP(J459,DADOS!$A$3:$B$105,2,FALSE)</f>
        <v>EE-GI-001-074</v>
      </c>
      <c r="L459" s="15" t="s">
        <v>268</v>
      </c>
      <c r="M459" s="18" t="b">
        <v>0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1</v>
      </c>
      <c r="S459" s="17" t="b">
        <v>0</v>
      </c>
      <c r="T459" s="17" t="b">
        <v>1</v>
      </c>
      <c r="U459" s="17" t="b">
        <v>1</v>
      </c>
      <c r="V459" s="17" t="b">
        <v>1</v>
      </c>
      <c r="W459" s="11" t="s">
        <v>408</v>
      </c>
      <c r="X459" s="12" t="s">
        <v>14</v>
      </c>
      <c r="Y459" s="12" t="s">
        <v>14</v>
      </c>
      <c r="Z459" s="13" t="s">
        <v>270</v>
      </c>
    </row>
    <row r="460" spans="1:26" ht="19.899999999999999" customHeight="1" x14ac:dyDescent="0.25">
      <c r="A460" s="6">
        <v>45957</v>
      </c>
      <c r="B460" s="7" t="s">
        <v>334</v>
      </c>
      <c r="C460" s="8" t="s">
        <v>1804</v>
      </c>
      <c r="D460" s="8" t="s">
        <v>344</v>
      </c>
      <c r="E460" s="8" t="s">
        <v>1467</v>
      </c>
      <c r="F460" s="9" t="s">
        <v>1805</v>
      </c>
      <c r="G460" s="9" t="s">
        <v>1806</v>
      </c>
      <c r="H460" s="9" t="s">
        <v>14</v>
      </c>
      <c r="I460" s="9" t="s">
        <v>66</v>
      </c>
      <c r="J460" s="10" t="s">
        <v>15</v>
      </c>
      <c r="K460" s="15" t="str">
        <f>VLOOKUP(J460,DADOS!$A$3:$B$105,2,FALSE)</f>
        <v>EE-GI-001-002</v>
      </c>
      <c r="L460" s="15" t="s">
        <v>299</v>
      </c>
      <c r="M460" s="18" t="b">
        <v>0</v>
      </c>
      <c r="N460" s="17" t="b">
        <v>1</v>
      </c>
      <c r="O460" s="17" t="b">
        <v>1</v>
      </c>
      <c r="P460" s="17" t="b">
        <v>1</v>
      </c>
      <c r="Q460" s="17" t="b">
        <v>0</v>
      </c>
      <c r="R460" s="17" t="b">
        <v>1</v>
      </c>
      <c r="S460" s="17" t="b">
        <v>0</v>
      </c>
      <c r="T460" s="17" t="b">
        <v>0</v>
      </c>
      <c r="U460" s="17" t="b">
        <v>0</v>
      </c>
      <c r="V460" s="17" t="b">
        <v>1</v>
      </c>
      <c r="W460" s="11" t="s">
        <v>344</v>
      </c>
      <c r="X460" s="12" t="s">
        <v>14</v>
      </c>
      <c r="Y460" s="12" t="s">
        <v>14</v>
      </c>
      <c r="Z460" s="13" t="s">
        <v>270</v>
      </c>
    </row>
    <row r="461" spans="1:26" ht="19.899999999999999" customHeight="1" x14ac:dyDescent="0.25">
      <c r="A461" s="6">
        <v>45957</v>
      </c>
      <c r="B461" s="7" t="s">
        <v>334</v>
      </c>
      <c r="C461" s="8" t="s">
        <v>1804</v>
      </c>
      <c r="D461" s="8" t="s">
        <v>1163</v>
      </c>
      <c r="E461" s="8" t="s">
        <v>1807</v>
      </c>
      <c r="F461" s="9" t="s">
        <v>1808</v>
      </c>
      <c r="G461" s="9" t="s">
        <v>1809</v>
      </c>
      <c r="H461" s="9" t="s">
        <v>14</v>
      </c>
      <c r="I461" s="9" t="s">
        <v>66</v>
      </c>
      <c r="J461" s="10" t="s">
        <v>15</v>
      </c>
      <c r="K461" s="15" t="str">
        <f>VLOOKUP(J461,DADOS!$A$3:$B$105,2,FALSE)</f>
        <v>EE-GI-001-002</v>
      </c>
      <c r="L461" s="15" t="s">
        <v>299</v>
      </c>
      <c r="M461" s="18" t="b">
        <v>0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1</v>
      </c>
      <c r="S461" s="17" t="b">
        <v>0</v>
      </c>
      <c r="T461" s="17" t="b">
        <v>0</v>
      </c>
      <c r="U461" s="17" t="b">
        <v>0</v>
      </c>
      <c r="V461" s="17" t="b">
        <v>1</v>
      </c>
      <c r="W461" s="11" t="s">
        <v>1163</v>
      </c>
      <c r="X461" s="12" t="s">
        <v>14</v>
      </c>
      <c r="Y461" s="12" t="s">
        <v>14</v>
      </c>
      <c r="Z461" s="13" t="s">
        <v>270</v>
      </c>
    </row>
    <row r="462" spans="1:26" ht="19.899999999999999" customHeight="1" x14ac:dyDescent="0.25">
      <c r="A462" s="6">
        <v>45957</v>
      </c>
      <c r="B462" s="7" t="s">
        <v>1037</v>
      </c>
      <c r="C462" s="8" t="s">
        <v>1703</v>
      </c>
      <c r="D462" s="8" t="s">
        <v>408</v>
      </c>
      <c r="E462" s="8" t="s">
        <v>1449</v>
      </c>
      <c r="F462" s="9" t="s">
        <v>1704</v>
      </c>
      <c r="G462" s="9" t="s">
        <v>1705</v>
      </c>
      <c r="H462" s="9" t="s">
        <v>1706</v>
      </c>
      <c r="I462" s="9" t="s">
        <v>93</v>
      </c>
      <c r="J462" s="10" t="s">
        <v>176</v>
      </c>
      <c r="K462" s="15" t="str">
        <f>VLOOKUP(J462,DADOS!$A$3:$B$105,2,FALSE)</f>
        <v>EE-GI-001-011</v>
      </c>
      <c r="L462" s="15" t="s">
        <v>299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1</v>
      </c>
      <c r="S462" s="17" t="b">
        <v>0</v>
      </c>
      <c r="T462" s="17" t="b">
        <v>0</v>
      </c>
      <c r="U462" s="17" t="b">
        <v>0</v>
      </c>
      <c r="V462" s="17" t="b">
        <v>1</v>
      </c>
      <c r="W462" s="11" t="s">
        <v>408</v>
      </c>
      <c r="X462" s="12" t="s">
        <v>14</v>
      </c>
      <c r="Y462" s="12" t="s">
        <v>14</v>
      </c>
      <c r="Z462" s="13" t="s">
        <v>270</v>
      </c>
    </row>
    <row r="463" spans="1:26" ht="19.899999999999999" customHeight="1" x14ac:dyDescent="0.25">
      <c r="A463" s="6">
        <v>45957</v>
      </c>
      <c r="B463" s="7" t="s">
        <v>1713</v>
      </c>
      <c r="C463" s="8" t="s">
        <v>1714</v>
      </c>
      <c r="D463" s="8" t="s">
        <v>331</v>
      </c>
      <c r="E463" s="8" t="s">
        <v>1715</v>
      </c>
      <c r="F463" s="9" t="s">
        <v>1716</v>
      </c>
      <c r="G463" s="9" t="s">
        <v>1717</v>
      </c>
      <c r="H463" s="9" t="s">
        <v>1718</v>
      </c>
      <c r="I463" s="9" t="s">
        <v>73</v>
      </c>
      <c r="J463" s="10" t="s">
        <v>174</v>
      </c>
      <c r="K463" s="15" t="str">
        <f>VLOOKUP(J463,DADOS!$A$3:$B$105,2,FALSE)</f>
        <v>EE-GI-001-007</v>
      </c>
      <c r="L463" s="15" t="s">
        <v>1719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0</v>
      </c>
      <c r="S463" s="17" t="b">
        <v>1</v>
      </c>
      <c r="T463" s="17" t="b">
        <v>0</v>
      </c>
      <c r="U463" s="17" t="b">
        <v>0</v>
      </c>
      <c r="V463" s="17" t="b">
        <v>0</v>
      </c>
      <c r="W463" s="11" t="s">
        <v>331</v>
      </c>
      <c r="X463" s="12" t="s">
        <v>14</v>
      </c>
      <c r="Y463" s="12" t="s">
        <v>14</v>
      </c>
      <c r="Z463" s="13" t="s">
        <v>270</v>
      </c>
    </row>
    <row r="464" spans="1:26" ht="19.899999999999999" customHeight="1" x14ac:dyDescent="0.25">
      <c r="A464" s="6">
        <v>45957</v>
      </c>
      <c r="B464" s="7" t="s">
        <v>1713</v>
      </c>
      <c r="C464" s="8" t="s">
        <v>1720</v>
      </c>
      <c r="D464" s="8" t="s">
        <v>408</v>
      </c>
      <c r="E464" s="8" t="s">
        <v>1715</v>
      </c>
      <c r="F464" s="9" t="s">
        <v>1721</v>
      </c>
      <c r="G464" s="9" t="s">
        <v>658</v>
      </c>
      <c r="H464" s="9" t="s">
        <v>1722</v>
      </c>
      <c r="I464" s="9" t="s">
        <v>66</v>
      </c>
      <c r="J464" s="10" t="s">
        <v>174</v>
      </c>
      <c r="K464" s="15" t="str">
        <f>VLOOKUP(J464,DADOS!$A$3:$B$105,2,FALSE)</f>
        <v>EE-GI-001-007</v>
      </c>
      <c r="L464" s="15" t="s">
        <v>1719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0</v>
      </c>
      <c r="S464" s="17" t="b">
        <v>1</v>
      </c>
      <c r="T464" s="17" t="b">
        <v>0</v>
      </c>
      <c r="U464" s="17" t="b">
        <v>0</v>
      </c>
      <c r="V464" s="17" t="b">
        <v>0</v>
      </c>
      <c r="W464" s="11" t="s">
        <v>408</v>
      </c>
      <c r="X464" s="12" t="s">
        <v>14</v>
      </c>
      <c r="Y464" s="12" t="s">
        <v>14</v>
      </c>
      <c r="Z464" s="13" t="s">
        <v>270</v>
      </c>
    </row>
    <row r="465" spans="1:26" ht="19.899999999999999" customHeight="1" x14ac:dyDescent="0.25">
      <c r="A465" s="6">
        <v>45957</v>
      </c>
      <c r="B465" s="7" t="s">
        <v>1713</v>
      </c>
      <c r="C465" s="8" t="s">
        <v>1723</v>
      </c>
      <c r="D465" s="8" t="s">
        <v>308</v>
      </c>
      <c r="E465" s="8" t="s">
        <v>1715</v>
      </c>
      <c r="F465" s="9" t="s">
        <v>1724</v>
      </c>
      <c r="G465" s="9" t="s">
        <v>1035</v>
      </c>
      <c r="H465" s="9" t="s">
        <v>1725</v>
      </c>
      <c r="I465" s="9" t="s">
        <v>67</v>
      </c>
      <c r="J465" s="10" t="s">
        <v>174</v>
      </c>
      <c r="K465" s="15" t="str">
        <f>VLOOKUP(J465,DADOS!$A$3:$B$105,2,FALSE)</f>
        <v>EE-GI-001-007</v>
      </c>
      <c r="L465" s="15" t="s">
        <v>1719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0</v>
      </c>
      <c r="S465" s="17" t="b">
        <v>1</v>
      </c>
      <c r="T465" s="17" t="b">
        <v>0</v>
      </c>
      <c r="U465" s="17" t="b">
        <v>0</v>
      </c>
      <c r="V465" s="17" t="b">
        <v>0</v>
      </c>
      <c r="W465" s="11" t="s">
        <v>308</v>
      </c>
      <c r="X465" s="12" t="s">
        <v>14</v>
      </c>
      <c r="Y465" s="12" t="s">
        <v>14</v>
      </c>
      <c r="Z465" s="13" t="s">
        <v>270</v>
      </c>
    </row>
    <row r="466" spans="1:26" ht="19.899999999999999" customHeight="1" x14ac:dyDescent="0.25">
      <c r="A466" s="6">
        <v>45957</v>
      </c>
      <c r="B466" s="7" t="s">
        <v>1713</v>
      </c>
      <c r="C466" s="8" t="s">
        <v>1723</v>
      </c>
      <c r="D466" s="8" t="s">
        <v>264</v>
      </c>
      <c r="E466" s="8" t="s">
        <v>1715</v>
      </c>
      <c r="F466" s="9" t="s">
        <v>1726</v>
      </c>
      <c r="G466" s="9" t="s">
        <v>1035</v>
      </c>
      <c r="H466" s="9" t="s">
        <v>1725</v>
      </c>
      <c r="I466" s="9" t="s">
        <v>67</v>
      </c>
      <c r="J466" s="10" t="s">
        <v>174</v>
      </c>
      <c r="K466" s="15" t="str">
        <f>VLOOKUP(J466,DADOS!$A$3:$B$105,2,FALSE)</f>
        <v>EE-GI-001-007</v>
      </c>
      <c r="L466" s="15" t="s">
        <v>1719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0</v>
      </c>
      <c r="S466" s="17" t="b">
        <v>1</v>
      </c>
      <c r="T466" s="17" t="b">
        <v>0</v>
      </c>
      <c r="U466" s="17" t="b">
        <v>0</v>
      </c>
      <c r="V466" s="17" t="b">
        <v>0</v>
      </c>
      <c r="W466" s="11" t="s">
        <v>264</v>
      </c>
      <c r="X466" s="12" t="s">
        <v>14</v>
      </c>
      <c r="Y466" s="12" t="s">
        <v>14</v>
      </c>
      <c r="Z466" s="13" t="s">
        <v>270</v>
      </c>
    </row>
    <row r="467" spans="1:26" ht="19.899999999999999" customHeight="1" x14ac:dyDescent="0.25">
      <c r="A467" s="6">
        <v>45957</v>
      </c>
      <c r="B467" s="7" t="s">
        <v>1713</v>
      </c>
      <c r="C467" s="8" t="s">
        <v>1727</v>
      </c>
      <c r="D467" s="8" t="s">
        <v>264</v>
      </c>
      <c r="E467" s="8" t="s">
        <v>1715</v>
      </c>
      <c r="F467" s="9" t="s">
        <v>1729</v>
      </c>
      <c r="G467" s="9" t="s">
        <v>1730</v>
      </c>
      <c r="H467" s="9" t="s">
        <v>1731</v>
      </c>
      <c r="I467" s="9" t="s">
        <v>68</v>
      </c>
      <c r="J467" s="10" t="s">
        <v>174</v>
      </c>
      <c r="K467" s="15" t="str">
        <f>VLOOKUP(J467,DADOS!$A$3:$B$105,2,FALSE)</f>
        <v>EE-GI-001-007</v>
      </c>
      <c r="L467" s="15" t="s">
        <v>1719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0</v>
      </c>
      <c r="S467" s="17" t="b">
        <v>1</v>
      </c>
      <c r="T467" s="17" t="b">
        <v>0</v>
      </c>
      <c r="U467" s="17" t="b">
        <v>0</v>
      </c>
      <c r="V467" s="17" t="b">
        <v>0</v>
      </c>
      <c r="W467" s="11" t="s">
        <v>264</v>
      </c>
      <c r="X467" s="12" t="s">
        <v>14</v>
      </c>
      <c r="Y467" s="12" t="s">
        <v>14</v>
      </c>
      <c r="Z467" s="13" t="s">
        <v>270</v>
      </c>
    </row>
    <row r="468" spans="1:26" ht="19.899999999999999" customHeight="1" x14ac:dyDescent="0.25">
      <c r="A468" s="6">
        <v>45957</v>
      </c>
      <c r="B468" s="7" t="s">
        <v>1713</v>
      </c>
      <c r="C468" s="8" t="s">
        <v>1732</v>
      </c>
      <c r="D468" s="8" t="s">
        <v>264</v>
      </c>
      <c r="E468" s="8" t="s">
        <v>1715</v>
      </c>
      <c r="F468" s="9" t="s">
        <v>1728</v>
      </c>
      <c r="G468" s="9" t="s">
        <v>1734</v>
      </c>
      <c r="H468" s="9" t="s">
        <v>1735</v>
      </c>
      <c r="I468" s="9" t="s">
        <v>68</v>
      </c>
      <c r="J468" s="10" t="s">
        <v>174</v>
      </c>
      <c r="K468" s="15" t="str">
        <f>VLOOKUP(J468,DADOS!$A$3:$B$105,2,FALSE)</f>
        <v>EE-GI-001-007</v>
      </c>
      <c r="L468" s="15" t="s">
        <v>1719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0</v>
      </c>
      <c r="S468" s="17" t="b">
        <v>1</v>
      </c>
      <c r="T468" s="17" t="b">
        <v>0</v>
      </c>
      <c r="U468" s="17" t="b">
        <v>0</v>
      </c>
      <c r="V468" s="17" t="b">
        <v>0</v>
      </c>
      <c r="W468" s="11" t="s">
        <v>264</v>
      </c>
      <c r="X468" s="12" t="s">
        <v>14</v>
      </c>
      <c r="Y468" s="12" t="s">
        <v>14</v>
      </c>
      <c r="Z468" s="13" t="s">
        <v>270</v>
      </c>
    </row>
    <row r="469" spans="1:26" ht="19.899999999999999" customHeight="1" x14ac:dyDescent="0.25">
      <c r="A469" s="6">
        <v>45957</v>
      </c>
      <c r="B469" s="7" t="s">
        <v>1713</v>
      </c>
      <c r="C469" s="8" t="s">
        <v>1736</v>
      </c>
      <c r="D469" s="8" t="s">
        <v>1255</v>
      </c>
      <c r="E469" s="8" t="s">
        <v>1715</v>
      </c>
      <c r="F469" s="9" t="s">
        <v>1737</v>
      </c>
      <c r="G469" s="9" t="s">
        <v>1738</v>
      </c>
      <c r="H469" s="9" t="s">
        <v>1739</v>
      </c>
      <c r="I469" s="9" t="s">
        <v>66</v>
      </c>
      <c r="J469" s="10" t="s">
        <v>174</v>
      </c>
      <c r="K469" s="15" t="str">
        <f>VLOOKUP(J469,DADOS!$A$3:$B$105,2,FALSE)</f>
        <v>EE-GI-001-007</v>
      </c>
      <c r="L469" s="15" t="s">
        <v>1719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0</v>
      </c>
      <c r="S469" s="17" t="b">
        <v>1</v>
      </c>
      <c r="T469" s="17" t="b">
        <v>0</v>
      </c>
      <c r="U469" s="17" t="b">
        <v>0</v>
      </c>
      <c r="V469" s="17" t="b">
        <v>0</v>
      </c>
      <c r="W469" s="11" t="s">
        <v>1255</v>
      </c>
      <c r="X469" s="12" t="s">
        <v>14</v>
      </c>
      <c r="Y469" s="12" t="s">
        <v>14</v>
      </c>
      <c r="Z469" s="13" t="s">
        <v>270</v>
      </c>
    </row>
    <row r="470" spans="1:26" ht="19.899999999999999" customHeight="1" x14ac:dyDescent="0.25">
      <c r="A470" s="6">
        <v>45957</v>
      </c>
      <c r="B470" s="7" t="s">
        <v>1713</v>
      </c>
      <c r="C470" s="8" t="s">
        <v>1740</v>
      </c>
      <c r="D470" s="8" t="s">
        <v>331</v>
      </c>
      <c r="E470" s="8" t="s">
        <v>1715</v>
      </c>
      <c r="F470" s="9" t="s">
        <v>1742</v>
      </c>
      <c r="G470" s="9" t="s">
        <v>1743</v>
      </c>
      <c r="H470" s="9" t="s">
        <v>1744</v>
      </c>
      <c r="I470" s="9" t="s">
        <v>73</v>
      </c>
      <c r="J470" s="10" t="s">
        <v>174</v>
      </c>
      <c r="K470" s="15" t="str">
        <f>VLOOKUP(J470,DADOS!$A$3:$B$105,2,FALSE)</f>
        <v>EE-GI-001-007</v>
      </c>
      <c r="L470" s="15" t="s">
        <v>1719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0</v>
      </c>
      <c r="S470" s="17" t="b">
        <v>1</v>
      </c>
      <c r="T470" s="17" t="b">
        <v>0</v>
      </c>
      <c r="U470" s="17" t="b">
        <v>0</v>
      </c>
      <c r="V470" s="17" t="b">
        <v>0</v>
      </c>
      <c r="W470" s="11" t="s">
        <v>331</v>
      </c>
      <c r="X470" s="12" t="s">
        <v>14</v>
      </c>
      <c r="Y470" s="12" t="s">
        <v>14</v>
      </c>
      <c r="Z470" s="13" t="s">
        <v>270</v>
      </c>
    </row>
    <row r="471" spans="1:26" ht="19.899999999999999" customHeight="1" x14ac:dyDescent="0.25">
      <c r="A471" s="6">
        <v>45957</v>
      </c>
      <c r="B471" s="7" t="s">
        <v>1713</v>
      </c>
      <c r="C471" s="8" t="s">
        <v>1745</v>
      </c>
      <c r="D471" s="8" t="s">
        <v>1265</v>
      </c>
      <c r="E471" s="8" t="s">
        <v>1715</v>
      </c>
      <c r="F471" s="9" t="s">
        <v>1741</v>
      </c>
      <c r="G471" s="9" t="s">
        <v>687</v>
      </c>
      <c r="H471" s="9" t="s">
        <v>1746</v>
      </c>
      <c r="I471" s="9" t="s">
        <v>66</v>
      </c>
      <c r="J471" s="10" t="s">
        <v>174</v>
      </c>
      <c r="K471" s="15" t="str">
        <f>VLOOKUP(J471,DADOS!$A$3:$B$105,2,FALSE)</f>
        <v>EE-GI-001-007</v>
      </c>
      <c r="L471" s="15" t="s">
        <v>1719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0</v>
      </c>
      <c r="S471" s="17" t="b">
        <v>1</v>
      </c>
      <c r="T471" s="17" t="b">
        <v>0</v>
      </c>
      <c r="U471" s="17" t="b">
        <v>0</v>
      </c>
      <c r="V471" s="17" t="b">
        <v>0</v>
      </c>
      <c r="W471" s="11" t="s">
        <v>1265</v>
      </c>
      <c r="X471" s="12" t="s">
        <v>14</v>
      </c>
      <c r="Y471" s="12" t="s">
        <v>14</v>
      </c>
      <c r="Z471" s="13" t="s">
        <v>270</v>
      </c>
    </row>
    <row r="472" spans="1:26" ht="19.899999999999999" customHeight="1" x14ac:dyDescent="0.25">
      <c r="A472" s="6">
        <v>45957</v>
      </c>
      <c r="B472" s="7" t="s">
        <v>1713</v>
      </c>
      <c r="C472" s="8" t="s">
        <v>1745</v>
      </c>
      <c r="D472" s="8" t="s">
        <v>1070</v>
      </c>
      <c r="E472" s="8" t="s">
        <v>1715</v>
      </c>
      <c r="F472" s="9" t="s">
        <v>1747</v>
      </c>
      <c r="G472" s="9" t="s">
        <v>687</v>
      </c>
      <c r="H472" s="9" t="s">
        <v>1746</v>
      </c>
      <c r="I472" s="9" t="s">
        <v>66</v>
      </c>
      <c r="J472" s="10" t="s">
        <v>174</v>
      </c>
      <c r="K472" s="15" t="str">
        <f>VLOOKUP(J472,DADOS!$A$3:$B$105,2,FALSE)</f>
        <v>EE-GI-001-007</v>
      </c>
      <c r="L472" s="15" t="s">
        <v>1719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0</v>
      </c>
      <c r="R472" s="17" t="b">
        <v>0</v>
      </c>
      <c r="S472" s="17" t="b">
        <v>1</v>
      </c>
      <c r="T472" s="17" t="b">
        <v>0</v>
      </c>
      <c r="U472" s="17" t="b">
        <v>0</v>
      </c>
      <c r="V472" s="17" t="b">
        <v>0</v>
      </c>
      <c r="W472" s="11" t="s">
        <v>1070</v>
      </c>
      <c r="X472" s="12" t="s">
        <v>14</v>
      </c>
      <c r="Y472" s="12" t="s">
        <v>14</v>
      </c>
      <c r="Z472" s="13" t="s">
        <v>270</v>
      </c>
    </row>
    <row r="473" spans="1:26" ht="19.899999999999999" customHeight="1" x14ac:dyDescent="0.25">
      <c r="A473" s="6">
        <v>45957</v>
      </c>
      <c r="B473" s="7" t="s">
        <v>1713</v>
      </c>
      <c r="C473" s="8" t="s">
        <v>1745</v>
      </c>
      <c r="D473" s="8" t="s">
        <v>1265</v>
      </c>
      <c r="E473" s="8" t="s">
        <v>1715</v>
      </c>
      <c r="F473" s="9" t="s">
        <v>1748</v>
      </c>
      <c r="G473" s="9" t="s">
        <v>687</v>
      </c>
      <c r="H473" s="9" t="s">
        <v>1746</v>
      </c>
      <c r="I473" s="9" t="s">
        <v>66</v>
      </c>
      <c r="J473" s="10" t="s">
        <v>174</v>
      </c>
      <c r="K473" s="15" t="str">
        <f>VLOOKUP(J473,DADOS!$A$3:$B$105,2,FALSE)</f>
        <v>EE-GI-001-007</v>
      </c>
      <c r="L473" s="15" t="s">
        <v>1719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0</v>
      </c>
      <c r="S473" s="17" t="b">
        <v>1</v>
      </c>
      <c r="T473" s="17" t="b">
        <v>0</v>
      </c>
      <c r="U473" s="17" t="b">
        <v>0</v>
      </c>
      <c r="V473" s="17" t="b">
        <v>0</v>
      </c>
      <c r="W473" s="11" t="s">
        <v>1265</v>
      </c>
      <c r="X473" s="12" t="s">
        <v>14</v>
      </c>
      <c r="Y473" s="12" t="s">
        <v>14</v>
      </c>
      <c r="Z473" s="13" t="s">
        <v>270</v>
      </c>
    </row>
    <row r="474" spans="1:26" ht="19.899999999999999" customHeight="1" x14ac:dyDescent="0.25">
      <c r="A474" s="6">
        <v>45957</v>
      </c>
      <c r="B474" s="7" t="s">
        <v>1713</v>
      </c>
      <c r="C474" s="8" t="s">
        <v>1745</v>
      </c>
      <c r="D474" s="8" t="s">
        <v>409</v>
      </c>
      <c r="E474" s="8" t="s">
        <v>1715</v>
      </c>
      <c r="F474" s="9" t="s">
        <v>1749</v>
      </c>
      <c r="G474" s="9" t="s">
        <v>687</v>
      </c>
      <c r="H474" s="9" t="s">
        <v>1746</v>
      </c>
      <c r="I474" s="9" t="s">
        <v>66</v>
      </c>
      <c r="J474" s="10" t="s">
        <v>174</v>
      </c>
      <c r="K474" s="15" t="str">
        <f>VLOOKUP(J474,DADOS!$A$3:$B$105,2,FALSE)</f>
        <v>EE-GI-001-007</v>
      </c>
      <c r="L474" s="15" t="s">
        <v>1719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0</v>
      </c>
      <c r="S474" s="17" t="b">
        <v>1</v>
      </c>
      <c r="T474" s="17" t="b">
        <v>0</v>
      </c>
      <c r="U474" s="17" t="b">
        <v>0</v>
      </c>
      <c r="V474" s="17" t="b">
        <v>0</v>
      </c>
      <c r="W474" s="11" t="s">
        <v>409</v>
      </c>
      <c r="X474" s="12" t="s">
        <v>14</v>
      </c>
      <c r="Y474" s="12" t="s">
        <v>14</v>
      </c>
      <c r="Z474" s="13" t="s">
        <v>270</v>
      </c>
    </row>
    <row r="475" spans="1:26" ht="19.899999999999999" customHeight="1" x14ac:dyDescent="0.25">
      <c r="A475" s="6">
        <v>45957</v>
      </c>
      <c r="B475" s="7" t="s">
        <v>1713</v>
      </c>
      <c r="C475" s="8" t="s">
        <v>1751</v>
      </c>
      <c r="D475" s="8" t="s">
        <v>336</v>
      </c>
      <c r="E475" s="8" t="s">
        <v>1715</v>
      </c>
      <c r="F475" s="9" t="s">
        <v>1733</v>
      </c>
      <c r="G475" s="9" t="s">
        <v>1047</v>
      </c>
      <c r="H475" s="9" t="s">
        <v>1752</v>
      </c>
      <c r="I475" s="9" t="s">
        <v>66</v>
      </c>
      <c r="J475" s="10" t="s">
        <v>174</v>
      </c>
      <c r="K475" s="15" t="str">
        <f>VLOOKUP(J475,DADOS!$A$3:$B$105,2,FALSE)</f>
        <v>EE-GI-001-007</v>
      </c>
      <c r="L475" s="15" t="s">
        <v>1719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0</v>
      </c>
      <c r="S475" s="17" t="b">
        <v>1</v>
      </c>
      <c r="T475" s="17" t="b">
        <v>0</v>
      </c>
      <c r="U475" s="17" t="b">
        <v>0</v>
      </c>
      <c r="V475" s="17" t="b">
        <v>0</v>
      </c>
      <c r="W475" s="11" t="s">
        <v>336</v>
      </c>
      <c r="X475" s="12" t="s">
        <v>14</v>
      </c>
      <c r="Y475" s="12" t="s">
        <v>14</v>
      </c>
      <c r="Z475" s="13" t="s">
        <v>270</v>
      </c>
    </row>
    <row r="476" spans="1:26" ht="19.899999999999999" customHeight="1" x14ac:dyDescent="0.25">
      <c r="A476" s="6">
        <v>45958</v>
      </c>
      <c r="B476" s="7" t="s">
        <v>262</v>
      </c>
      <c r="C476" s="8" t="s">
        <v>1441</v>
      </c>
      <c r="D476" s="8" t="s">
        <v>264</v>
      </c>
      <c r="E476" s="8" t="s">
        <v>1426</v>
      </c>
      <c r="F476" s="9" t="s">
        <v>1442</v>
      </c>
      <c r="G476" s="9" t="s">
        <v>1445</v>
      </c>
      <c r="H476" s="34"/>
      <c r="I476" s="9" t="s">
        <v>64</v>
      </c>
      <c r="J476" s="10" t="s">
        <v>186</v>
      </c>
      <c r="K476" s="15" t="str">
        <f>VLOOKUP(J476,DADOS!$A$3:$B$105,2,FALSE)</f>
        <v>EE-GI-001-008</v>
      </c>
      <c r="L476" s="15" t="s">
        <v>383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0</v>
      </c>
      <c r="R476" s="17" t="b">
        <v>0</v>
      </c>
      <c r="S476" s="17" t="b">
        <v>0</v>
      </c>
      <c r="T476" s="17" t="b">
        <v>1</v>
      </c>
      <c r="U476" s="17" t="b">
        <v>1</v>
      </c>
      <c r="V476" s="17" t="b">
        <v>1</v>
      </c>
      <c r="W476" s="11" t="s">
        <v>264</v>
      </c>
      <c r="X476" s="12" t="s">
        <v>14</v>
      </c>
      <c r="Y476" s="12" t="s">
        <v>14</v>
      </c>
      <c r="Z476" s="13" t="s">
        <v>270</v>
      </c>
    </row>
    <row r="477" spans="1:26" ht="19.899999999999999" customHeight="1" x14ac:dyDescent="0.25">
      <c r="A477" s="6">
        <v>45958</v>
      </c>
      <c r="B477" s="7" t="s">
        <v>262</v>
      </c>
      <c r="C477" s="8" t="s">
        <v>1441</v>
      </c>
      <c r="D477" s="8" t="s">
        <v>264</v>
      </c>
      <c r="E477" s="8" t="s">
        <v>1426</v>
      </c>
      <c r="F477" s="9" t="s">
        <v>1443</v>
      </c>
      <c r="G477" s="9" t="s">
        <v>1446</v>
      </c>
      <c r="H477" s="34"/>
      <c r="I477" s="9" t="s">
        <v>64</v>
      </c>
      <c r="J477" s="10" t="s">
        <v>186</v>
      </c>
      <c r="K477" s="15" t="str">
        <f>VLOOKUP(J477,DADOS!$A$3:$B$105,2,FALSE)</f>
        <v>EE-GI-001-008</v>
      </c>
      <c r="L477" s="15" t="s">
        <v>383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0</v>
      </c>
      <c r="R477" s="17" t="b">
        <v>0</v>
      </c>
      <c r="S477" s="17" t="b">
        <v>0</v>
      </c>
      <c r="T477" s="17" t="b">
        <v>1</v>
      </c>
      <c r="U477" s="17" t="b">
        <v>1</v>
      </c>
      <c r="V477" s="17" t="b">
        <v>1</v>
      </c>
      <c r="W477" s="11" t="s">
        <v>264</v>
      </c>
      <c r="X477" s="12" t="s">
        <v>14</v>
      </c>
      <c r="Y477" s="12" t="s">
        <v>14</v>
      </c>
      <c r="Z477" s="13" t="s">
        <v>270</v>
      </c>
    </row>
    <row r="478" spans="1:26" ht="19.899999999999999" customHeight="1" x14ac:dyDescent="0.25">
      <c r="A478" s="6">
        <v>45958</v>
      </c>
      <c r="B478" s="7" t="s">
        <v>262</v>
      </c>
      <c r="C478" s="8" t="s">
        <v>1441</v>
      </c>
      <c r="D478" s="8" t="s">
        <v>264</v>
      </c>
      <c r="E478" s="8" t="s">
        <v>1426</v>
      </c>
      <c r="F478" s="9" t="s">
        <v>1444</v>
      </c>
      <c r="G478" s="9" t="s">
        <v>1447</v>
      </c>
      <c r="H478" s="34"/>
      <c r="I478" s="9" t="s">
        <v>64</v>
      </c>
      <c r="J478" s="10" t="s">
        <v>186</v>
      </c>
      <c r="K478" s="15" t="str">
        <f>VLOOKUP(J478,DADOS!$A$3:$B$105,2,FALSE)</f>
        <v>EE-GI-001-008</v>
      </c>
      <c r="L478" s="15" t="s">
        <v>383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0</v>
      </c>
      <c r="R478" s="17" t="b">
        <v>0</v>
      </c>
      <c r="S478" s="17" t="b">
        <v>0</v>
      </c>
      <c r="T478" s="17" t="b">
        <v>1</v>
      </c>
      <c r="U478" s="17" t="b">
        <v>1</v>
      </c>
      <c r="V478" s="17" t="b">
        <v>1</v>
      </c>
      <c r="W478" s="11" t="s">
        <v>264</v>
      </c>
      <c r="X478" s="12" t="s">
        <v>14</v>
      </c>
      <c r="Y478" s="12" t="s">
        <v>14</v>
      </c>
      <c r="Z478" s="13" t="s">
        <v>270</v>
      </c>
    </row>
    <row r="479" spans="1:26" ht="19.899999999999999" customHeight="1" x14ac:dyDescent="0.25">
      <c r="A479" s="6">
        <v>45958</v>
      </c>
      <c r="B479" s="7" t="s">
        <v>262</v>
      </c>
      <c r="C479" s="8" t="s">
        <v>1257</v>
      </c>
      <c r="D479" s="8" t="s">
        <v>331</v>
      </c>
      <c r="E479" s="8" t="s">
        <v>1455</v>
      </c>
      <c r="F479" s="9" t="s">
        <v>1456</v>
      </c>
      <c r="G479" s="9" t="s">
        <v>710</v>
      </c>
      <c r="H479" s="9" t="s">
        <v>1458</v>
      </c>
      <c r="I479" s="9" t="s">
        <v>68</v>
      </c>
      <c r="J479" s="10" t="s">
        <v>186</v>
      </c>
      <c r="K479" s="15" t="str">
        <f>VLOOKUP(J479,DADOS!$A$3:$B$105,2,FALSE)</f>
        <v>EE-GI-001-008</v>
      </c>
      <c r="L479" s="15" t="s">
        <v>383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1</v>
      </c>
      <c r="W479" s="11" t="s">
        <v>331</v>
      </c>
      <c r="X479" s="12" t="s">
        <v>14</v>
      </c>
      <c r="Y479" s="12" t="s">
        <v>14</v>
      </c>
      <c r="Z479" s="13" t="s">
        <v>270</v>
      </c>
    </row>
    <row r="480" spans="1:26" ht="18.75" customHeight="1" x14ac:dyDescent="0.25">
      <c r="A480" s="6">
        <v>45958</v>
      </c>
      <c r="B480" s="7" t="s">
        <v>262</v>
      </c>
      <c r="C480" s="8" t="s">
        <v>1257</v>
      </c>
      <c r="D480" s="8" t="s">
        <v>264</v>
      </c>
      <c r="E480" s="8" t="s">
        <v>1455</v>
      </c>
      <c r="F480" s="9" t="s">
        <v>1457</v>
      </c>
      <c r="G480" s="9" t="s">
        <v>710</v>
      </c>
      <c r="H480" s="9" t="s">
        <v>1458</v>
      </c>
      <c r="I480" s="9" t="s">
        <v>68</v>
      </c>
      <c r="J480" s="10" t="s">
        <v>186</v>
      </c>
      <c r="K480" s="15" t="str">
        <f>VLOOKUP(J480,DADOS!$A$3:$B$105,2,FALSE)</f>
        <v>EE-GI-001-008</v>
      </c>
      <c r="L480" s="15" t="s">
        <v>383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1</v>
      </c>
      <c r="W480" s="11" t="s">
        <v>264</v>
      </c>
      <c r="X480" s="12" t="s">
        <v>14</v>
      </c>
      <c r="Y480" s="12" t="s">
        <v>14</v>
      </c>
      <c r="Z480" s="13" t="s">
        <v>270</v>
      </c>
    </row>
    <row r="481" spans="1:26" ht="19.899999999999999" customHeight="1" x14ac:dyDescent="0.25">
      <c r="A481" s="6">
        <v>45958</v>
      </c>
      <c r="B481" s="7" t="s">
        <v>262</v>
      </c>
      <c r="C481" s="8" t="s">
        <v>1462</v>
      </c>
      <c r="D481" s="8" t="s">
        <v>331</v>
      </c>
      <c r="E481" s="8" t="s">
        <v>1455</v>
      </c>
      <c r="F481" s="9" t="s">
        <v>1463</v>
      </c>
      <c r="G481" s="9" t="s">
        <v>1464</v>
      </c>
      <c r="H481" s="9" t="s">
        <v>1465</v>
      </c>
      <c r="I481" s="9" t="s">
        <v>68</v>
      </c>
      <c r="J481" s="10" t="s">
        <v>186</v>
      </c>
      <c r="K481" s="15" t="str">
        <f>VLOOKUP(J481,DADOS!$A$3:$B$105,2,FALSE)</f>
        <v>EE-GI-001-008</v>
      </c>
      <c r="L481" s="15" t="s">
        <v>383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1</v>
      </c>
      <c r="W481" s="11" t="s">
        <v>331</v>
      </c>
      <c r="X481" s="12" t="s">
        <v>14</v>
      </c>
      <c r="Y481" s="12" t="s">
        <v>14</v>
      </c>
      <c r="Z481" s="13" t="s">
        <v>270</v>
      </c>
    </row>
    <row r="482" spans="1:26" ht="19.899999999999999" customHeight="1" x14ac:dyDescent="0.25">
      <c r="A482" s="6">
        <v>45958</v>
      </c>
      <c r="B482" s="7" t="s">
        <v>1037</v>
      </c>
      <c r="C482" s="8" t="s">
        <v>1448</v>
      </c>
      <c r="D482" s="8" t="s">
        <v>331</v>
      </c>
      <c r="E482" s="8" t="s">
        <v>1449</v>
      </c>
      <c r="F482" s="9" t="s">
        <v>1450</v>
      </c>
      <c r="G482" s="9" t="s">
        <v>1287</v>
      </c>
      <c r="H482" s="9" t="s">
        <v>1451</v>
      </c>
      <c r="I482" s="9" t="s">
        <v>69</v>
      </c>
      <c r="J482" s="10" t="s">
        <v>201</v>
      </c>
      <c r="K482" s="15" t="str">
        <f>VLOOKUP(J482,DADOS!$A$3:$B$105,2,FALSE)</f>
        <v>EE-GI-001-054</v>
      </c>
      <c r="L482" s="15" t="s">
        <v>299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1</v>
      </c>
      <c r="S482" s="17" t="b">
        <v>0</v>
      </c>
      <c r="T482" s="17" t="b">
        <v>0</v>
      </c>
      <c r="U482" s="17" t="b">
        <v>0</v>
      </c>
      <c r="V482" s="17" t="b">
        <v>1</v>
      </c>
      <c r="W482" s="11" t="s">
        <v>331</v>
      </c>
      <c r="X482" s="12" t="s">
        <v>14</v>
      </c>
      <c r="Y482" s="12" t="s">
        <v>14</v>
      </c>
      <c r="Z482" s="13" t="s">
        <v>270</v>
      </c>
    </row>
    <row r="483" spans="1:26" ht="19.899999999999999" customHeight="1" x14ac:dyDescent="0.25">
      <c r="A483" s="6">
        <v>45958</v>
      </c>
      <c r="B483" s="7" t="s">
        <v>1037</v>
      </c>
      <c r="C483" s="8" t="s">
        <v>1454</v>
      </c>
      <c r="D483" s="8" t="s">
        <v>331</v>
      </c>
      <c r="E483" s="8" t="s">
        <v>1449</v>
      </c>
      <c r="F483" s="9" t="s">
        <v>1453</v>
      </c>
      <c r="G483" s="9" t="s">
        <v>1287</v>
      </c>
      <c r="H483" s="9" t="s">
        <v>1452</v>
      </c>
      <c r="I483" s="9" t="s">
        <v>69</v>
      </c>
      <c r="J483" s="10" t="s">
        <v>201</v>
      </c>
      <c r="K483" s="15" t="str">
        <f>VLOOKUP(J483,DADOS!$A$3:$B$105,2,FALSE)</f>
        <v>EE-GI-001-054</v>
      </c>
      <c r="L483" s="15" t="s">
        <v>299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1</v>
      </c>
      <c r="S483" s="17" t="b">
        <v>0</v>
      </c>
      <c r="T483" s="17" t="b">
        <v>0</v>
      </c>
      <c r="U483" s="17" t="b">
        <v>0</v>
      </c>
      <c r="V483" s="17" t="b">
        <v>1</v>
      </c>
      <c r="W483" s="11" t="s">
        <v>331</v>
      </c>
      <c r="X483" s="12" t="s">
        <v>14</v>
      </c>
      <c r="Y483" s="12" t="s">
        <v>14</v>
      </c>
      <c r="Z483" s="13" t="s">
        <v>270</v>
      </c>
    </row>
    <row r="484" spans="1:26" ht="19.899999999999999" customHeight="1" x14ac:dyDescent="0.25">
      <c r="A484" s="6">
        <v>45958</v>
      </c>
      <c r="B484" s="7" t="s">
        <v>1135</v>
      </c>
      <c r="C484" s="8" t="s">
        <v>1509</v>
      </c>
      <c r="D484" s="8" t="s">
        <v>264</v>
      </c>
      <c r="E484" s="8" t="s">
        <v>1510</v>
      </c>
      <c r="F484" s="9" t="s">
        <v>1511</v>
      </c>
      <c r="G484" s="9" t="s">
        <v>1512</v>
      </c>
      <c r="H484" s="9" t="s">
        <v>1513</v>
      </c>
      <c r="I484" s="9" t="s">
        <v>70</v>
      </c>
      <c r="J484" s="10" t="s">
        <v>255</v>
      </c>
      <c r="K484" s="15" t="str">
        <f>VLOOKUP(J484,DADOS!$A$3:$B$105,2,FALSE)</f>
        <v>EE-GI-001-074</v>
      </c>
      <c r="L484" s="15" t="s">
        <v>383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1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 t="s">
        <v>264</v>
      </c>
      <c r="X484" s="12" t="s">
        <v>14</v>
      </c>
      <c r="Y484" s="12" t="s">
        <v>14</v>
      </c>
      <c r="Z484" s="13" t="s">
        <v>270</v>
      </c>
    </row>
    <row r="485" spans="1:26" ht="19.899999999999999" customHeight="1" x14ac:dyDescent="0.25">
      <c r="A485" s="6">
        <v>45958</v>
      </c>
      <c r="B485" s="7" t="s">
        <v>1889</v>
      </c>
      <c r="C485" s="8" t="s">
        <v>1890</v>
      </c>
      <c r="D485" s="8" t="s">
        <v>331</v>
      </c>
      <c r="E485" s="8" t="s">
        <v>1891</v>
      </c>
      <c r="F485" s="9" t="s">
        <v>1892</v>
      </c>
      <c r="G485" s="9" t="s">
        <v>1893</v>
      </c>
      <c r="H485" s="9" t="s">
        <v>1893</v>
      </c>
      <c r="I485" s="9" t="s">
        <v>69</v>
      </c>
      <c r="J485" s="10" t="s">
        <v>250</v>
      </c>
      <c r="K485" s="15" t="str">
        <f>VLOOKUP(J485,DADOS!$A$3:$B$105,2,FALSE)</f>
        <v>EE-GI-001-028</v>
      </c>
      <c r="L485" s="15" t="s">
        <v>299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1</v>
      </c>
      <c r="W485" s="11" t="s">
        <v>331</v>
      </c>
      <c r="X485" s="12" t="s">
        <v>14</v>
      </c>
      <c r="Y485" s="12" t="s">
        <v>14</v>
      </c>
      <c r="Z485" s="13" t="s">
        <v>270</v>
      </c>
    </row>
    <row r="486" spans="1:26" ht="19.899999999999999" customHeight="1" x14ac:dyDescent="0.25">
      <c r="A486" s="6">
        <v>45959</v>
      </c>
      <c r="B486" s="7" t="s">
        <v>262</v>
      </c>
      <c r="C486" s="8" t="s">
        <v>1514</v>
      </c>
      <c r="D486" s="8" t="s">
        <v>409</v>
      </c>
      <c r="E486" s="8" t="s">
        <v>1515</v>
      </c>
      <c r="F486" s="9" t="s">
        <v>1516</v>
      </c>
      <c r="G486" s="9" t="s">
        <v>1517</v>
      </c>
      <c r="H486" s="34"/>
      <c r="I486" s="9" t="s">
        <v>66</v>
      </c>
      <c r="J486" s="10" t="s">
        <v>17</v>
      </c>
      <c r="K486" s="15" t="str">
        <f>VLOOKUP(J486,DADOS!$A$3:$B$105,2,FALSE)</f>
        <v>EE-GI-001-001</v>
      </c>
      <c r="L486" s="15" t="s">
        <v>1518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1</v>
      </c>
      <c r="W486" s="11" t="s">
        <v>14</v>
      </c>
      <c r="X486" s="12" t="s">
        <v>409</v>
      </c>
      <c r="Y486" s="12" t="s">
        <v>1519</v>
      </c>
      <c r="Z486" s="12" t="s">
        <v>270</v>
      </c>
    </row>
    <row r="487" spans="1:26" ht="19.899999999999999" customHeight="1" x14ac:dyDescent="0.25">
      <c r="A487" s="6">
        <v>45959</v>
      </c>
      <c r="B487" s="7" t="s">
        <v>262</v>
      </c>
      <c r="C487" s="8" t="s">
        <v>1520</v>
      </c>
      <c r="D487" s="8" t="s">
        <v>264</v>
      </c>
      <c r="E487" s="8" t="s">
        <v>1521</v>
      </c>
      <c r="F487" s="9" t="s">
        <v>1522</v>
      </c>
      <c r="G487" s="9" t="s">
        <v>1090</v>
      </c>
      <c r="H487" s="9" t="s">
        <v>1523</v>
      </c>
      <c r="I487" s="9" t="s">
        <v>68</v>
      </c>
      <c r="J487" s="10" t="s">
        <v>17</v>
      </c>
      <c r="K487" s="15" t="str">
        <f>VLOOKUP(J487,DADOS!$A$3:$B$105,2,FALSE)</f>
        <v>EE-GI-001-001</v>
      </c>
      <c r="L487" s="15" t="s">
        <v>383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1</v>
      </c>
      <c r="W487" s="11" t="s">
        <v>14</v>
      </c>
      <c r="X487" s="12" t="s">
        <v>264</v>
      </c>
      <c r="Y487" s="12" t="s">
        <v>1524</v>
      </c>
      <c r="Z487" s="12" t="s">
        <v>270</v>
      </c>
    </row>
    <row r="488" spans="1:26" ht="19.899999999999999" customHeight="1" x14ac:dyDescent="0.25">
      <c r="A488" s="6">
        <v>45959</v>
      </c>
      <c r="B488" s="7" t="s">
        <v>262</v>
      </c>
      <c r="C488" s="8" t="s">
        <v>1520</v>
      </c>
      <c r="D488" s="8" t="s">
        <v>273</v>
      </c>
      <c r="E488" s="8" t="s">
        <v>1521</v>
      </c>
      <c r="F488" s="9" t="s">
        <v>1525</v>
      </c>
      <c r="G488" s="9" t="s">
        <v>1090</v>
      </c>
      <c r="H488" s="9" t="s">
        <v>1523</v>
      </c>
      <c r="I488" s="9" t="s">
        <v>68</v>
      </c>
      <c r="J488" s="10" t="s">
        <v>17</v>
      </c>
      <c r="K488" s="15" t="str">
        <f>VLOOKUP(J488,DADOS!$A$3:$B$105,2,FALSE)</f>
        <v>EE-GI-001-001</v>
      </c>
      <c r="L488" s="15" t="s">
        <v>383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1</v>
      </c>
      <c r="W488" s="11" t="s">
        <v>273</v>
      </c>
      <c r="X488" s="12" t="s">
        <v>14</v>
      </c>
      <c r="Y488" s="12" t="s">
        <v>14</v>
      </c>
      <c r="Z488" s="13" t="s">
        <v>270</v>
      </c>
    </row>
    <row r="489" spans="1:26" ht="19.899999999999999" customHeight="1" x14ac:dyDescent="0.25">
      <c r="A489" s="6">
        <v>45959</v>
      </c>
      <c r="B489" s="7" t="s">
        <v>262</v>
      </c>
      <c r="C489" s="8" t="s">
        <v>1531</v>
      </c>
      <c r="D489" s="8" t="s">
        <v>264</v>
      </c>
      <c r="E489" s="8" t="s">
        <v>1515</v>
      </c>
      <c r="F489" s="9" t="s">
        <v>1532</v>
      </c>
      <c r="G489" s="9" t="s">
        <v>1533</v>
      </c>
      <c r="H489" s="9" t="s">
        <v>1534</v>
      </c>
      <c r="I489" s="9" t="s">
        <v>68</v>
      </c>
      <c r="J489" s="10" t="s">
        <v>186</v>
      </c>
      <c r="K489" s="15" t="str">
        <f>VLOOKUP(J489,DADOS!$A$3:$B$105,2,FALSE)</f>
        <v>EE-GI-001-008</v>
      </c>
      <c r="L489" s="15" t="s">
        <v>383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1</v>
      </c>
      <c r="W489" s="11" t="s">
        <v>264</v>
      </c>
      <c r="X489" s="12" t="s">
        <v>14</v>
      </c>
      <c r="Y489" s="12" t="s">
        <v>14</v>
      </c>
      <c r="Z489" s="13" t="s">
        <v>270</v>
      </c>
    </row>
    <row r="490" spans="1:26" ht="19.899999999999999" customHeight="1" x14ac:dyDescent="0.25">
      <c r="A490" s="6">
        <v>45959</v>
      </c>
      <c r="B490" s="7" t="s">
        <v>262</v>
      </c>
      <c r="C490" s="8" t="s">
        <v>1526</v>
      </c>
      <c r="D490" s="8" t="s">
        <v>264</v>
      </c>
      <c r="E490" s="8" t="s">
        <v>1527</v>
      </c>
      <c r="F490" s="9" t="s">
        <v>1528</v>
      </c>
      <c r="G490" s="9" t="s">
        <v>1529</v>
      </c>
      <c r="H490" s="34"/>
      <c r="I490" s="9" t="s">
        <v>73</v>
      </c>
      <c r="J490" s="10" t="s">
        <v>186</v>
      </c>
      <c r="K490" s="15" t="str">
        <f>VLOOKUP(J490,DADOS!$A$3:$B$105,2,FALSE)</f>
        <v>EE-GI-001-008</v>
      </c>
      <c r="L490" s="15" t="s">
        <v>383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1</v>
      </c>
      <c r="W490" s="11" t="s">
        <v>14</v>
      </c>
      <c r="X490" s="12" t="s">
        <v>264</v>
      </c>
      <c r="Y490" s="12" t="s">
        <v>1530</v>
      </c>
      <c r="Z490" s="12" t="s">
        <v>270</v>
      </c>
    </row>
    <row r="491" spans="1:26" ht="19.899999999999999" customHeight="1" x14ac:dyDescent="0.25">
      <c r="A491" s="6">
        <v>45959</v>
      </c>
      <c r="B491" s="7" t="s">
        <v>262</v>
      </c>
      <c r="C491" s="8" t="s">
        <v>1257</v>
      </c>
      <c r="D491" s="8" t="s">
        <v>264</v>
      </c>
      <c r="E491" s="8" t="s">
        <v>1521</v>
      </c>
      <c r="F491" s="9" t="s">
        <v>1457</v>
      </c>
      <c r="G491" s="9" t="s">
        <v>1260</v>
      </c>
      <c r="H491" s="9" t="s">
        <v>1535</v>
      </c>
      <c r="I491" s="9" t="s">
        <v>68</v>
      </c>
      <c r="J491" s="10" t="s">
        <v>186</v>
      </c>
      <c r="K491" s="15" t="str">
        <f>VLOOKUP(J491,DADOS!$A$3:$B$105,2,FALSE)</f>
        <v>EE-GI-001-008</v>
      </c>
      <c r="L491" s="15" t="s">
        <v>383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1</v>
      </c>
      <c r="W491" s="11" t="s">
        <v>264</v>
      </c>
      <c r="X491" s="12" t="s">
        <v>14</v>
      </c>
      <c r="Y491" s="12" t="s">
        <v>14</v>
      </c>
      <c r="Z491" s="13" t="s">
        <v>270</v>
      </c>
    </row>
    <row r="492" spans="1:26" ht="19.899999999999999" customHeight="1" x14ac:dyDescent="0.25">
      <c r="A492" s="6">
        <v>45959</v>
      </c>
      <c r="B492" s="7" t="s">
        <v>262</v>
      </c>
      <c r="C492" s="8" t="s">
        <v>1257</v>
      </c>
      <c r="D492" s="8" t="s">
        <v>409</v>
      </c>
      <c r="E492" s="8" t="s">
        <v>1521</v>
      </c>
      <c r="F492" s="9" t="s">
        <v>1536</v>
      </c>
      <c r="G492" s="9" t="s">
        <v>1537</v>
      </c>
      <c r="H492" s="9" t="s">
        <v>1535</v>
      </c>
      <c r="I492" s="9" t="s">
        <v>68</v>
      </c>
      <c r="J492" s="10" t="s">
        <v>186</v>
      </c>
      <c r="K492" s="15" t="str">
        <f>VLOOKUP(J492,DADOS!$A$3:$B$105,2,FALSE)</f>
        <v>EE-GI-001-008</v>
      </c>
      <c r="L492" s="15" t="s">
        <v>383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1</v>
      </c>
      <c r="W492" s="11" t="s">
        <v>409</v>
      </c>
      <c r="X492" s="12" t="s">
        <v>14</v>
      </c>
      <c r="Y492" s="12" t="s">
        <v>14</v>
      </c>
      <c r="Z492" s="13" t="s">
        <v>270</v>
      </c>
    </row>
    <row r="493" spans="1:26" ht="19.899999999999999" customHeight="1" x14ac:dyDescent="0.25">
      <c r="A493" s="6">
        <v>45959</v>
      </c>
      <c r="B493" s="7" t="s">
        <v>1104</v>
      </c>
      <c r="C493" s="8" t="s">
        <v>1545</v>
      </c>
      <c r="D493" s="8" t="s">
        <v>364</v>
      </c>
      <c r="E493" s="8" t="s">
        <v>1539</v>
      </c>
      <c r="F493" s="9" t="s">
        <v>1540</v>
      </c>
      <c r="G493" s="9" t="s">
        <v>1108</v>
      </c>
      <c r="H493" s="9" t="s">
        <v>1542</v>
      </c>
      <c r="I493" s="9" t="s">
        <v>66</v>
      </c>
      <c r="J493" s="10" t="s">
        <v>15</v>
      </c>
      <c r="K493" s="15" t="str">
        <f>VLOOKUP(J493,DADOS!$A$3:$B$105,2,FALSE)</f>
        <v>EE-GI-001-002</v>
      </c>
      <c r="L493" s="15" t="s">
        <v>299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1</v>
      </c>
      <c r="S493" s="17" t="b">
        <v>0</v>
      </c>
      <c r="T493" s="17" t="b">
        <v>0</v>
      </c>
      <c r="U493" s="17" t="b">
        <v>0</v>
      </c>
      <c r="V493" s="17" t="b">
        <v>1</v>
      </c>
      <c r="W493" s="11" t="s">
        <v>14</v>
      </c>
      <c r="X493" s="12" t="s">
        <v>364</v>
      </c>
      <c r="Y493" s="12" t="s">
        <v>1543</v>
      </c>
      <c r="Z493" s="12" t="s">
        <v>270</v>
      </c>
    </row>
    <row r="494" spans="1:26" ht="19.899999999999999" customHeight="1" x14ac:dyDescent="0.25">
      <c r="A494" s="6">
        <v>45959</v>
      </c>
      <c r="B494" s="7" t="s">
        <v>1104</v>
      </c>
      <c r="C494" s="8" t="s">
        <v>1538</v>
      </c>
      <c r="D494" s="8" t="s">
        <v>1255</v>
      </c>
      <c r="E494" s="8" t="s">
        <v>1539</v>
      </c>
      <c r="F494" s="9" t="s">
        <v>1541</v>
      </c>
      <c r="G494" s="9" t="s">
        <v>1108</v>
      </c>
      <c r="H494" s="9" t="s">
        <v>1542</v>
      </c>
      <c r="I494" s="9" t="s">
        <v>66</v>
      </c>
      <c r="J494" s="10" t="s">
        <v>15</v>
      </c>
      <c r="K494" s="15" t="str">
        <f>VLOOKUP(J494,DADOS!$A$3:$B$105,2,FALSE)</f>
        <v>EE-GI-001-002</v>
      </c>
      <c r="L494" s="15" t="s">
        <v>299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1</v>
      </c>
      <c r="S494" s="17" t="b">
        <v>0</v>
      </c>
      <c r="T494" s="17" t="b">
        <v>0</v>
      </c>
      <c r="U494" s="17" t="b">
        <v>0</v>
      </c>
      <c r="V494" s="17" t="b">
        <v>1</v>
      </c>
      <c r="W494" s="11" t="s">
        <v>14</v>
      </c>
      <c r="X494" s="12" t="s">
        <v>1255</v>
      </c>
      <c r="Y494" s="12" t="s">
        <v>1543</v>
      </c>
      <c r="Z494" s="12" t="s">
        <v>270</v>
      </c>
    </row>
    <row r="495" spans="1:26" ht="19.899999999999999" customHeight="1" x14ac:dyDescent="0.25">
      <c r="A495" s="6">
        <v>45959</v>
      </c>
      <c r="B495" s="7" t="s">
        <v>1104</v>
      </c>
      <c r="C495" s="8" t="s">
        <v>1544</v>
      </c>
      <c r="D495" s="8" t="s">
        <v>336</v>
      </c>
      <c r="E495" s="8" t="s">
        <v>1546</v>
      </c>
      <c r="F495" s="9" t="s">
        <v>1548</v>
      </c>
      <c r="G495" s="9" t="s">
        <v>1553</v>
      </c>
      <c r="H495" s="9" t="s">
        <v>1554</v>
      </c>
      <c r="I495" s="9" t="s">
        <v>66</v>
      </c>
      <c r="J495" s="10" t="s">
        <v>15</v>
      </c>
      <c r="K495" s="15" t="str">
        <f>VLOOKUP(J495,DADOS!$A$3:$B$105,2,FALSE)</f>
        <v>EE-GI-001-002</v>
      </c>
      <c r="L495" s="15" t="s">
        <v>299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1</v>
      </c>
      <c r="S495" s="17" t="b">
        <v>0</v>
      </c>
      <c r="T495" s="17" t="b">
        <v>0</v>
      </c>
      <c r="U495" s="17" t="b">
        <v>0</v>
      </c>
      <c r="V495" s="17" t="b">
        <v>1</v>
      </c>
      <c r="W495" s="11" t="s">
        <v>14</v>
      </c>
      <c r="X495" s="12" t="s">
        <v>336</v>
      </c>
      <c r="Y495" s="12" t="s">
        <v>1552</v>
      </c>
      <c r="Z495" s="12" t="s">
        <v>270</v>
      </c>
    </row>
    <row r="496" spans="1:26" ht="19.899999999999999" customHeight="1" x14ac:dyDescent="0.25">
      <c r="A496" s="6">
        <v>45959</v>
      </c>
      <c r="B496" s="7" t="s">
        <v>1104</v>
      </c>
      <c r="C496" s="8" t="s">
        <v>1544</v>
      </c>
      <c r="D496" s="8" t="s">
        <v>316</v>
      </c>
      <c r="E496" s="8" t="s">
        <v>1546</v>
      </c>
      <c r="F496" s="9" t="s">
        <v>1549</v>
      </c>
      <c r="G496" s="9" t="s">
        <v>1553</v>
      </c>
      <c r="H496" s="9" t="s">
        <v>1554</v>
      </c>
      <c r="I496" s="9" t="s">
        <v>66</v>
      </c>
      <c r="J496" s="10" t="s">
        <v>15</v>
      </c>
      <c r="K496" s="15" t="str">
        <f>VLOOKUP(J496,DADOS!$A$3:$B$105,2,FALSE)</f>
        <v>EE-GI-001-002</v>
      </c>
      <c r="L496" s="15" t="s">
        <v>299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1</v>
      </c>
      <c r="S496" s="17" t="b">
        <v>0</v>
      </c>
      <c r="T496" s="17" t="b">
        <v>0</v>
      </c>
      <c r="U496" s="17" t="b">
        <v>0</v>
      </c>
      <c r="V496" s="17" t="b">
        <v>1</v>
      </c>
      <c r="W496" s="11" t="s">
        <v>14</v>
      </c>
      <c r="X496" s="12" t="s">
        <v>316</v>
      </c>
      <c r="Y496" s="12" t="s">
        <v>1552</v>
      </c>
      <c r="Z496" s="12" t="s">
        <v>270</v>
      </c>
    </row>
    <row r="497" spans="1:26" ht="19.899999999999999" customHeight="1" x14ac:dyDescent="0.25">
      <c r="A497" s="6">
        <v>45959</v>
      </c>
      <c r="B497" s="7" t="s">
        <v>1104</v>
      </c>
      <c r="C497" s="8" t="s">
        <v>1544</v>
      </c>
      <c r="D497" s="8" t="s">
        <v>316</v>
      </c>
      <c r="E497" s="8" t="s">
        <v>1546</v>
      </c>
      <c r="F497" s="9" t="s">
        <v>1550</v>
      </c>
      <c r="G497" s="9" t="s">
        <v>1553</v>
      </c>
      <c r="H497" s="9" t="s">
        <v>1554</v>
      </c>
      <c r="I497" s="9" t="s">
        <v>66</v>
      </c>
      <c r="J497" s="10" t="s">
        <v>15</v>
      </c>
      <c r="K497" s="15" t="str">
        <f>VLOOKUP(J497,DADOS!$A$3:$B$105,2,FALSE)</f>
        <v>EE-GI-001-002</v>
      </c>
      <c r="L497" s="15" t="s">
        <v>299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1</v>
      </c>
      <c r="S497" s="17" t="b">
        <v>0</v>
      </c>
      <c r="T497" s="17" t="b">
        <v>0</v>
      </c>
      <c r="U497" s="17" t="b">
        <v>0</v>
      </c>
      <c r="V497" s="17" t="b">
        <v>1</v>
      </c>
      <c r="W497" s="11" t="s">
        <v>14</v>
      </c>
      <c r="X497" s="12" t="s">
        <v>316</v>
      </c>
      <c r="Y497" s="12" t="s">
        <v>1552</v>
      </c>
      <c r="Z497" s="12" t="s">
        <v>270</v>
      </c>
    </row>
    <row r="498" spans="1:26" ht="19.899999999999999" customHeight="1" x14ac:dyDescent="0.25">
      <c r="A498" s="6">
        <v>45959</v>
      </c>
      <c r="B498" s="7" t="s">
        <v>1037</v>
      </c>
      <c r="C498" s="8" t="s">
        <v>1771</v>
      </c>
      <c r="D498" s="8" t="s">
        <v>331</v>
      </c>
      <c r="E498" s="8" t="s">
        <v>1772</v>
      </c>
      <c r="F498" s="9" t="s">
        <v>1773</v>
      </c>
      <c r="G498" s="9" t="s">
        <v>1774</v>
      </c>
      <c r="H498" s="9" t="s">
        <v>1775</v>
      </c>
      <c r="I498" s="9" t="s">
        <v>70</v>
      </c>
      <c r="J498" s="10" t="s">
        <v>176</v>
      </c>
      <c r="K498" s="15" t="str">
        <f>VLOOKUP(J498,DADOS!$A$3:$B$105,2,FALSE)</f>
        <v>EE-GI-001-011</v>
      </c>
      <c r="L498" s="15" t="s">
        <v>341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 t="s">
        <v>331</v>
      </c>
      <c r="X498" s="12" t="s">
        <v>14</v>
      </c>
      <c r="Y498" s="12" t="s">
        <v>14</v>
      </c>
      <c r="Z498" s="13" t="s">
        <v>342</v>
      </c>
    </row>
    <row r="499" spans="1:26" ht="19.899999999999999" customHeight="1" x14ac:dyDescent="0.25">
      <c r="A499" s="6">
        <v>45959</v>
      </c>
      <c r="B499" s="7" t="s">
        <v>1104</v>
      </c>
      <c r="C499" s="8" t="s">
        <v>1544</v>
      </c>
      <c r="D499" s="8" t="s">
        <v>409</v>
      </c>
      <c r="E499" s="8" t="s">
        <v>1546</v>
      </c>
      <c r="F499" s="9" t="s">
        <v>1551</v>
      </c>
      <c r="G499" s="9" t="s">
        <v>1553</v>
      </c>
      <c r="H499" s="9" t="s">
        <v>1554</v>
      </c>
      <c r="I499" s="9" t="s">
        <v>66</v>
      </c>
      <c r="J499" s="10" t="s">
        <v>15</v>
      </c>
      <c r="K499" s="15" t="str">
        <f>VLOOKUP(J499,DADOS!$A$3:$B$105,2,FALSE)</f>
        <v>EE-GI-001-002</v>
      </c>
      <c r="L499" s="15" t="s">
        <v>299</v>
      </c>
      <c r="M499" s="18" t="b">
        <v>1</v>
      </c>
      <c r="N499" s="17" t="b">
        <v>1</v>
      </c>
      <c r="O499" s="17" t="b">
        <v>1</v>
      </c>
      <c r="P499" s="17" t="b">
        <v>1</v>
      </c>
      <c r="Q499" s="17" t="b">
        <v>0</v>
      </c>
      <c r="R499" s="17" t="b">
        <v>1</v>
      </c>
      <c r="S499" s="17" t="b">
        <v>0</v>
      </c>
      <c r="T499" s="17" t="b">
        <v>0</v>
      </c>
      <c r="U499" s="17" t="b">
        <v>0</v>
      </c>
      <c r="V499" s="17" t="b">
        <v>1</v>
      </c>
      <c r="W499" s="11" t="s">
        <v>14</v>
      </c>
      <c r="X499" s="12" t="s">
        <v>409</v>
      </c>
      <c r="Y499" s="12" t="s">
        <v>1552</v>
      </c>
      <c r="Z499" s="12" t="s">
        <v>270</v>
      </c>
    </row>
    <row r="500" spans="1:26" ht="19.899999999999999" customHeight="1" x14ac:dyDescent="0.25">
      <c r="A500" s="6">
        <v>45959</v>
      </c>
      <c r="B500" s="7" t="s">
        <v>1104</v>
      </c>
      <c r="C500" s="8" t="s">
        <v>1544</v>
      </c>
      <c r="D500" s="8" t="s">
        <v>336</v>
      </c>
      <c r="E500" s="8" t="s">
        <v>1547</v>
      </c>
      <c r="F500" s="9" t="s">
        <v>1551</v>
      </c>
      <c r="G500" s="9" t="s">
        <v>1553</v>
      </c>
      <c r="H500" s="9" t="s">
        <v>1554</v>
      </c>
      <c r="I500" s="9" t="s">
        <v>66</v>
      </c>
      <c r="J500" s="10" t="s">
        <v>15</v>
      </c>
      <c r="K500" s="15" t="str">
        <f>VLOOKUP(J500,DADOS!$A$3:$B$105,2,FALSE)</f>
        <v>EE-GI-001-002</v>
      </c>
      <c r="L500" s="15" t="s">
        <v>299</v>
      </c>
      <c r="M500" s="18" t="b">
        <v>1</v>
      </c>
      <c r="N500" s="17" t="b">
        <v>1</v>
      </c>
      <c r="O500" s="17" t="b">
        <v>1</v>
      </c>
      <c r="P500" s="17" t="b">
        <v>1</v>
      </c>
      <c r="Q500" s="17" t="b">
        <v>0</v>
      </c>
      <c r="R500" s="17" t="b">
        <v>1</v>
      </c>
      <c r="S500" s="17" t="b">
        <v>0</v>
      </c>
      <c r="T500" s="17" t="b">
        <v>0</v>
      </c>
      <c r="U500" s="17" t="b">
        <v>0</v>
      </c>
      <c r="V500" s="17" t="b">
        <v>1</v>
      </c>
      <c r="W500" s="11" t="s">
        <v>14</v>
      </c>
      <c r="X500" s="12" t="s">
        <v>336</v>
      </c>
      <c r="Y500" s="12" t="s">
        <v>1552</v>
      </c>
      <c r="Z500" s="12" t="s">
        <v>270</v>
      </c>
    </row>
    <row r="501" spans="1:26" ht="19.899999999999999" customHeight="1" x14ac:dyDescent="0.25">
      <c r="A501" s="6">
        <v>45959</v>
      </c>
      <c r="B501" s="7" t="s">
        <v>1104</v>
      </c>
      <c r="C501" s="8" t="s">
        <v>1762</v>
      </c>
      <c r="D501" s="8" t="s">
        <v>1757</v>
      </c>
      <c r="E501" s="8" t="s">
        <v>1763</v>
      </c>
      <c r="F501" s="9" t="s">
        <v>1764</v>
      </c>
      <c r="G501" s="9" t="s">
        <v>1760</v>
      </c>
      <c r="H501" s="9" t="s">
        <v>1761</v>
      </c>
      <c r="I501" s="9" t="s">
        <v>66</v>
      </c>
      <c r="J501" s="10" t="s">
        <v>15</v>
      </c>
      <c r="K501" s="15" t="str">
        <f>VLOOKUP(J501,DADOS!$A$3:$B$105,2,FALSE)</f>
        <v>EE-GI-001-002</v>
      </c>
      <c r="L501" s="15" t="s">
        <v>341</v>
      </c>
      <c r="M501" s="18" t="b">
        <v>1</v>
      </c>
      <c r="N501" s="17" t="b">
        <v>1</v>
      </c>
      <c r="O501" s="17" t="b">
        <v>1</v>
      </c>
      <c r="P501" s="17" t="b">
        <v>1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 t="s">
        <v>1757</v>
      </c>
      <c r="X501" s="12" t="s">
        <v>14</v>
      </c>
      <c r="Y501" s="12" t="s">
        <v>14</v>
      </c>
      <c r="Z501" s="13" t="s">
        <v>342</v>
      </c>
    </row>
    <row r="502" spans="1:26" ht="19.899999999999999" customHeight="1" x14ac:dyDescent="0.25">
      <c r="A502" s="6">
        <v>45959</v>
      </c>
      <c r="B502" s="7" t="s">
        <v>1104</v>
      </c>
      <c r="C502" s="8" t="s">
        <v>1762</v>
      </c>
      <c r="D502" s="8" t="s">
        <v>456</v>
      </c>
      <c r="E502" s="8" t="s">
        <v>1763</v>
      </c>
      <c r="F502" s="9" t="s">
        <v>1759</v>
      </c>
      <c r="G502" s="9" t="s">
        <v>1760</v>
      </c>
      <c r="H502" s="9" t="s">
        <v>1761</v>
      </c>
      <c r="I502" s="9" t="s">
        <v>66</v>
      </c>
      <c r="J502" s="10" t="s">
        <v>15</v>
      </c>
      <c r="K502" s="15" t="str">
        <f>VLOOKUP(J502,DADOS!$A$3:$B$105,2,FALSE)</f>
        <v>EE-GI-001-002</v>
      </c>
      <c r="L502" s="15" t="s">
        <v>341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 t="s">
        <v>456</v>
      </c>
      <c r="X502" s="12" t="s">
        <v>14</v>
      </c>
      <c r="Y502" s="12" t="s">
        <v>14</v>
      </c>
      <c r="Z502" s="13" t="s">
        <v>342</v>
      </c>
    </row>
    <row r="503" spans="1:26" ht="19.899999999999999" customHeight="1" x14ac:dyDescent="0.25">
      <c r="A503" s="6">
        <v>45959</v>
      </c>
      <c r="B503" s="7" t="s">
        <v>1104</v>
      </c>
      <c r="C503" s="8" t="s">
        <v>1762</v>
      </c>
      <c r="D503" s="8" t="s">
        <v>1757</v>
      </c>
      <c r="E503" s="8" t="s">
        <v>1758</v>
      </c>
      <c r="F503" s="9" t="s">
        <v>1759</v>
      </c>
      <c r="G503" s="9" t="s">
        <v>1760</v>
      </c>
      <c r="H503" s="9" t="s">
        <v>1761</v>
      </c>
      <c r="I503" s="9" t="s">
        <v>66</v>
      </c>
      <c r="J503" s="10" t="s">
        <v>15</v>
      </c>
      <c r="K503" s="15" t="str">
        <f>VLOOKUP(J503,DADOS!$A$3:$B$105,2,FALSE)</f>
        <v>EE-GI-001-002</v>
      </c>
      <c r="L503" s="15" t="s">
        <v>341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 t="s">
        <v>1757</v>
      </c>
      <c r="X503" s="12" t="s">
        <v>14</v>
      </c>
      <c r="Y503" s="12" t="s">
        <v>14</v>
      </c>
      <c r="Z503" s="13" t="s">
        <v>342</v>
      </c>
    </row>
    <row r="504" spans="1:26" ht="19.899999999999999" customHeight="1" x14ac:dyDescent="0.25">
      <c r="A504" s="6">
        <v>45959</v>
      </c>
      <c r="B504" s="7" t="s">
        <v>1104</v>
      </c>
      <c r="C504" s="8" t="s">
        <v>1829</v>
      </c>
      <c r="D504" s="8" t="s">
        <v>426</v>
      </c>
      <c r="E504" s="8" t="s">
        <v>1624</v>
      </c>
      <c r="F504" s="9" t="s">
        <v>1830</v>
      </c>
      <c r="G504" s="9" t="s">
        <v>1831</v>
      </c>
      <c r="H504" s="9" t="s">
        <v>1832</v>
      </c>
      <c r="I504" s="9" t="s">
        <v>66</v>
      </c>
      <c r="J504" s="10" t="s">
        <v>177</v>
      </c>
      <c r="K504" s="15" t="str">
        <f>VLOOKUP(J504,DADOS!$A$3:$B$105,2,FALSE)</f>
        <v>EE-GI-001-012</v>
      </c>
      <c r="L504" s="15" t="s">
        <v>299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0</v>
      </c>
      <c r="R504" s="17" t="b">
        <v>1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 t="s">
        <v>426</v>
      </c>
      <c r="X504" s="12" t="s">
        <v>14</v>
      </c>
      <c r="Y504" s="12" t="s">
        <v>14</v>
      </c>
      <c r="Z504" s="13" t="s">
        <v>270</v>
      </c>
    </row>
    <row r="505" spans="1:26" ht="19.899999999999999" customHeight="1" x14ac:dyDescent="0.25">
      <c r="A505" s="6">
        <v>45959</v>
      </c>
      <c r="B505" s="7" t="s">
        <v>1104</v>
      </c>
      <c r="C505" s="8" t="s">
        <v>1829</v>
      </c>
      <c r="D505" s="8" t="s">
        <v>336</v>
      </c>
      <c r="E505" s="8" t="s">
        <v>1624</v>
      </c>
      <c r="F505" s="9" t="s">
        <v>1833</v>
      </c>
      <c r="G505" s="9" t="s">
        <v>1831</v>
      </c>
      <c r="H505" s="9" t="s">
        <v>1832</v>
      </c>
      <c r="I505" s="9" t="s">
        <v>66</v>
      </c>
      <c r="J505" s="10" t="s">
        <v>177</v>
      </c>
      <c r="K505" s="15" t="str">
        <f>VLOOKUP(J505,DADOS!$A$3:$B$105,2,FALSE)</f>
        <v>EE-GI-001-012</v>
      </c>
      <c r="L505" s="15" t="s">
        <v>299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1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 t="s">
        <v>336</v>
      </c>
      <c r="X505" s="12" t="s">
        <v>14</v>
      </c>
      <c r="Y505" s="12" t="s">
        <v>14</v>
      </c>
      <c r="Z505" s="13" t="s">
        <v>270</v>
      </c>
    </row>
    <row r="506" spans="1:26" ht="19.899999999999999" customHeight="1" x14ac:dyDescent="0.25">
      <c r="A506" s="6">
        <v>45959</v>
      </c>
      <c r="B506" s="7" t="s">
        <v>1248</v>
      </c>
      <c r="C506" s="8" t="s">
        <v>1249</v>
      </c>
      <c r="D506" s="8" t="s">
        <v>1698</v>
      </c>
      <c r="E506" s="8" t="s">
        <v>1699</v>
      </c>
      <c r="F506" s="9" t="s">
        <v>1256</v>
      </c>
      <c r="G506" s="9" t="s">
        <v>1700</v>
      </c>
      <c r="H506" s="9" t="s">
        <v>1701</v>
      </c>
      <c r="I506" s="9" t="s">
        <v>66</v>
      </c>
      <c r="J506" s="10" t="s">
        <v>19</v>
      </c>
      <c r="K506" s="15" t="str">
        <f>VLOOKUP(J506,DADOS!$A$3:$B$105,2,FALSE)</f>
        <v>EE-GI-221-033</v>
      </c>
      <c r="L506" s="15" t="s">
        <v>1382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1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 t="s">
        <v>1698</v>
      </c>
      <c r="X506" s="12" t="s">
        <v>14</v>
      </c>
      <c r="Y506" s="12" t="s">
        <v>14</v>
      </c>
      <c r="Z506" s="13" t="s">
        <v>270</v>
      </c>
    </row>
    <row r="507" spans="1:26" ht="19.899999999999999" customHeight="1" x14ac:dyDescent="0.25">
      <c r="A507" s="6">
        <v>45959</v>
      </c>
      <c r="B507" s="7" t="s">
        <v>1637</v>
      </c>
      <c r="C507" s="8" t="s">
        <v>1702</v>
      </c>
      <c r="D507" s="8" t="s">
        <v>336</v>
      </c>
      <c r="E507" s="8" t="s">
        <v>1638</v>
      </c>
      <c r="F507" s="9" t="s">
        <v>1707</v>
      </c>
      <c r="G507" s="9" t="s">
        <v>1708</v>
      </c>
      <c r="H507" s="46" t="s">
        <v>1709</v>
      </c>
      <c r="I507" s="9" t="s">
        <v>66</v>
      </c>
      <c r="J507" s="10" t="s">
        <v>25</v>
      </c>
      <c r="K507" s="15" t="str">
        <f>VLOOKUP(J507,DADOS!$A$3:$B$105,2,FALSE)</f>
        <v>EE-GI-221-032</v>
      </c>
      <c r="L507" s="15" t="s">
        <v>1382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1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 t="s">
        <v>336</v>
      </c>
      <c r="X507" s="12" t="s">
        <v>14</v>
      </c>
      <c r="Y507" s="12" t="s">
        <v>14</v>
      </c>
      <c r="Z507" s="13" t="s">
        <v>270</v>
      </c>
    </row>
    <row r="508" spans="1:26" ht="19.899999999999999" customHeight="1" x14ac:dyDescent="0.25">
      <c r="A508" s="6">
        <v>45959</v>
      </c>
      <c r="B508" s="7" t="s">
        <v>732</v>
      </c>
      <c r="C508" s="8" t="s">
        <v>1782</v>
      </c>
      <c r="D508" s="8" t="s">
        <v>282</v>
      </c>
      <c r="E508" s="8" t="s">
        <v>1783</v>
      </c>
      <c r="F508" s="9" t="s">
        <v>1784</v>
      </c>
      <c r="G508" s="9" t="s">
        <v>1785</v>
      </c>
      <c r="H508" s="47"/>
      <c r="I508" s="9" t="s">
        <v>66</v>
      </c>
      <c r="J508" s="10" t="s">
        <v>174</v>
      </c>
      <c r="K508" s="15" t="str">
        <f>VLOOKUP(J508,DADOS!$A$3:$B$105,2,FALSE)</f>
        <v>EE-GI-001-007</v>
      </c>
      <c r="L508" s="15" t="s">
        <v>299</v>
      </c>
      <c r="M508" s="18" t="b">
        <v>1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1</v>
      </c>
      <c r="S508" s="17" t="b">
        <v>0</v>
      </c>
      <c r="T508" s="17" t="b">
        <v>0</v>
      </c>
      <c r="U508" s="17" t="b">
        <v>0</v>
      </c>
      <c r="V508" s="17" t="b">
        <v>1</v>
      </c>
      <c r="W508" s="11" t="s">
        <v>282</v>
      </c>
      <c r="X508" s="12" t="s">
        <v>14</v>
      </c>
      <c r="Y508" s="12" t="s">
        <v>14</v>
      </c>
      <c r="Z508" s="13" t="s">
        <v>270</v>
      </c>
    </row>
    <row r="509" spans="1:26" ht="19.899999999999999" customHeight="1" x14ac:dyDescent="0.25">
      <c r="A509" s="6">
        <v>45959</v>
      </c>
      <c r="B509" s="7" t="s">
        <v>732</v>
      </c>
      <c r="C509" s="8" t="s">
        <v>1782</v>
      </c>
      <c r="D509" s="8" t="s">
        <v>331</v>
      </c>
      <c r="E509" s="8" t="s">
        <v>1660</v>
      </c>
      <c r="F509" s="9" t="s">
        <v>1786</v>
      </c>
      <c r="G509" s="9" t="s">
        <v>1787</v>
      </c>
      <c r="H509" s="47"/>
      <c r="I509" s="9" t="s">
        <v>66</v>
      </c>
      <c r="J509" s="10" t="s">
        <v>174</v>
      </c>
      <c r="K509" s="15" t="str">
        <f>VLOOKUP(J509,DADOS!$A$3:$B$105,2,FALSE)</f>
        <v>EE-GI-001-007</v>
      </c>
      <c r="L509" s="15" t="s">
        <v>299</v>
      </c>
      <c r="M509" s="18" t="b">
        <v>1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1</v>
      </c>
      <c r="S509" s="17" t="b">
        <v>0</v>
      </c>
      <c r="T509" s="17" t="b">
        <v>0</v>
      </c>
      <c r="U509" s="17" t="b">
        <v>0</v>
      </c>
      <c r="V509" s="17" t="b">
        <v>1</v>
      </c>
      <c r="W509" s="11" t="s">
        <v>331</v>
      </c>
      <c r="X509" s="12" t="s">
        <v>14</v>
      </c>
      <c r="Y509" s="12" t="s">
        <v>14</v>
      </c>
      <c r="Z509" s="13" t="s">
        <v>270</v>
      </c>
    </row>
    <row r="510" spans="1:26" ht="19.899999999999999" customHeight="1" x14ac:dyDescent="0.25">
      <c r="A510" s="6">
        <v>45959</v>
      </c>
      <c r="B510" s="7" t="s">
        <v>732</v>
      </c>
      <c r="C510" s="8" t="s">
        <v>1788</v>
      </c>
      <c r="D510" s="8" t="s">
        <v>409</v>
      </c>
      <c r="E510" s="8" t="s">
        <v>1660</v>
      </c>
      <c r="F510" s="9" t="s">
        <v>1789</v>
      </c>
      <c r="G510" s="9" t="s">
        <v>1785</v>
      </c>
      <c r="H510" s="47"/>
      <c r="I510" s="9" t="s">
        <v>67</v>
      </c>
      <c r="J510" s="10" t="s">
        <v>1790</v>
      </c>
      <c r="K510" s="15" t="e">
        <f>VLOOKUP(J510,DADOS!$A$3:$B$105,2,FALSE)</f>
        <v>#N/A</v>
      </c>
      <c r="L510" s="15" t="s">
        <v>299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1</v>
      </c>
      <c r="S510" s="17" t="b">
        <v>0</v>
      </c>
      <c r="T510" s="17" t="b">
        <v>0</v>
      </c>
      <c r="U510" s="17" t="b">
        <v>0</v>
      </c>
      <c r="V510" s="17" t="b">
        <v>1</v>
      </c>
      <c r="W510" s="11" t="s">
        <v>409</v>
      </c>
      <c r="X510" s="12" t="s">
        <v>14</v>
      </c>
      <c r="Y510" s="12" t="s">
        <v>14</v>
      </c>
      <c r="Z510" s="13" t="s">
        <v>270</v>
      </c>
    </row>
    <row r="511" spans="1:26" ht="19.899999999999999" customHeight="1" x14ac:dyDescent="0.25">
      <c r="A511" s="6">
        <v>45959</v>
      </c>
      <c r="B511" s="7" t="s">
        <v>1181</v>
      </c>
      <c r="C511" s="8" t="s">
        <v>1851</v>
      </c>
      <c r="D511" s="8" t="s">
        <v>408</v>
      </c>
      <c r="E511" s="8" t="s">
        <v>1852</v>
      </c>
      <c r="F511" s="9" t="s">
        <v>1853</v>
      </c>
      <c r="G511" s="9" t="s">
        <v>1854</v>
      </c>
      <c r="H511" s="9" t="s">
        <v>1854</v>
      </c>
      <c r="I511" s="9" t="s">
        <v>69</v>
      </c>
      <c r="J511" s="10" t="s">
        <v>24</v>
      </c>
      <c r="K511" s="15" t="str">
        <f>VLOOKUP(J511,DADOS!$A$3:$B$105,2,FALSE)</f>
        <v>EE-GI-021-005</v>
      </c>
      <c r="L511" s="15" t="s">
        <v>299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408</v>
      </c>
      <c r="X511" s="12" t="s">
        <v>14</v>
      </c>
      <c r="Y511" s="12" t="s">
        <v>14</v>
      </c>
      <c r="Z511" s="13" t="s">
        <v>270</v>
      </c>
    </row>
    <row r="512" spans="1:26" ht="19.899999999999999" customHeight="1" x14ac:dyDescent="0.25">
      <c r="A512" s="6">
        <v>45959</v>
      </c>
      <c r="B512" s="7" t="s">
        <v>1181</v>
      </c>
      <c r="C512" s="8" t="s">
        <v>1851</v>
      </c>
      <c r="D512" s="8" t="s">
        <v>364</v>
      </c>
      <c r="E512" s="8" t="s">
        <v>1852</v>
      </c>
      <c r="F512" s="9" t="s">
        <v>1855</v>
      </c>
      <c r="G512" s="9" t="s">
        <v>1856</v>
      </c>
      <c r="H512" s="9" t="s">
        <v>1856</v>
      </c>
      <c r="I512" s="9" t="s">
        <v>69</v>
      </c>
      <c r="J512" s="10" t="s">
        <v>24</v>
      </c>
      <c r="K512" s="15" t="str">
        <f>VLOOKUP(J512,DADOS!$A$3:$B$105,2,FALSE)</f>
        <v>EE-GI-021-005</v>
      </c>
      <c r="L512" s="15" t="s">
        <v>299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1</v>
      </c>
      <c r="W512" s="11" t="s">
        <v>364</v>
      </c>
      <c r="X512" s="12" t="s">
        <v>14</v>
      </c>
      <c r="Y512" s="12" t="s">
        <v>14</v>
      </c>
      <c r="Z512" s="13" t="s">
        <v>270</v>
      </c>
    </row>
    <row r="513" spans="1:26" ht="19.899999999999999" customHeight="1" x14ac:dyDescent="0.25">
      <c r="A513" s="6">
        <v>45959</v>
      </c>
      <c r="B513" s="7" t="s">
        <v>1181</v>
      </c>
      <c r="C513" s="8" t="s">
        <v>1857</v>
      </c>
      <c r="D513" s="8" t="s">
        <v>331</v>
      </c>
      <c r="E513" s="8" t="s">
        <v>1852</v>
      </c>
      <c r="F513" s="9" t="s">
        <v>1858</v>
      </c>
      <c r="G513" s="9" t="s">
        <v>1859</v>
      </c>
      <c r="H513" s="9" t="s">
        <v>1859</v>
      </c>
      <c r="I513" s="9" t="s">
        <v>69</v>
      </c>
      <c r="J513" s="10" t="s">
        <v>24</v>
      </c>
      <c r="K513" s="15" t="str">
        <f>VLOOKUP(J513,DADOS!$A$3:$B$105,2,FALSE)</f>
        <v>EE-GI-021-005</v>
      </c>
      <c r="L513" s="15" t="s">
        <v>268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1</v>
      </c>
      <c r="W513" s="11" t="s">
        <v>331</v>
      </c>
      <c r="X513" s="12" t="s">
        <v>14</v>
      </c>
      <c r="Y513" s="12" t="s">
        <v>14</v>
      </c>
      <c r="Z513" s="13" t="s">
        <v>270</v>
      </c>
    </row>
    <row r="514" spans="1:26" ht="19.899999999999999" customHeight="1" x14ac:dyDescent="0.25">
      <c r="A514" s="6">
        <v>45959</v>
      </c>
      <c r="B514" s="7" t="s">
        <v>1181</v>
      </c>
      <c r="C514" s="8" t="s">
        <v>1857</v>
      </c>
      <c r="D514" s="8" t="s">
        <v>331</v>
      </c>
      <c r="E514" s="8" t="s">
        <v>1852</v>
      </c>
      <c r="F514" s="9" t="s">
        <v>1860</v>
      </c>
      <c r="G514" s="9" t="s">
        <v>1861</v>
      </c>
      <c r="H514" s="9" t="s">
        <v>1861</v>
      </c>
      <c r="I514" s="9" t="s">
        <v>69</v>
      </c>
      <c r="J514" s="10" t="s">
        <v>24</v>
      </c>
      <c r="K514" s="15" t="str">
        <f>VLOOKUP(J514,DADOS!$A$3:$B$105,2,FALSE)</f>
        <v>EE-GI-021-005</v>
      </c>
      <c r="L514" s="15" t="s">
        <v>268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1</v>
      </c>
      <c r="W514" s="11" t="s">
        <v>331</v>
      </c>
      <c r="X514" s="12" t="s">
        <v>14</v>
      </c>
      <c r="Y514" s="12" t="s">
        <v>14</v>
      </c>
      <c r="Z514" s="13" t="s">
        <v>270</v>
      </c>
    </row>
    <row r="515" spans="1:26" ht="19.899999999999999" customHeight="1" x14ac:dyDescent="0.25">
      <c r="A515" s="6">
        <v>45959</v>
      </c>
      <c r="B515" s="7" t="s">
        <v>400</v>
      </c>
      <c r="C515" s="8" t="s">
        <v>1874</v>
      </c>
      <c r="D515" s="8" t="s">
        <v>264</v>
      </c>
      <c r="E515" s="8" t="s">
        <v>1624</v>
      </c>
      <c r="F515" s="9" t="s">
        <v>1875</v>
      </c>
      <c r="G515" s="9" t="s">
        <v>1220</v>
      </c>
      <c r="H515" s="9" t="s">
        <v>1899</v>
      </c>
      <c r="I515" s="9" t="s">
        <v>68</v>
      </c>
      <c r="J515" s="10" t="s">
        <v>233</v>
      </c>
      <c r="K515" s="15" t="str">
        <f>VLOOKUP(J515,DADOS!$A$3:$B$105,2,FALSE)</f>
        <v>EE-GI-221-031</v>
      </c>
      <c r="L515" s="15" t="s">
        <v>1382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1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 t="s">
        <v>264</v>
      </c>
      <c r="X515" s="12" t="s">
        <v>14</v>
      </c>
      <c r="Y515" s="12" t="s">
        <v>14</v>
      </c>
      <c r="Z515" s="13" t="s">
        <v>270</v>
      </c>
    </row>
    <row r="516" spans="1:26" ht="19.899999999999999" customHeight="1" x14ac:dyDescent="0.25">
      <c r="A516" s="6">
        <v>45959</v>
      </c>
      <c r="B516" s="7" t="s">
        <v>400</v>
      </c>
      <c r="C516" s="8" t="s">
        <v>1879</v>
      </c>
      <c r="D516" s="8" t="s">
        <v>1276</v>
      </c>
      <c r="E516" s="8" t="s">
        <v>1624</v>
      </c>
      <c r="F516" s="9" t="s">
        <v>1880</v>
      </c>
      <c r="G516" s="9" t="s">
        <v>418</v>
      </c>
      <c r="H516" s="34"/>
      <c r="I516" s="9" t="s">
        <v>68</v>
      </c>
      <c r="J516" s="10" t="s">
        <v>241</v>
      </c>
      <c r="K516" s="15" t="str">
        <f>VLOOKUP(J516,DADOS!$A$3:$B$105,2,FALSE)</f>
        <v>EE-GI-221-048</v>
      </c>
      <c r="L516" s="15" t="s">
        <v>1382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1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 t="s">
        <v>1276</v>
      </c>
      <c r="X516" s="12" t="s">
        <v>14</v>
      </c>
      <c r="Y516" s="12" t="s">
        <v>14</v>
      </c>
      <c r="Z516" s="13" t="s">
        <v>270</v>
      </c>
    </row>
    <row r="517" spans="1:26" ht="19.899999999999999" customHeight="1" x14ac:dyDescent="0.25">
      <c r="A517" s="6">
        <v>45959</v>
      </c>
      <c r="B517" s="7" t="s">
        <v>400</v>
      </c>
      <c r="C517" s="8" t="s">
        <v>1879</v>
      </c>
      <c r="D517" s="8" t="s">
        <v>344</v>
      </c>
      <c r="E517" s="8" t="s">
        <v>1624</v>
      </c>
      <c r="F517" s="9" t="s">
        <v>1900</v>
      </c>
      <c r="G517" s="9" t="s">
        <v>418</v>
      </c>
      <c r="H517" s="34"/>
      <c r="I517" s="9" t="s">
        <v>68</v>
      </c>
      <c r="J517" s="10" t="s">
        <v>241</v>
      </c>
      <c r="K517" s="15" t="str">
        <f>VLOOKUP(J517,DADOS!$A$3:$B$105,2,FALSE)</f>
        <v>EE-GI-221-048</v>
      </c>
      <c r="L517" s="15" t="s">
        <v>1382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1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 t="s">
        <v>344</v>
      </c>
      <c r="X517" s="12" t="s">
        <v>14</v>
      </c>
      <c r="Y517" s="12" t="s">
        <v>14</v>
      </c>
      <c r="Z517" s="13" t="s">
        <v>270</v>
      </c>
    </row>
    <row r="518" spans="1:26" ht="19.899999999999999" customHeight="1" x14ac:dyDescent="0.25">
      <c r="A518" s="6">
        <v>45959</v>
      </c>
      <c r="B518" s="7" t="s">
        <v>400</v>
      </c>
      <c r="C518" s="8" t="s">
        <v>1901</v>
      </c>
      <c r="D518" s="8" t="s">
        <v>264</v>
      </c>
      <c r="E518" s="8" t="s">
        <v>1624</v>
      </c>
      <c r="F518" s="9" t="s">
        <v>1216</v>
      </c>
      <c r="G518" s="9" t="s">
        <v>418</v>
      </c>
      <c r="H518" s="9" t="s">
        <v>1902</v>
      </c>
      <c r="I518" s="9" t="s">
        <v>68</v>
      </c>
      <c r="J518" s="10" t="s">
        <v>241</v>
      </c>
      <c r="K518" s="15" t="str">
        <f>VLOOKUP(J518,DADOS!$A$3:$B$105,2,FALSE)</f>
        <v>EE-GI-221-048</v>
      </c>
      <c r="L518" s="15" t="s">
        <v>1382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1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 t="s">
        <v>264</v>
      </c>
      <c r="X518" s="12" t="s">
        <v>14</v>
      </c>
      <c r="Y518" s="12" t="s">
        <v>14</v>
      </c>
      <c r="Z518" s="13" t="s">
        <v>270</v>
      </c>
    </row>
    <row r="519" spans="1:26" ht="19.899999999999999" customHeight="1" x14ac:dyDescent="0.25">
      <c r="A519" s="6">
        <v>45959</v>
      </c>
      <c r="B519" s="7" t="s">
        <v>400</v>
      </c>
      <c r="C519" s="8" t="s">
        <v>1817</v>
      </c>
      <c r="D519" s="8" t="s">
        <v>1903</v>
      </c>
      <c r="E519" s="8" t="s">
        <v>1624</v>
      </c>
      <c r="F519" s="9" t="s">
        <v>1818</v>
      </c>
      <c r="G519" s="9" t="s">
        <v>418</v>
      </c>
      <c r="H519" s="9" t="s">
        <v>1904</v>
      </c>
      <c r="I519" s="9" t="s">
        <v>66</v>
      </c>
      <c r="J519" s="10" t="s">
        <v>241</v>
      </c>
      <c r="K519" s="15" t="str">
        <f>VLOOKUP(J519,DADOS!$A$3:$B$105,2,FALSE)</f>
        <v>EE-GI-221-048</v>
      </c>
      <c r="L519" s="15" t="s">
        <v>1382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1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 t="s">
        <v>1903</v>
      </c>
      <c r="X519" s="12" t="s">
        <v>14</v>
      </c>
      <c r="Y519" s="12" t="s">
        <v>14</v>
      </c>
      <c r="Z519" s="13" t="s">
        <v>270</v>
      </c>
    </row>
    <row r="520" spans="1:26" ht="19.899999999999999" customHeight="1" x14ac:dyDescent="0.25">
      <c r="A520" s="6">
        <v>45959</v>
      </c>
      <c r="B520" s="7" t="s">
        <v>400</v>
      </c>
      <c r="C520" s="8" t="s">
        <v>1817</v>
      </c>
      <c r="D520" s="8" t="s">
        <v>1905</v>
      </c>
      <c r="E520" s="8" t="s">
        <v>1624</v>
      </c>
      <c r="F520" s="9" t="s">
        <v>1906</v>
      </c>
      <c r="G520" s="9" t="s">
        <v>418</v>
      </c>
      <c r="H520" s="9" t="s">
        <v>1904</v>
      </c>
      <c r="I520" s="9" t="s">
        <v>66</v>
      </c>
      <c r="J520" s="10" t="s">
        <v>241</v>
      </c>
      <c r="K520" s="15" t="str">
        <f>VLOOKUP(J520,DADOS!$A$3:$B$105,2,FALSE)</f>
        <v>EE-GI-221-048</v>
      </c>
      <c r="L520" s="15" t="s">
        <v>1382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1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 t="s">
        <v>1905</v>
      </c>
      <c r="X520" s="12" t="s">
        <v>14</v>
      </c>
      <c r="Y520" s="12" t="s">
        <v>14</v>
      </c>
      <c r="Z520" s="13" t="s">
        <v>270</v>
      </c>
    </row>
    <row r="521" spans="1:26" ht="19.899999999999999" customHeight="1" x14ac:dyDescent="0.25">
      <c r="A521" s="6">
        <v>45959</v>
      </c>
      <c r="B521" s="7" t="s">
        <v>400</v>
      </c>
      <c r="C521" s="8" t="s">
        <v>419</v>
      </c>
      <c r="D521" s="8" t="s">
        <v>353</v>
      </c>
      <c r="E521" s="8" t="s">
        <v>1624</v>
      </c>
      <c r="F521" s="9" t="s">
        <v>1228</v>
      </c>
      <c r="G521" s="9" t="s">
        <v>418</v>
      </c>
      <c r="H521" s="9" t="s">
        <v>1907</v>
      </c>
      <c r="I521" s="9" t="s">
        <v>66</v>
      </c>
      <c r="J521" s="10" t="s">
        <v>241</v>
      </c>
      <c r="K521" s="15" t="str">
        <f>VLOOKUP(J521,DADOS!$A$3:$B$105,2,FALSE)</f>
        <v>EE-GI-221-048</v>
      </c>
      <c r="L521" s="15" t="s">
        <v>1382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1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 t="s">
        <v>353</v>
      </c>
      <c r="X521" s="12" t="s">
        <v>14</v>
      </c>
      <c r="Y521" s="12" t="s">
        <v>14</v>
      </c>
      <c r="Z521" s="13" t="s">
        <v>270</v>
      </c>
    </row>
    <row r="522" spans="1:26" ht="19.899999999999999" customHeight="1" x14ac:dyDescent="0.25">
      <c r="A522" s="6">
        <v>45959</v>
      </c>
      <c r="B522" s="7" t="s">
        <v>400</v>
      </c>
      <c r="C522" s="8" t="s">
        <v>463</v>
      </c>
      <c r="D522" s="8" t="s">
        <v>1174</v>
      </c>
      <c r="E522" s="8" t="s">
        <v>1624</v>
      </c>
      <c r="F522" s="9" t="s">
        <v>464</v>
      </c>
      <c r="G522" s="9" t="s">
        <v>418</v>
      </c>
      <c r="H522" s="9" t="s">
        <v>1909</v>
      </c>
      <c r="I522" s="9" t="s">
        <v>66</v>
      </c>
      <c r="J522" s="10" t="s">
        <v>241</v>
      </c>
      <c r="K522" s="15" t="str">
        <f>VLOOKUP(J522,DADOS!$A$3:$B$105,2,FALSE)</f>
        <v>EE-GI-221-048</v>
      </c>
      <c r="L522" s="15" t="s">
        <v>1382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1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 t="s">
        <v>1174</v>
      </c>
      <c r="X522" s="12" t="s">
        <v>14</v>
      </c>
      <c r="Y522" s="12" t="s">
        <v>14</v>
      </c>
      <c r="Z522" s="13" t="s">
        <v>270</v>
      </c>
    </row>
    <row r="523" spans="1:26" ht="19.899999999999999" customHeight="1" x14ac:dyDescent="0.25">
      <c r="A523" s="6">
        <v>45959</v>
      </c>
      <c r="B523" s="7" t="s">
        <v>400</v>
      </c>
      <c r="C523" s="8" t="s">
        <v>463</v>
      </c>
      <c r="D523" s="8" t="s">
        <v>456</v>
      </c>
      <c r="E523" s="8" t="s">
        <v>1624</v>
      </c>
      <c r="F523" s="9" t="s">
        <v>1908</v>
      </c>
      <c r="G523" s="9" t="s">
        <v>418</v>
      </c>
      <c r="H523" s="9" t="s">
        <v>1909</v>
      </c>
      <c r="I523" s="9" t="s">
        <v>66</v>
      </c>
      <c r="J523" s="10" t="s">
        <v>241</v>
      </c>
      <c r="K523" s="15" t="str">
        <f>VLOOKUP(J523,DADOS!$A$3:$B$105,2,FALSE)</f>
        <v>EE-GI-221-048</v>
      </c>
      <c r="L523" s="15" t="s">
        <v>1382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1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 t="s">
        <v>456</v>
      </c>
      <c r="X523" s="12" t="s">
        <v>14</v>
      </c>
      <c r="Y523" s="12" t="s">
        <v>14</v>
      </c>
      <c r="Z523" s="13" t="s">
        <v>270</v>
      </c>
    </row>
    <row r="524" spans="1:26" ht="19.899999999999999" customHeight="1" x14ac:dyDescent="0.25">
      <c r="A524" s="6">
        <v>45960</v>
      </c>
      <c r="B524" s="7" t="s">
        <v>262</v>
      </c>
      <c r="C524" s="8" t="s">
        <v>1555</v>
      </c>
      <c r="D524" s="8" t="s">
        <v>331</v>
      </c>
      <c r="E524" s="8" t="s">
        <v>1556</v>
      </c>
      <c r="F524" s="9" t="s">
        <v>1557</v>
      </c>
      <c r="G524" s="9" t="s">
        <v>1558</v>
      </c>
      <c r="H524" s="9" t="s">
        <v>1559</v>
      </c>
      <c r="I524" s="9" t="s">
        <v>69</v>
      </c>
      <c r="J524" s="10" t="s">
        <v>185</v>
      </c>
      <c r="K524" s="15" t="str">
        <f>VLOOKUP(J524,DADOS!$A$3:$B$105,2,FALSE)</f>
        <v>EE-GI-001-031</v>
      </c>
      <c r="L524" s="15" t="s">
        <v>853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0</v>
      </c>
      <c r="S524" s="17" t="b">
        <v>0</v>
      </c>
      <c r="T524" s="17" t="b">
        <v>1</v>
      </c>
      <c r="U524" s="17" t="b">
        <v>1</v>
      </c>
      <c r="V524" s="17" t="b">
        <v>1</v>
      </c>
      <c r="W524" s="11" t="s">
        <v>14</v>
      </c>
      <c r="X524" s="12" t="s">
        <v>331</v>
      </c>
      <c r="Y524" s="12" t="s">
        <v>1560</v>
      </c>
      <c r="Z524" s="12" t="s">
        <v>854</v>
      </c>
    </row>
    <row r="525" spans="1:26" ht="19.899999999999999" customHeight="1" x14ac:dyDescent="0.25">
      <c r="A525" s="6">
        <v>45960</v>
      </c>
      <c r="B525" s="7" t="s">
        <v>262</v>
      </c>
      <c r="C525" s="8" t="s">
        <v>1569</v>
      </c>
      <c r="D525" s="8" t="s">
        <v>264</v>
      </c>
      <c r="E525" s="8" t="s">
        <v>1570</v>
      </c>
      <c r="F525" s="9" t="s">
        <v>1571</v>
      </c>
      <c r="G525" s="9" t="s">
        <v>874</v>
      </c>
      <c r="H525" s="34"/>
      <c r="I525" s="9" t="s">
        <v>68</v>
      </c>
      <c r="J525" s="10" t="s">
        <v>15</v>
      </c>
      <c r="K525" s="15" t="str">
        <f>VLOOKUP(J525,DADOS!$A$3:$B$105,2,FALSE)</f>
        <v>EE-GI-001-002</v>
      </c>
      <c r="L525" s="15" t="s">
        <v>268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1</v>
      </c>
      <c r="S525" s="17" t="b">
        <v>0</v>
      </c>
      <c r="T525" s="17" t="b">
        <v>0</v>
      </c>
      <c r="U525" s="17" t="b">
        <v>0</v>
      </c>
      <c r="V525" s="17" t="b">
        <v>1</v>
      </c>
      <c r="W525" s="11" t="s">
        <v>264</v>
      </c>
      <c r="X525" s="12" t="s">
        <v>14</v>
      </c>
      <c r="Y525" s="12" t="s">
        <v>14</v>
      </c>
      <c r="Z525" s="13" t="s">
        <v>270</v>
      </c>
    </row>
    <row r="526" spans="1:26" ht="19.899999999999999" customHeight="1" x14ac:dyDescent="0.25">
      <c r="A526" s="6">
        <v>45960</v>
      </c>
      <c r="B526" s="7" t="s">
        <v>1104</v>
      </c>
      <c r="C526" s="8" t="s">
        <v>1561</v>
      </c>
      <c r="D526" s="8" t="s">
        <v>264</v>
      </c>
      <c r="E526" s="8" t="s">
        <v>1563</v>
      </c>
      <c r="F526" s="9" t="s">
        <v>1564</v>
      </c>
      <c r="G526" s="9" t="s">
        <v>1566</v>
      </c>
      <c r="H526" s="9" t="s">
        <v>1567</v>
      </c>
      <c r="I526" s="9" t="s">
        <v>69</v>
      </c>
      <c r="J526" s="10" t="s">
        <v>15</v>
      </c>
      <c r="K526" s="15" t="str">
        <f>VLOOKUP(J526,DADOS!$A$3:$B$105,2,FALSE)</f>
        <v>EE-GI-001-002</v>
      </c>
      <c r="L526" s="15" t="s">
        <v>299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1</v>
      </c>
      <c r="S526" s="17" t="b">
        <v>0</v>
      </c>
      <c r="T526" s="17" t="b">
        <v>0</v>
      </c>
      <c r="U526" s="17" t="b">
        <v>0</v>
      </c>
      <c r="V526" s="17" t="b">
        <v>1</v>
      </c>
      <c r="W526" s="11" t="s">
        <v>14</v>
      </c>
      <c r="X526" s="12" t="s">
        <v>264</v>
      </c>
      <c r="Y526" s="12" t="s">
        <v>1568</v>
      </c>
      <c r="Z526" s="12" t="s">
        <v>270</v>
      </c>
    </row>
    <row r="527" spans="1:26" ht="19.899999999999999" customHeight="1" x14ac:dyDescent="0.25">
      <c r="A527" s="6">
        <v>45960</v>
      </c>
      <c r="B527" s="7" t="s">
        <v>1104</v>
      </c>
      <c r="C527" s="8" t="s">
        <v>1561</v>
      </c>
      <c r="D527" s="8" t="s">
        <v>1562</v>
      </c>
      <c r="E527" s="8" t="s">
        <v>1563</v>
      </c>
      <c r="F527" s="9" t="s">
        <v>1565</v>
      </c>
      <c r="G527" s="9" t="s">
        <v>1566</v>
      </c>
      <c r="H527" s="9" t="s">
        <v>1567</v>
      </c>
      <c r="I527" s="9" t="s">
        <v>69</v>
      </c>
      <c r="J527" s="10" t="s">
        <v>15</v>
      </c>
      <c r="K527" s="15" t="str">
        <f>VLOOKUP(J527,DADOS!$A$3:$B$105,2,FALSE)</f>
        <v>EE-GI-001-002</v>
      </c>
      <c r="L527" s="15" t="s">
        <v>299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1</v>
      </c>
      <c r="S527" s="17" t="b">
        <v>0</v>
      </c>
      <c r="T527" s="17" t="b">
        <v>0</v>
      </c>
      <c r="U527" s="17" t="b">
        <v>0</v>
      </c>
      <c r="V527" s="17" t="b">
        <v>1</v>
      </c>
      <c r="W527" s="11" t="s">
        <v>14</v>
      </c>
      <c r="X527" s="12" t="s">
        <v>1562</v>
      </c>
      <c r="Y527" s="12" t="s">
        <v>1568</v>
      </c>
      <c r="Z527" s="12" t="s">
        <v>270</v>
      </c>
    </row>
    <row r="528" spans="1:26" ht="19.899999999999999" customHeight="1" x14ac:dyDescent="0.25">
      <c r="A528" s="6">
        <v>45960</v>
      </c>
      <c r="B528" s="7" t="s">
        <v>1104</v>
      </c>
      <c r="C528" s="8" t="s">
        <v>1584</v>
      </c>
      <c r="D528" s="8" t="s">
        <v>308</v>
      </c>
      <c r="E528" s="8" t="s">
        <v>1586</v>
      </c>
      <c r="F528" s="9" t="s">
        <v>1587</v>
      </c>
      <c r="G528" s="9" t="s">
        <v>1590</v>
      </c>
      <c r="H528" s="9" t="s">
        <v>1591</v>
      </c>
      <c r="I528" s="9" t="s">
        <v>69</v>
      </c>
      <c r="J528" s="10" t="s">
        <v>15</v>
      </c>
      <c r="K528" s="15" t="str">
        <f>VLOOKUP(J528,DADOS!$A$3:$B$105,2,FALSE)</f>
        <v>EE-GI-001-002</v>
      </c>
      <c r="L528" s="15" t="s">
        <v>299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1</v>
      </c>
      <c r="S528" s="17" t="b">
        <v>0</v>
      </c>
      <c r="T528" s="17" t="b">
        <v>0</v>
      </c>
      <c r="U528" s="17" t="b">
        <v>0</v>
      </c>
      <c r="V528" s="17" t="b">
        <v>1</v>
      </c>
      <c r="W528" s="11" t="s">
        <v>308</v>
      </c>
      <c r="X528" s="12" t="s">
        <v>14</v>
      </c>
      <c r="Y528" s="12" t="s">
        <v>14</v>
      </c>
      <c r="Z528" s="13" t="s">
        <v>270</v>
      </c>
    </row>
    <row r="529" spans="1:26" ht="19.899999999999999" customHeight="1" x14ac:dyDescent="0.25">
      <c r="A529" s="6">
        <v>45960</v>
      </c>
      <c r="B529" s="7" t="s">
        <v>1104</v>
      </c>
      <c r="C529" s="8" t="s">
        <v>1584</v>
      </c>
      <c r="D529" s="8" t="s">
        <v>264</v>
      </c>
      <c r="E529" s="8" t="s">
        <v>1586</v>
      </c>
      <c r="F529" s="9" t="s">
        <v>1588</v>
      </c>
      <c r="G529" s="9" t="s">
        <v>1590</v>
      </c>
      <c r="H529" s="9" t="s">
        <v>1591</v>
      </c>
      <c r="I529" s="9" t="s">
        <v>69</v>
      </c>
      <c r="J529" s="10" t="s">
        <v>15</v>
      </c>
      <c r="K529" s="15" t="str">
        <f>VLOOKUP(J529,DADOS!$A$3:$B$105,2,FALSE)</f>
        <v>EE-GI-001-002</v>
      </c>
      <c r="L529" s="15" t="s">
        <v>299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1</v>
      </c>
      <c r="S529" s="17" t="b">
        <v>0</v>
      </c>
      <c r="T529" s="17" t="b">
        <v>0</v>
      </c>
      <c r="U529" s="17" t="b">
        <v>0</v>
      </c>
      <c r="V529" s="17" t="b">
        <v>1</v>
      </c>
      <c r="W529" s="11" t="s">
        <v>264</v>
      </c>
      <c r="X529" s="12" t="s">
        <v>14</v>
      </c>
      <c r="Y529" s="12" t="s">
        <v>14</v>
      </c>
      <c r="Z529" s="13" t="s">
        <v>270</v>
      </c>
    </row>
    <row r="530" spans="1:26" ht="19.899999999999999" customHeight="1" x14ac:dyDescent="0.25">
      <c r="A530" s="6">
        <v>45960</v>
      </c>
      <c r="B530" s="7" t="s">
        <v>1104</v>
      </c>
      <c r="C530" s="8" t="s">
        <v>1584</v>
      </c>
      <c r="D530" s="8" t="s">
        <v>1585</v>
      </c>
      <c r="E530" s="8" t="s">
        <v>1586</v>
      </c>
      <c r="F530" s="9" t="s">
        <v>1589</v>
      </c>
      <c r="G530" s="9" t="s">
        <v>1590</v>
      </c>
      <c r="H530" s="9" t="s">
        <v>1591</v>
      </c>
      <c r="I530" s="9" t="s">
        <v>69</v>
      </c>
      <c r="J530" s="10" t="s">
        <v>15</v>
      </c>
      <c r="K530" s="15" t="str">
        <f>VLOOKUP(J530,DADOS!$A$3:$B$105,2,FALSE)</f>
        <v>EE-GI-001-002</v>
      </c>
      <c r="L530" s="15" t="s">
        <v>299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1</v>
      </c>
      <c r="S530" s="17" t="b">
        <v>0</v>
      </c>
      <c r="T530" s="17" t="b">
        <v>0</v>
      </c>
      <c r="U530" s="17" t="b">
        <v>0</v>
      </c>
      <c r="V530" s="17" t="b">
        <v>1</v>
      </c>
      <c r="W530" s="11" t="s">
        <v>1585</v>
      </c>
      <c r="X530" s="12" t="s">
        <v>14</v>
      </c>
      <c r="Y530" s="12" t="s">
        <v>14</v>
      </c>
      <c r="Z530" s="13" t="s">
        <v>270</v>
      </c>
    </row>
    <row r="531" spans="1:26" ht="19.899999999999999" customHeight="1" x14ac:dyDescent="0.25">
      <c r="A531" s="6">
        <v>45960</v>
      </c>
      <c r="B531" s="7" t="s">
        <v>499</v>
      </c>
      <c r="C531" s="8" t="s">
        <v>1572</v>
      </c>
      <c r="D531" s="8" t="s">
        <v>1573</v>
      </c>
      <c r="E531" s="8" t="s">
        <v>1574</v>
      </c>
      <c r="F531" s="9" t="s">
        <v>1575</v>
      </c>
      <c r="G531" s="9" t="s">
        <v>1576</v>
      </c>
      <c r="H531" s="9" t="s">
        <v>1592</v>
      </c>
      <c r="I531" s="9" t="s">
        <v>67</v>
      </c>
      <c r="J531" s="10" t="s">
        <v>174</v>
      </c>
      <c r="K531" s="15" t="str">
        <f>VLOOKUP(J531,DADOS!$A$3:$B$105,2,FALSE)</f>
        <v>EE-GI-001-007</v>
      </c>
      <c r="L531" s="15" t="s">
        <v>299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1</v>
      </c>
      <c r="S531" s="17" t="b">
        <v>0</v>
      </c>
      <c r="T531" s="17" t="b">
        <v>0</v>
      </c>
      <c r="U531" s="17" t="b">
        <v>0</v>
      </c>
      <c r="V531" s="17" t="b">
        <v>1</v>
      </c>
      <c r="W531" s="11" t="s">
        <v>14</v>
      </c>
      <c r="X531" s="12" t="s">
        <v>1573</v>
      </c>
      <c r="Y531" s="12" t="s">
        <v>1577</v>
      </c>
      <c r="Z531" s="12" t="s">
        <v>270</v>
      </c>
    </row>
    <row r="532" spans="1:26" ht="19.899999999999999" customHeight="1" x14ac:dyDescent="0.25">
      <c r="A532" s="6">
        <v>45960</v>
      </c>
      <c r="B532" s="7" t="s">
        <v>1032</v>
      </c>
      <c r="C532" s="8" t="s">
        <v>1578</v>
      </c>
      <c r="D532" s="8" t="s">
        <v>1579</v>
      </c>
      <c r="E532" s="8" t="s">
        <v>1115</v>
      </c>
      <c r="F532" s="9" t="s">
        <v>1580</v>
      </c>
      <c r="G532" s="9" t="s">
        <v>1581</v>
      </c>
      <c r="H532" s="9" t="s">
        <v>1593</v>
      </c>
      <c r="I532" s="9" t="s">
        <v>66</v>
      </c>
      <c r="J532" s="10" t="s">
        <v>174</v>
      </c>
      <c r="K532" s="15" t="str">
        <f>VLOOKUP(J532,DADOS!$A$3:$B$105,2,FALSE)</f>
        <v>EE-GI-001-007</v>
      </c>
      <c r="L532" s="15" t="s">
        <v>299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1</v>
      </c>
      <c r="S532" s="17" t="b">
        <v>0</v>
      </c>
      <c r="T532" s="17" t="b">
        <v>0</v>
      </c>
      <c r="U532" s="17" t="b">
        <v>0</v>
      </c>
      <c r="V532" s="17" t="b">
        <v>1</v>
      </c>
      <c r="W532" s="11" t="s">
        <v>881</v>
      </c>
      <c r="X532" s="12" t="s">
        <v>1582</v>
      </c>
      <c r="Y532" s="12" t="s">
        <v>1583</v>
      </c>
      <c r="Z532" s="12" t="s">
        <v>270</v>
      </c>
    </row>
    <row r="533" spans="1:26" ht="19.899999999999999" customHeight="1" x14ac:dyDescent="0.25">
      <c r="A533" s="6">
        <v>45960</v>
      </c>
      <c r="B533" s="7" t="s">
        <v>300</v>
      </c>
      <c r="C533" s="8" t="s">
        <v>1594</v>
      </c>
      <c r="D533" s="8" t="s">
        <v>402</v>
      </c>
      <c r="E533" s="8" t="s">
        <v>1595</v>
      </c>
      <c r="F533" s="9" t="s">
        <v>1596</v>
      </c>
      <c r="G533" s="9" t="s">
        <v>1597</v>
      </c>
      <c r="H533" s="9" t="s">
        <v>1599</v>
      </c>
      <c r="I533" s="9" t="s">
        <v>66</v>
      </c>
      <c r="J533" s="10" t="s">
        <v>17</v>
      </c>
      <c r="K533" s="15" t="str">
        <f>VLOOKUP(J533,DADOS!$A$3:$B$105,2,FALSE)</f>
        <v>EE-GI-001-001</v>
      </c>
      <c r="L533" s="15" t="s">
        <v>268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 t="s">
        <v>264</v>
      </c>
      <c r="X533" s="12" t="s">
        <v>273</v>
      </c>
      <c r="Y533" s="12" t="s">
        <v>1598</v>
      </c>
      <c r="Z533" s="12" t="s">
        <v>270</v>
      </c>
    </row>
    <row r="534" spans="1:26" ht="19.899999999999999" customHeight="1" x14ac:dyDescent="0.25">
      <c r="A534" s="6">
        <v>45960</v>
      </c>
      <c r="B534" s="7" t="s">
        <v>300</v>
      </c>
      <c r="C534" s="8" t="s">
        <v>1594</v>
      </c>
      <c r="D534" s="8" t="s">
        <v>408</v>
      </c>
      <c r="E534" s="8" t="s">
        <v>1595</v>
      </c>
      <c r="F534" s="9" t="s">
        <v>1600</v>
      </c>
      <c r="G534" s="9" t="s">
        <v>1597</v>
      </c>
      <c r="H534" s="9" t="s">
        <v>1599</v>
      </c>
      <c r="I534" s="9" t="s">
        <v>66</v>
      </c>
      <c r="J534" s="10" t="s">
        <v>17</v>
      </c>
      <c r="K534" s="15" t="str">
        <f>VLOOKUP(J534,DADOS!$A$3:$B$105,2,FALSE)</f>
        <v>EE-GI-001-001</v>
      </c>
      <c r="L534" s="15" t="s">
        <v>268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 t="s">
        <v>408</v>
      </c>
      <c r="X534" s="12" t="s">
        <v>14</v>
      </c>
      <c r="Y534" s="12" t="s">
        <v>14</v>
      </c>
      <c r="Z534" s="13" t="s">
        <v>270</v>
      </c>
    </row>
    <row r="535" spans="1:26" ht="19.899999999999999" customHeight="1" x14ac:dyDescent="0.25">
      <c r="A535" s="6">
        <v>45960</v>
      </c>
      <c r="B535" s="7" t="s">
        <v>300</v>
      </c>
      <c r="C535" s="8" t="s">
        <v>934</v>
      </c>
      <c r="D535" s="8" t="s">
        <v>331</v>
      </c>
      <c r="E535" s="8" t="s">
        <v>1601</v>
      </c>
      <c r="F535" s="9" t="s">
        <v>1602</v>
      </c>
      <c r="G535" s="9" t="s">
        <v>874</v>
      </c>
      <c r="H535" s="9" t="s">
        <v>1603</v>
      </c>
      <c r="I535" s="9" t="s">
        <v>68</v>
      </c>
      <c r="J535" s="10" t="s">
        <v>15</v>
      </c>
      <c r="K535" s="15" t="str">
        <f>VLOOKUP(J535,DADOS!$A$3:$B$105,2,FALSE)</f>
        <v>EE-GI-001-002</v>
      </c>
      <c r="L535" s="15" t="s">
        <v>268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1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 t="s">
        <v>331</v>
      </c>
      <c r="X535" s="12" t="s">
        <v>14</v>
      </c>
      <c r="Y535" s="12" t="s">
        <v>14</v>
      </c>
      <c r="Z535" s="13" t="s">
        <v>270</v>
      </c>
    </row>
    <row r="536" spans="1:26" ht="19.899999999999999" customHeight="1" x14ac:dyDescent="0.25">
      <c r="A536" s="6">
        <v>45960</v>
      </c>
      <c r="B536" s="7" t="s">
        <v>300</v>
      </c>
      <c r="C536" s="8" t="s">
        <v>911</v>
      </c>
      <c r="D536" s="8" t="s">
        <v>408</v>
      </c>
      <c r="E536" s="8" t="s">
        <v>1605</v>
      </c>
      <c r="F536" s="9" t="s">
        <v>1606</v>
      </c>
      <c r="G536" s="9" t="s">
        <v>874</v>
      </c>
      <c r="H536" s="9" t="s">
        <v>1608</v>
      </c>
      <c r="I536" s="9" t="s">
        <v>66</v>
      </c>
      <c r="J536" s="10" t="s">
        <v>15</v>
      </c>
      <c r="K536" s="15" t="str">
        <f>VLOOKUP(J536,DADOS!$A$3:$B$105,2,FALSE)</f>
        <v>EE-GI-001-002</v>
      </c>
      <c r="L536" s="15" t="s">
        <v>268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1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 t="s">
        <v>14</v>
      </c>
      <c r="X536" s="12" t="s">
        <v>408</v>
      </c>
      <c r="Y536" s="12" t="s">
        <v>1609</v>
      </c>
      <c r="Z536" s="12" t="s">
        <v>270</v>
      </c>
    </row>
    <row r="537" spans="1:26" ht="19.899999999999999" customHeight="1" x14ac:dyDescent="0.25">
      <c r="A537" s="6">
        <v>45960</v>
      </c>
      <c r="B537" s="7" t="s">
        <v>300</v>
      </c>
      <c r="C537" s="8" t="s">
        <v>325</v>
      </c>
      <c r="D537" s="8" t="s">
        <v>331</v>
      </c>
      <c r="E537" s="8" t="s">
        <v>1595</v>
      </c>
      <c r="F537" s="9" t="s">
        <v>1610</v>
      </c>
      <c r="G537" s="9" t="s">
        <v>874</v>
      </c>
      <c r="H537" s="9" t="s">
        <v>1611</v>
      </c>
      <c r="I537" s="9" t="s">
        <v>66</v>
      </c>
      <c r="J537" s="10" t="s">
        <v>15</v>
      </c>
      <c r="K537" s="15" t="str">
        <f>VLOOKUP(J537,DADOS!$A$3:$B$105,2,FALSE)</f>
        <v>EE-GI-001-002</v>
      </c>
      <c r="L537" s="15" t="s">
        <v>299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1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 t="s">
        <v>331</v>
      </c>
      <c r="X537" s="12" t="s">
        <v>14</v>
      </c>
      <c r="Y537" s="12" t="s">
        <v>14</v>
      </c>
      <c r="Z537" s="13" t="s">
        <v>270</v>
      </c>
    </row>
    <row r="538" spans="1:26" ht="19.899999999999999" customHeight="1" x14ac:dyDescent="0.25">
      <c r="A538" s="6">
        <v>45960</v>
      </c>
      <c r="B538" s="7" t="s">
        <v>300</v>
      </c>
      <c r="C538" s="8" t="s">
        <v>928</v>
      </c>
      <c r="D538" s="8" t="s">
        <v>273</v>
      </c>
      <c r="E538" s="8" t="s">
        <v>1612</v>
      </c>
      <c r="F538" s="9" t="s">
        <v>1613</v>
      </c>
      <c r="G538" s="9" t="s">
        <v>1614</v>
      </c>
      <c r="H538" s="9" t="s">
        <v>1615</v>
      </c>
      <c r="I538" s="9" t="s">
        <v>68</v>
      </c>
      <c r="J538" s="10" t="s">
        <v>15</v>
      </c>
      <c r="K538" s="15" t="str">
        <f>VLOOKUP(J538,DADOS!$A$3:$B$105,2,FALSE)</f>
        <v>EE-GI-001-002</v>
      </c>
      <c r="L538" s="15" t="s">
        <v>268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1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 t="s">
        <v>273</v>
      </c>
      <c r="X538" s="12" t="s">
        <v>14</v>
      </c>
      <c r="Y538" s="12" t="s">
        <v>14</v>
      </c>
      <c r="Z538" s="13" t="s">
        <v>270</v>
      </c>
    </row>
    <row r="539" spans="1:26" ht="19.899999999999999" customHeight="1" x14ac:dyDescent="0.25">
      <c r="A539" s="6">
        <v>45960</v>
      </c>
      <c r="B539" s="7" t="s">
        <v>300</v>
      </c>
      <c r="C539" s="8" t="s">
        <v>330</v>
      </c>
      <c r="D539" s="8" t="s">
        <v>331</v>
      </c>
      <c r="E539" s="8" t="s">
        <v>1612</v>
      </c>
      <c r="F539" s="9" t="s">
        <v>1643</v>
      </c>
      <c r="G539" s="9" t="s">
        <v>1614</v>
      </c>
      <c r="H539" s="9" t="s">
        <v>1644</v>
      </c>
      <c r="I539" s="9" t="s">
        <v>68</v>
      </c>
      <c r="J539" s="10" t="s">
        <v>15</v>
      </c>
      <c r="K539" s="15" t="str">
        <f>VLOOKUP(J539,DADOS!$A$3:$B$105,2,FALSE)</f>
        <v>EE-GI-001-002</v>
      </c>
      <c r="L539" s="15" t="s">
        <v>268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1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 t="s">
        <v>331</v>
      </c>
      <c r="X539" s="12" t="s">
        <v>14</v>
      </c>
      <c r="Y539" s="12" t="s">
        <v>14</v>
      </c>
      <c r="Z539" s="13" t="s">
        <v>270</v>
      </c>
    </row>
    <row r="540" spans="1:26" ht="19.899999999999999" customHeight="1" x14ac:dyDescent="0.25">
      <c r="A540" s="6">
        <v>45960</v>
      </c>
      <c r="B540" s="7" t="s">
        <v>400</v>
      </c>
      <c r="C540" s="8" t="s">
        <v>441</v>
      </c>
      <c r="D540" s="8" t="s">
        <v>737</v>
      </c>
      <c r="E540" s="8" t="s">
        <v>1616</v>
      </c>
      <c r="F540" s="9" t="s">
        <v>1082</v>
      </c>
      <c r="G540" s="9" t="s">
        <v>1617</v>
      </c>
      <c r="H540" s="34"/>
      <c r="I540" s="9" t="s">
        <v>66</v>
      </c>
      <c r="J540" s="10" t="s">
        <v>21</v>
      </c>
      <c r="K540" s="15" t="str">
        <f>VLOOKUP(J540,DADOS!$A$3:$B$105,2,FALSE)</f>
        <v>EE-GI-221-064</v>
      </c>
      <c r="L540" s="15" t="s">
        <v>1618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1</v>
      </c>
      <c r="W540" s="11" t="s">
        <v>737</v>
      </c>
      <c r="X540" s="12" t="s">
        <v>14</v>
      </c>
      <c r="Y540" s="12" t="s">
        <v>14</v>
      </c>
      <c r="Z540" s="13" t="s">
        <v>1619</v>
      </c>
    </row>
    <row r="541" spans="1:26" ht="19.899999999999999" customHeight="1" x14ac:dyDescent="0.25">
      <c r="A541" s="6">
        <v>45960</v>
      </c>
      <c r="B541" s="7" t="s">
        <v>400</v>
      </c>
      <c r="C541" s="8" t="s">
        <v>441</v>
      </c>
      <c r="D541" s="8" t="s">
        <v>344</v>
      </c>
      <c r="E541" s="8" t="s">
        <v>1616</v>
      </c>
      <c r="F541" s="9" t="s">
        <v>1226</v>
      </c>
      <c r="G541" s="9" t="s">
        <v>1617</v>
      </c>
      <c r="H541" s="34"/>
      <c r="I541" s="9" t="s">
        <v>66</v>
      </c>
      <c r="J541" s="10" t="s">
        <v>21</v>
      </c>
      <c r="K541" s="15" t="str">
        <f>VLOOKUP(J541,DADOS!$A$3:$B$105,2,FALSE)</f>
        <v>EE-GI-221-064</v>
      </c>
      <c r="L541" s="15" t="s">
        <v>1618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1</v>
      </c>
      <c r="W541" s="11" t="s">
        <v>344</v>
      </c>
      <c r="X541" s="12" t="s">
        <v>14</v>
      </c>
      <c r="Y541" s="12" t="s">
        <v>14</v>
      </c>
      <c r="Z541" s="13" t="s">
        <v>1619</v>
      </c>
    </row>
    <row r="542" spans="1:26" ht="19.899999999999999" customHeight="1" x14ac:dyDescent="0.25">
      <c r="A542" s="6">
        <v>45960</v>
      </c>
      <c r="B542" s="7" t="s">
        <v>400</v>
      </c>
      <c r="C542" s="8" t="s">
        <v>1620</v>
      </c>
      <c r="D542" s="8" t="s">
        <v>430</v>
      </c>
      <c r="E542" s="8" t="s">
        <v>1616</v>
      </c>
      <c r="F542" s="9" t="s">
        <v>1621</v>
      </c>
      <c r="G542" s="9" t="s">
        <v>1617</v>
      </c>
      <c r="H542" s="34"/>
      <c r="I542" s="9" t="s">
        <v>66</v>
      </c>
      <c r="J542" s="10" t="s">
        <v>21</v>
      </c>
      <c r="K542" s="15" t="str">
        <f>VLOOKUP(J542,DADOS!$A$3:$B$105,2,FALSE)</f>
        <v>EE-GI-221-064</v>
      </c>
      <c r="L542" s="15" t="s">
        <v>1618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1</v>
      </c>
      <c r="W542" s="11" t="s">
        <v>408</v>
      </c>
      <c r="X542" s="12" t="s">
        <v>14</v>
      </c>
      <c r="Y542" s="12" t="s">
        <v>14</v>
      </c>
      <c r="Z542" s="13" t="s">
        <v>1619</v>
      </c>
    </row>
    <row r="543" spans="1:26" ht="19.899999999999999" customHeight="1" x14ac:dyDescent="0.25">
      <c r="A543" s="6">
        <v>45960</v>
      </c>
      <c r="B543" s="7" t="s">
        <v>400</v>
      </c>
      <c r="C543" s="8" t="s">
        <v>1622</v>
      </c>
      <c r="D543" s="8" t="s">
        <v>1623</v>
      </c>
      <c r="E543" s="8" t="s">
        <v>1624</v>
      </c>
      <c r="F543" s="9" t="s">
        <v>1625</v>
      </c>
      <c r="G543" s="9" t="s">
        <v>1626</v>
      </c>
      <c r="H543" s="34"/>
      <c r="I543" s="9" t="s">
        <v>66</v>
      </c>
      <c r="J543" s="10" t="s">
        <v>27</v>
      </c>
      <c r="K543" s="15" t="str">
        <f>VLOOKUP(J543,DADOS!$A$3:$B$105,2,FALSE)</f>
        <v>EE-GI-221-041</v>
      </c>
      <c r="L543" s="15" t="s">
        <v>1618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1</v>
      </c>
      <c r="W543" s="11" t="s">
        <v>264</v>
      </c>
      <c r="X543" s="12" t="s">
        <v>14</v>
      </c>
      <c r="Y543" s="12" t="s">
        <v>14</v>
      </c>
      <c r="Z543" s="13" t="s">
        <v>1619</v>
      </c>
    </row>
    <row r="544" spans="1:26" ht="19.899999999999999" customHeight="1" x14ac:dyDescent="0.25">
      <c r="A544" s="6">
        <v>45960</v>
      </c>
      <c r="B544" s="7" t="s">
        <v>400</v>
      </c>
      <c r="C544" s="8" t="s">
        <v>1622</v>
      </c>
      <c r="D544" s="8" t="s">
        <v>1623</v>
      </c>
      <c r="E544" s="8" t="s">
        <v>1624</v>
      </c>
      <c r="F544" s="9" t="s">
        <v>1627</v>
      </c>
      <c r="G544" s="9" t="s">
        <v>1626</v>
      </c>
      <c r="H544" s="34"/>
      <c r="I544" s="9" t="s">
        <v>66</v>
      </c>
      <c r="J544" s="10" t="s">
        <v>27</v>
      </c>
      <c r="K544" s="15" t="str">
        <f>VLOOKUP(J544,DADOS!$A$3:$B$105,2,FALSE)</f>
        <v>EE-GI-221-041</v>
      </c>
      <c r="L544" s="15" t="s">
        <v>1618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1</v>
      </c>
      <c r="W544" s="11" t="s">
        <v>264</v>
      </c>
      <c r="X544" s="12" t="s">
        <v>14</v>
      </c>
      <c r="Y544" s="12" t="s">
        <v>14</v>
      </c>
      <c r="Z544" s="13" t="s">
        <v>1619</v>
      </c>
    </row>
    <row r="545" spans="1:26" ht="19.899999999999999" customHeight="1" x14ac:dyDescent="0.25">
      <c r="A545" s="6">
        <v>45960</v>
      </c>
      <c r="B545" s="7" t="s">
        <v>400</v>
      </c>
      <c r="C545" s="8" t="s">
        <v>1622</v>
      </c>
      <c r="D545" s="8" t="s">
        <v>1623</v>
      </c>
      <c r="E545" s="8" t="s">
        <v>1624</v>
      </c>
      <c r="F545" s="9" t="s">
        <v>1628</v>
      </c>
      <c r="G545" s="9" t="s">
        <v>1626</v>
      </c>
      <c r="H545" s="34"/>
      <c r="I545" s="9" t="s">
        <v>66</v>
      </c>
      <c r="J545" s="10" t="s">
        <v>27</v>
      </c>
      <c r="K545" s="15" t="str">
        <f>VLOOKUP(J545,DADOS!$A$3:$B$105,2,FALSE)</f>
        <v>EE-GI-221-041</v>
      </c>
      <c r="L545" s="15" t="s">
        <v>1618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1</v>
      </c>
      <c r="W545" s="11" t="s">
        <v>264</v>
      </c>
      <c r="X545" s="12" t="s">
        <v>14</v>
      </c>
      <c r="Y545" s="12" t="s">
        <v>14</v>
      </c>
      <c r="Z545" s="13" t="s">
        <v>1619</v>
      </c>
    </row>
    <row r="546" spans="1:26" ht="19.899999999999999" customHeight="1" x14ac:dyDescent="0.25">
      <c r="A546" s="6">
        <v>45960</v>
      </c>
      <c r="B546" s="7" t="s">
        <v>400</v>
      </c>
      <c r="C546" s="8" t="s">
        <v>1629</v>
      </c>
      <c r="D546" s="8" t="s">
        <v>430</v>
      </c>
      <c r="E546" s="8" t="s">
        <v>1624</v>
      </c>
      <c r="F546" s="9" t="s">
        <v>1630</v>
      </c>
      <c r="G546" s="9" t="s">
        <v>1626</v>
      </c>
      <c r="H546" s="34"/>
      <c r="I546" s="9" t="s">
        <v>66</v>
      </c>
      <c r="J546" s="10" t="s">
        <v>27</v>
      </c>
      <c r="K546" s="15" t="str">
        <f>VLOOKUP(J546,DADOS!$A$3:$B$105,2,FALSE)</f>
        <v>EE-GI-221-041</v>
      </c>
      <c r="L546" s="15" t="s">
        <v>1618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1</v>
      </c>
      <c r="W546" s="11" t="s">
        <v>408</v>
      </c>
      <c r="X546" s="12" t="s">
        <v>14</v>
      </c>
      <c r="Y546" s="12" t="s">
        <v>14</v>
      </c>
      <c r="Z546" s="13" t="s">
        <v>1619</v>
      </c>
    </row>
    <row r="547" spans="1:26" ht="19.899999999999999" customHeight="1" x14ac:dyDescent="0.25">
      <c r="A547" s="6">
        <v>45960</v>
      </c>
      <c r="B547" s="7" t="s">
        <v>400</v>
      </c>
      <c r="C547" s="8" t="s">
        <v>1631</v>
      </c>
      <c r="D547" s="8" t="s">
        <v>348</v>
      </c>
      <c r="E547" s="8" t="s">
        <v>1624</v>
      </c>
      <c r="F547" s="9" t="s">
        <v>1632</v>
      </c>
      <c r="G547" s="9" t="s">
        <v>1626</v>
      </c>
      <c r="H547" s="34"/>
      <c r="I547" s="9" t="s">
        <v>66</v>
      </c>
      <c r="J547" s="10" t="s">
        <v>27</v>
      </c>
      <c r="K547" s="15" t="str">
        <f>VLOOKUP(J547,DADOS!$A$3:$B$105,2,FALSE)</f>
        <v>EE-GI-221-041</v>
      </c>
      <c r="L547" s="15" t="s">
        <v>1618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331</v>
      </c>
      <c r="X547" s="12" t="s">
        <v>14</v>
      </c>
      <c r="Y547" s="12" t="s">
        <v>14</v>
      </c>
      <c r="Z547" s="13" t="s">
        <v>1619</v>
      </c>
    </row>
    <row r="548" spans="1:26" ht="19.899999999999999" customHeight="1" x14ac:dyDescent="0.25">
      <c r="A548" s="6">
        <v>45960</v>
      </c>
      <c r="B548" s="7" t="s">
        <v>400</v>
      </c>
      <c r="C548" s="8" t="s">
        <v>1633</v>
      </c>
      <c r="D548" s="8" t="s">
        <v>348</v>
      </c>
      <c r="E548" s="8" t="s">
        <v>1624</v>
      </c>
      <c r="F548" s="9" t="s">
        <v>1634</v>
      </c>
      <c r="G548" s="9" t="s">
        <v>1626</v>
      </c>
      <c r="H548" s="34"/>
      <c r="I548" s="9" t="s">
        <v>66</v>
      </c>
      <c r="J548" s="10" t="s">
        <v>27</v>
      </c>
      <c r="K548" s="15" t="str">
        <f>VLOOKUP(J548,DADOS!$A$3:$B$105,2,FALSE)</f>
        <v>EE-GI-221-041</v>
      </c>
      <c r="L548" s="15" t="s">
        <v>1618</v>
      </c>
      <c r="M548" s="18" t="b">
        <v>1</v>
      </c>
      <c r="N548" s="17" t="b">
        <v>1</v>
      </c>
      <c r="O548" s="17" t="b">
        <v>1</v>
      </c>
      <c r="P548" s="17" t="b">
        <v>1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1</v>
      </c>
      <c r="W548" s="11" t="s">
        <v>331</v>
      </c>
      <c r="X548" s="12" t="s">
        <v>14</v>
      </c>
      <c r="Y548" s="12" t="s">
        <v>14</v>
      </c>
      <c r="Z548" s="13" t="s">
        <v>1619</v>
      </c>
    </row>
    <row r="549" spans="1:26" ht="19.899999999999999" customHeight="1" x14ac:dyDescent="0.25">
      <c r="A549" s="6">
        <v>45960</v>
      </c>
      <c r="B549" s="7" t="s">
        <v>400</v>
      </c>
      <c r="C549" s="8" t="s">
        <v>1635</v>
      </c>
      <c r="D549" s="8" t="s">
        <v>737</v>
      </c>
      <c r="E549" s="8" t="s">
        <v>1624</v>
      </c>
      <c r="F549" s="9" t="s">
        <v>1636</v>
      </c>
      <c r="G549" s="9" t="s">
        <v>1626</v>
      </c>
      <c r="H549" s="34"/>
      <c r="I549" s="9" t="s">
        <v>66</v>
      </c>
      <c r="J549" s="10" t="s">
        <v>27</v>
      </c>
      <c r="K549" s="15" t="str">
        <f>VLOOKUP(J549,DADOS!$A$3:$B$105,2,FALSE)</f>
        <v>EE-GI-221-041</v>
      </c>
      <c r="L549" s="15" t="s">
        <v>1618</v>
      </c>
      <c r="M549" s="18" t="b">
        <v>1</v>
      </c>
      <c r="N549" s="17" t="b">
        <v>1</v>
      </c>
      <c r="O549" s="17" t="b">
        <v>1</v>
      </c>
      <c r="P549" s="17" t="b">
        <v>1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1</v>
      </c>
      <c r="W549" s="11" t="s">
        <v>409</v>
      </c>
      <c r="X549" s="12" t="s">
        <v>14</v>
      </c>
      <c r="Y549" s="12" t="s">
        <v>14</v>
      </c>
      <c r="Z549" s="13" t="s">
        <v>1619</v>
      </c>
    </row>
    <row r="550" spans="1:26" ht="19.899999999999999" customHeight="1" x14ac:dyDescent="0.25">
      <c r="A550" s="6">
        <v>45960</v>
      </c>
      <c r="B550" s="7" t="s">
        <v>1637</v>
      </c>
      <c r="C550" s="8" t="s">
        <v>1635</v>
      </c>
      <c r="D550" s="8" t="s">
        <v>737</v>
      </c>
      <c r="E550" s="8" t="s">
        <v>1638</v>
      </c>
      <c r="F550" s="9" t="s">
        <v>1639</v>
      </c>
      <c r="G550" s="9" t="s">
        <v>1640</v>
      </c>
      <c r="H550" s="34"/>
      <c r="I550" s="9" t="s">
        <v>66</v>
      </c>
      <c r="J550" s="10" t="s">
        <v>27</v>
      </c>
      <c r="K550" s="15" t="str">
        <f>VLOOKUP(J550,DADOS!$A$3:$B$105,2,FALSE)</f>
        <v>EE-GI-221-041</v>
      </c>
      <c r="L550" s="15" t="s">
        <v>1618</v>
      </c>
      <c r="M550" s="18" t="b">
        <v>1</v>
      </c>
      <c r="N550" s="17" t="b">
        <v>1</v>
      </c>
      <c r="O550" s="17" t="b">
        <v>1</v>
      </c>
      <c r="P550" s="17" t="b">
        <v>1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1</v>
      </c>
      <c r="W550" s="11" t="s">
        <v>409</v>
      </c>
      <c r="X550" s="12" t="s">
        <v>14</v>
      </c>
      <c r="Y550" s="12" t="s">
        <v>14</v>
      </c>
      <c r="Z550" s="13" t="s">
        <v>1619</v>
      </c>
    </row>
    <row r="551" spans="1:26" ht="19.899999999999999" customHeight="1" x14ac:dyDescent="0.25">
      <c r="A551" s="6">
        <v>45960</v>
      </c>
      <c r="B551" s="7" t="s">
        <v>1637</v>
      </c>
      <c r="C551" s="8" t="s">
        <v>1631</v>
      </c>
      <c r="D551" s="8" t="s">
        <v>348</v>
      </c>
      <c r="E551" s="8" t="s">
        <v>1638</v>
      </c>
      <c r="F551" s="9" t="s">
        <v>1641</v>
      </c>
      <c r="G551" s="9" t="s">
        <v>1640</v>
      </c>
      <c r="H551" s="34"/>
      <c r="I551" s="9" t="s">
        <v>66</v>
      </c>
      <c r="J551" s="10" t="s">
        <v>27</v>
      </c>
      <c r="K551" s="15" t="str">
        <f>VLOOKUP(J551,DADOS!$A$3:$B$105,2,FALSE)</f>
        <v>EE-GI-221-041</v>
      </c>
      <c r="L551" s="15" t="s">
        <v>1618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1</v>
      </c>
      <c r="W551" s="11" t="s">
        <v>331</v>
      </c>
      <c r="X551" s="12" t="s">
        <v>14</v>
      </c>
      <c r="Y551" s="12" t="s">
        <v>14</v>
      </c>
      <c r="Z551" s="13" t="s">
        <v>1619</v>
      </c>
    </row>
    <row r="552" spans="1:26" ht="19.899999999999999" customHeight="1" x14ac:dyDescent="0.25">
      <c r="A552" s="6">
        <v>45960</v>
      </c>
      <c r="B552" s="7" t="s">
        <v>1637</v>
      </c>
      <c r="C552" s="8" t="s">
        <v>1631</v>
      </c>
      <c r="D552" s="8" t="s">
        <v>430</v>
      </c>
      <c r="E552" s="8" t="s">
        <v>1638</v>
      </c>
      <c r="F552" s="9" t="s">
        <v>1642</v>
      </c>
      <c r="G552" s="9" t="s">
        <v>1640</v>
      </c>
      <c r="H552" s="34"/>
      <c r="I552" s="9" t="s">
        <v>66</v>
      </c>
      <c r="J552" s="10" t="s">
        <v>27</v>
      </c>
      <c r="K552" s="15" t="str">
        <f>VLOOKUP(J552,DADOS!$A$3:$B$105,2,FALSE)</f>
        <v>EE-GI-221-041</v>
      </c>
      <c r="L552" s="15" t="s">
        <v>1618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1</v>
      </c>
      <c r="W552" s="11" t="s">
        <v>408</v>
      </c>
      <c r="X552" s="12" t="s">
        <v>14</v>
      </c>
      <c r="Y552" s="12" t="s">
        <v>14</v>
      </c>
      <c r="Z552" s="13" t="s">
        <v>1619</v>
      </c>
    </row>
    <row r="553" spans="1:26" ht="19.899999999999999" customHeight="1" x14ac:dyDescent="0.25">
      <c r="A553" s="6">
        <v>45960</v>
      </c>
      <c r="B553" s="7" t="s">
        <v>1646</v>
      </c>
      <c r="C553" s="8" t="s">
        <v>1647</v>
      </c>
      <c r="D553" s="8" t="s">
        <v>408</v>
      </c>
      <c r="E553" s="8" t="s">
        <v>1648</v>
      </c>
      <c r="F553" s="9" t="s">
        <v>1649</v>
      </c>
      <c r="G553" s="9" t="s">
        <v>14</v>
      </c>
      <c r="H553" s="9" t="s">
        <v>1650</v>
      </c>
      <c r="I553" s="9" t="s">
        <v>14</v>
      </c>
      <c r="J553" s="10" t="s">
        <v>14</v>
      </c>
      <c r="K553" s="15" t="e">
        <f>VLOOKUP(J553,[2]DADOS!$A$3:$B$105,2,FALSE)</f>
        <v>#N/A</v>
      </c>
      <c r="L553" s="15" t="s">
        <v>972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1</v>
      </c>
      <c r="W553" s="11" t="s">
        <v>408</v>
      </c>
      <c r="X553" s="12" t="s">
        <v>14</v>
      </c>
      <c r="Y553" s="12" t="s">
        <v>14</v>
      </c>
      <c r="Z553" s="13" t="s">
        <v>854</v>
      </c>
    </row>
    <row r="554" spans="1:26" ht="19.899999999999999" customHeight="1" x14ac:dyDescent="0.25">
      <c r="A554" s="6">
        <v>45960</v>
      </c>
      <c r="B554" s="7" t="s">
        <v>967</v>
      </c>
      <c r="C554" s="8" t="s">
        <v>1651</v>
      </c>
      <c r="D554" s="8" t="s">
        <v>331</v>
      </c>
      <c r="E554" s="8" t="s">
        <v>1652</v>
      </c>
      <c r="F554" s="9" t="s">
        <v>1653</v>
      </c>
      <c r="G554" s="9" t="s">
        <v>14</v>
      </c>
      <c r="H554" s="9" t="s">
        <v>1654</v>
      </c>
      <c r="I554" s="9" t="s">
        <v>14</v>
      </c>
      <c r="J554" s="10" t="s">
        <v>186</v>
      </c>
      <c r="K554" s="15" t="str">
        <f>VLOOKUP(J554,[2]DADOS!$A$3:$B$105,2,FALSE)</f>
        <v>EE-GI-001-008</v>
      </c>
      <c r="L554" s="15" t="s">
        <v>972</v>
      </c>
      <c r="M554" s="18" t="b">
        <v>1</v>
      </c>
      <c r="N554" s="17" t="b">
        <v>1</v>
      </c>
      <c r="O554" s="17" t="b">
        <v>0</v>
      </c>
      <c r="P554" s="17" t="b">
        <v>1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1</v>
      </c>
      <c r="W554" s="11" t="s">
        <v>331</v>
      </c>
      <c r="X554" s="12" t="s">
        <v>14</v>
      </c>
      <c r="Y554" s="12" t="s">
        <v>14</v>
      </c>
      <c r="Z554" s="13" t="s">
        <v>854</v>
      </c>
    </row>
    <row r="555" spans="1:26" ht="19.899999999999999" customHeight="1" x14ac:dyDescent="0.25">
      <c r="A555" s="6">
        <v>45960</v>
      </c>
      <c r="B555" s="7" t="s">
        <v>967</v>
      </c>
      <c r="C555" s="8" t="s">
        <v>1655</v>
      </c>
      <c r="D555" s="8" t="s">
        <v>264</v>
      </c>
      <c r="E555" s="8" t="s">
        <v>1652</v>
      </c>
      <c r="F555" s="9" t="s">
        <v>1656</v>
      </c>
      <c r="G555" s="9" t="s">
        <v>1657</v>
      </c>
      <c r="H555" s="9" t="s">
        <v>1654</v>
      </c>
      <c r="I555" s="9" t="s">
        <v>66</v>
      </c>
      <c r="J555" s="10" t="s">
        <v>186</v>
      </c>
      <c r="K555" s="15" t="str">
        <f>VLOOKUP(J555,[2]DADOS!$A$3:$B$105,2,FALSE)</f>
        <v>EE-GI-001-008</v>
      </c>
      <c r="L555" s="15" t="s">
        <v>972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1</v>
      </c>
      <c r="W555" s="11" t="s">
        <v>14</v>
      </c>
      <c r="X555" s="12" t="s">
        <v>331</v>
      </c>
      <c r="Y555" s="12" t="s">
        <v>1658</v>
      </c>
      <c r="Z555" s="12" t="s">
        <v>854</v>
      </c>
    </row>
    <row r="556" spans="1:26" ht="19.899999999999999" customHeight="1" x14ac:dyDescent="0.25">
      <c r="A556" s="6">
        <v>45961</v>
      </c>
      <c r="B556" s="7" t="s">
        <v>732</v>
      </c>
      <c r="C556" s="8" t="s">
        <v>1659</v>
      </c>
      <c r="D556" s="8" t="s">
        <v>331</v>
      </c>
      <c r="E556" s="8" t="s">
        <v>1660</v>
      </c>
      <c r="F556" s="9" t="s">
        <v>1661</v>
      </c>
      <c r="G556" s="9" t="s">
        <v>1662</v>
      </c>
      <c r="H556" s="34"/>
      <c r="I556" s="9" t="s">
        <v>66</v>
      </c>
      <c r="J556" s="10" t="s">
        <v>180</v>
      </c>
      <c r="K556" s="15" t="str">
        <f>VLOOKUP(J556,DADOS!$A$3:$B$105,2,FALSE)</f>
        <v>EE-GI-001-021</v>
      </c>
      <c r="L556" s="15" t="s">
        <v>299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1</v>
      </c>
      <c r="W556" s="11" t="s">
        <v>331</v>
      </c>
      <c r="X556" s="12" t="s">
        <v>14</v>
      </c>
      <c r="Y556" s="12" t="s">
        <v>14</v>
      </c>
      <c r="Z556" s="13" t="s">
        <v>270</v>
      </c>
    </row>
    <row r="557" spans="1:26" ht="19.899999999999999" customHeight="1" x14ac:dyDescent="0.25">
      <c r="A557" s="6">
        <v>45961</v>
      </c>
      <c r="B557" s="7" t="s">
        <v>732</v>
      </c>
      <c r="C557" s="8" t="s">
        <v>1669</v>
      </c>
      <c r="D557" s="8" t="s">
        <v>331</v>
      </c>
      <c r="E557" s="8" t="s">
        <v>1660</v>
      </c>
      <c r="F557" s="9" t="s">
        <v>1670</v>
      </c>
      <c r="G557" s="9" t="s">
        <v>1662</v>
      </c>
      <c r="H557" s="34"/>
      <c r="I557" s="9" t="s">
        <v>66</v>
      </c>
      <c r="J557" s="10" t="s">
        <v>180</v>
      </c>
      <c r="K557" s="15" t="str">
        <f>VLOOKUP(J557,DADOS!$A$3:$B$105,2,FALSE)</f>
        <v>EE-GI-001-021</v>
      </c>
      <c r="L557" s="15" t="s">
        <v>299</v>
      </c>
      <c r="M557" s="18" t="b">
        <v>1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1</v>
      </c>
      <c r="W557" s="11" t="s">
        <v>331</v>
      </c>
      <c r="X557" s="12" t="s">
        <v>14</v>
      </c>
      <c r="Y557" s="12" t="s">
        <v>14</v>
      </c>
      <c r="Z557" s="13" t="s">
        <v>270</v>
      </c>
    </row>
    <row r="558" spans="1:26" ht="19.899999999999999" customHeight="1" x14ac:dyDescent="0.25">
      <c r="A558" s="6">
        <v>45961</v>
      </c>
      <c r="B558" s="7" t="s">
        <v>732</v>
      </c>
      <c r="C558" s="8" t="s">
        <v>1664</v>
      </c>
      <c r="D558" s="8" t="s">
        <v>273</v>
      </c>
      <c r="E558" s="8" t="s">
        <v>1660</v>
      </c>
      <c r="F558" s="9" t="s">
        <v>1665</v>
      </c>
      <c r="G558" s="9" t="s">
        <v>1666</v>
      </c>
      <c r="H558" s="34"/>
      <c r="I558" s="9" t="s">
        <v>66</v>
      </c>
      <c r="J558" s="10" t="s">
        <v>180</v>
      </c>
      <c r="K558" s="15" t="str">
        <f>VLOOKUP(J558,DADOS!$A$3:$B$105,2,FALSE)</f>
        <v>EE-GI-001-021</v>
      </c>
      <c r="L558" s="15" t="s">
        <v>299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1</v>
      </c>
      <c r="W558" s="11" t="s">
        <v>273</v>
      </c>
      <c r="X558" s="12" t="s">
        <v>14</v>
      </c>
      <c r="Y558" s="12" t="s">
        <v>14</v>
      </c>
      <c r="Z558" s="13" t="s">
        <v>270</v>
      </c>
    </row>
    <row r="559" spans="1:26" ht="19.899999999999999" customHeight="1" x14ac:dyDescent="0.25">
      <c r="A559" s="6">
        <v>45961</v>
      </c>
      <c r="B559" s="7" t="s">
        <v>732</v>
      </c>
      <c r="C559" s="8" t="s">
        <v>1667</v>
      </c>
      <c r="D559" s="8" t="s">
        <v>402</v>
      </c>
      <c r="E559" s="8" t="s">
        <v>1660</v>
      </c>
      <c r="F559" s="9" t="s">
        <v>1668</v>
      </c>
      <c r="G559" s="9" t="s">
        <v>1666</v>
      </c>
      <c r="H559" s="34"/>
      <c r="I559" s="9" t="s">
        <v>66</v>
      </c>
      <c r="J559" s="10" t="s">
        <v>180</v>
      </c>
      <c r="K559" s="15" t="str">
        <f>VLOOKUP(J559,DADOS!$A$3:$B$105,2,FALSE)</f>
        <v>EE-GI-001-021</v>
      </c>
      <c r="L559" s="15" t="s">
        <v>299</v>
      </c>
      <c r="M559" s="18" t="b">
        <v>1</v>
      </c>
      <c r="N559" s="17" t="b">
        <v>1</v>
      </c>
      <c r="O559" s="17" t="b">
        <v>1</v>
      </c>
      <c r="P559" s="17" t="b">
        <v>1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1</v>
      </c>
      <c r="W559" s="11" t="s">
        <v>402</v>
      </c>
      <c r="X559" s="12" t="s">
        <v>14</v>
      </c>
      <c r="Y559" s="12" t="s">
        <v>14</v>
      </c>
      <c r="Z559" s="13" t="s">
        <v>270</v>
      </c>
    </row>
    <row r="560" spans="1:26" ht="19.899999999999999" customHeight="1" x14ac:dyDescent="0.25">
      <c r="A560" s="6">
        <v>45961</v>
      </c>
      <c r="B560" s="7" t="s">
        <v>300</v>
      </c>
      <c r="C560" s="8" t="s">
        <v>902</v>
      </c>
      <c r="D560" s="8" t="s">
        <v>264</v>
      </c>
      <c r="E560" s="8" t="s">
        <v>1604</v>
      </c>
      <c r="F560" s="9" t="s">
        <v>904</v>
      </c>
      <c r="G560" s="9" t="s">
        <v>905</v>
      </c>
      <c r="H560" s="9" t="s">
        <v>1607</v>
      </c>
      <c r="I560" s="9" t="s">
        <v>71</v>
      </c>
      <c r="J560" s="10" t="s">
        <v>16</v>
      </c>
      <c r="K560" s="15" t="str">
        <f>VLOOKUP(J560,DADOS!$A$3:$B$105,2,FALSE)</f>
        <v>EE-GI-001-003</v>
      </c>
      <c r="L560" s="15" t="s">
        <v>383</v>
      </c>
      <c r="M560" s="18" t="b">
        <v>1</v>
      </c>
      <c r="N560" s="17" t="b">
        <v>1</v>
      </c>
      <c r="O560" s="17" t="b">
        <v>1</v>
      </c>
      <c r="P560" s="17" t="b">
        <v>1</v>
      </c>
      <c r="Q560" s="17" t="b">
        <v>0</v>
      </c>
      <c r="R560" s="17" t="b">
        <v>1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 t="s">
        <v>14</v>
      </c>
      <c r="X560" s="12" t="s">
        <v>264</v>
      </c>
      <c r="Y560" s="12" t="s">
        <v>1678</v>
      </c>
      <c r="Z560" s="12" t="s">
        <v>270</v>
      </c>
    </row>
    <row r="561" spans="1:26" ht="19.899999999999999" customHeight="1" x14ac:dyDescent="0.25">
      <c r="A561" s="6">
        <v>45961</v>
      </c>
      <c r="B561" s="7" t="s">
        <v>300</v>
      </c>
      <c r="C561" s="8" t="s">
        <v>902</v>
      </c>
      <c r="D561" s="8" t="s">
        <v>331</v>
      </c>
      <c r="E561" s="8" t="s">
        <v>1645</v>
      </c>
      <c r="F561" s="9" t="s">
        <v>904</v>
      </c>
      <c r="G561" s="9" t="s">
        <v>905</v>
      </c>
      <c r="H561" s="34"/>
      <c r="I561" s="9" t="s">
        <v>71</v>
      </c>
      <c r="J561" s="10" t="s">
        <v>16</v>
      </c>
      <c r="K561" s="15" t="str">
        <f>VLOOKUP(J561,DADOS!$A$3:$B$105,2,FALSE)</f>
        <v>EE-GI-001-003</v>
      </c>
      <c r="L561" s="15" t="s">
        <v>383</v>
      </c>
      <c r="M561" s="18" t="b">
        <v>1</v>
      </c>
      <c r="N561" s="17" t="b">
        <v>1</v>
      </c>
      <c r="O561" s="17" t="b">
        <v>1</v>
      </c>
      <c r="P561" s="17" t="b">
        <v>1</v>
      </c>
      <c r="Q561" s="17" t="b">
        <v>0</v>
      </c>
      <c r="R561" s="17" t="b">
        <v>1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 t="s">
        <v>14</v>
      </c>
      <c r="X561" s="12" t="s">
        <v>331</v>
      </c>
      <c r="Y561" s="12" t="s">
        <v>1678</v>
      </c>
      <c r="Z561" s="12" t="s">
        <v>270</v>
      </c>
    </row>
    <row r="562" spans="1:26" ht="19.899999999999999" customHeight="1" x14ac:dyDescent="0.25">
      <c r="A562" s="6">
        <v>45961</v>
      </c>
      <c r="B562" s="7" t="s">
        <v>300</v>
      </c>
      <c r="C562" s="8" t="s">
        <v>902</v>
      </c>
      <c r="D562" s="8" t="s">
        <v>273</v>
      </c>
      <c r="E562" s="8" t="s">
        <v>903</v>
      </c>
      <c r="F562" s="9" t="s">
        <v>904</v>
      </c>
      <c r="G562" s="9" t="s">
        <v>905</v>
      </c>
      <c r="H562" s="9" t="s">
        <v>906</v>
      </c>
      <c r="I562" s="9" t="s">
        <v>71</v>
      </c>
      <c r="J562" s="10" t="s">
        <v>16</v>
      </c>
      <c r="K562" s="15" t="str">
        <f>VLOOKUP(J562,DADOS!$A$3:$B$105,2,FALSE)</f>
        <v>EE-GI-001-003</v>
      </c>
      <c r="L562" s="15" t="s">
        <v>383</v>
      </c>
      <c r="M562" s="18" t="b">
        <v>1</v>
      </c>
      <c r="N562" s="17" t="b">
        <v>1</v>
      </c>
      <c r="O562" s="17" t="b">
        <v>1</v>
      </c>
      <c r="P562" s="17" t="b">
        <v>1</v>
      </c>
      <c r="Q562" s="17" t="b">
        <v>0</v>
      </c>
      <c r="R562" s="17" t="b">
        <v>1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 t="s">
        <v>14</v>
      </c>
      <c r="X562" s="12" t="s">
        <v>273</v>
      </c>
      <c r="Y562" s="12" t="s">
        <v>1678</v>
      </c>
      <c r="Z562" s="12" t="s">
        <v>270</v>
      </c>
    </row>
    <row r="563" spans="1:26" ht="19.899999999999999" customHeight="1" x14ac:dyDescent="0.25">
      <c r="A563" s="6">
        <v>45961</v>
      </c>
      <c r="B563" s="7" t="s">
        <v>300</v>
      </c>
      <c r="C563" s="8" t="s">
        <v>1679</v>
      </c>
      <c r="D563" s="8" t="s">
        <v>331</v>
      </c>
      <c r="E563" s="8" t="s">
        <v>1680</v>
      </c>
      <c r="F563" s="9" t="s">
        <v>1681</v>
      </c>
      <c r="G563" s="9" t="s">
        <v>1614</v>
      </c>
      <c r="H563" s="9" t="s">
        <v>1687</v>
      </c>
      <c r="I563" s="9" t="s">
        <v>65</v>
      </c>
      <c r="J563" s="10" t="s">
        <v>15</v>
      </c>
      <c r="K563" s="15" t="str">
        <f>VLOOKUP(J563,DADOS!$A$3:$B$105,2,FALSE)</f>
        <v>EE-GI-001-002</v>
      </c>
      <c r="L563" s="15" t="s">
        <v>268</v>
      </c>
      <c r="M563" s="18" t="b">
        <v>1</v>
      </c>
      <c r="N563" s="17" t="b">
        <v>1</v>
      </c>
      <c r="O563" s="17" t="b">
        <v>1</v>
      </c>
      <c r="P563" s="17" t="b">
        <v>1</v>
      </c>
      <c r="Q563" s="17" t="b">
        <v>0</v>
      </c>
      <c r="R563" s="17" t="b">
        <v>1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 t="s">
        <v>14</v>
      </c>
      <c r="X563" s="12" t="s">
        <v>331</v>
      </c>
      <c r="Y563" s="12" t="s">
        <v>1682</v>
      </c>
      <c r="Z563" s="12" t="s">
        <v>270</v>
      </c>
    </row>
    <row r="564" spans="1:26" ht="19.899999999999999" customHeight="1" x14ac:dyDescent="0.25">
      <c r="A564" s="6">
        <v>45961</v>
      </c>
      <c r="B564" s="7" t="s">
        <v>300</v>
      </c>
      <c r="C564" s="8" t="s">
        <v>1683</v>
      </c>
      <c r="D564" s="8" t="s">
        <v>408</v>
      </c>
      <c r="E564" s="8" t="s">
        <v>1680</v>
      </c>
      <c r="F564" s="9" t="s">
        <v>1684</v>
      </c>
      <c r="G564" s="9" t="s">
        <v>1685</v>
      </c>
      <c r="H564" s="9" t="s">
        <v>1686</v>
      </c>
      <c r="I564" s="9" t="s">
        <v>65</v>
      </c>
      <c r="J564" s="10" t="s">
        <v>16</v>
      </c>
      <c r="K564" s="15" t="str">
        <f>VLOOKUP(J564,DADOS!$A$3:$B$105,2,FALSE)</f>
        <v>EE-GI-001-003</v>
      </c>
      <c r="L564" s="15" t="s">
        <v>268</v>
      </c>
      <c r="M564" s="18" t="b">
        <v>1</v>
      </c>
      <c r="N564" s="17" t="b">
        <v>1</v>
      </c>
      <c r="O564" s="17" t="b">
        <v>1</v>
      </c>
      <c r="P564" s="17" t="b">
        <v>1</v>
      </c>
      <c r="Q564" s="17" t="b">
        <v>0</v>
      </c>
      <c r="R564" s="17" t="b">
        <v>1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 t="s">
        <v>408</v>
      </c>
      <c r="X564" s="12" t="s">
        <v>14</v>
      </c>
      <c r="Y564" s="12" t="s">
        <v>14</v>
      </c>
      <c r="Z564" s="13" t="s">
        <v>270</v>
      </c>
    </row>
    <row r="565" spans="1:26" ht="19.899999999999999" customHeight="1" x14ac:dyDescent="0.25">
      <c r="A565" s="6">
        <v>45961</v>
      </c>
      <c r="B565" s="7" t="s">
        <v>300</v>
      </c>
      <c r="C565" s="8" t="s">
        <v>1688</v>
      </c>
      <c r="D565" s="8" t="s">
        <v>331</v>
      </c>
      <c r="E565" s="8" t="s">
        <v>1689</v>
      </c>
      <c r="F565" s="9" t="s">
        <v>1690</v>
      </c>
      <c r="G565" s="9" t="s">
        <v>1614</v>
      </c>
      <c r="H565" s="9" t="s">
        <v>1691</v>
      </c>
      <c r="I565" s="9" t="s">
        <v>65</v>
      </c>
      <c r="J565" s="10" t="s">
        <v>15</v>
      </c>
      <c r="K565" s="15" t="str">
        <f>VLOOKUP(J565,DADOS!$A$3:$B$105,2,FALSE)</f>
        <v>EE-GI-001-002</v>
      </c>
      <c r="L565" s="15" t="s">
        <v>268</v>
      </c>
      <c r="M565" s="18" t="b">
        <v>1</v>
      </c>
      <c r="N565" s="17" t="b">
        <v>1</v>
      </c>
      <c r="O565" s="17" t="b">
        <v>1</v>
      </c>
      <c r="P565" s="17" t="b">
        <v>1</v>
      </c>
      <c r="Q565" s="17" t="b">
        <v>0</v>
      </c>
      <c r="R565" s="17" t="b">
        <v>1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 t="s">
        <v>331</v>
      </c>
      <c r="X565" s="12" t="s">
        <v>14</v>
      </c>
      <c r="Y565" s="12" t="s">
        <v>14</v>
      </c>
      <c r="Z565" s="13" t="s">
        <v>270</v>
      </c>
    </row>
    <row r="566" spans="1:26" ht="19.899999999999999" customHeight="1" x14ac:dyDescent="0.25">
      <c r="A566" s="6">
        <v>45961</v>
      </c>
      <c r="B566" s="7" t="s">
        <v>300</v>
      </c>
      <c r="C566" s="8" t="s">
        <v>1688</v>
      </c>
      <c r="D566" s="8" t="s">
        <v>264</v>
      </c>
      <c r="E566" s="8" t="s">
        <v>1689</v>
      </c>
      <c r="F566" s="9" t="s">
        <v>1692</v>
      </c>
      <c r="G566" s="9" t="s">
        <v>1614</v>
      </c>
      <c r="H566" s="9" t="s">
        <v>1691</v>
      </c>
      <c r="I566" s="9" t="s">
        <v>65</v>
      </c>
      <c r="J566" s="10" t="s">
        <v>15</v>
      </c>
      <c r="K566" s="15" t="str">
        <f>VLOOKUP(J566,DADOS!$A$3:$B$105,2,FALSE)</f>
        <v>EE-GI-001-002</v>
      </c>
      <c r="L566" s="15" t="s">
        <v>268</v>
      </c>
      <c r="M566" s="18" t="b">
        <v>1</v>
      </c>
      <c r="N566" s="17" t="b">
        <v>1</v>
      </c>
      <c r="O566" s="17" t="b">
        <v>1</v>
      </c>
      <c r="P566" s="17" t="b">
        <v>1</v>
      </c>
      <c r="Q566" s="17" t="b">
        <v>0</v>
      </c>
      <c r="R566" s="17" t="b">
        <v>1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 t="s">
        <v>264</v>
      </c>
      <c r="X566" s="12" t="s">
        <v>14</v>
      </c>
      <c r="Y566" s="12" t="s">
        <v>14</v>
      </c>
      <c r="Z566" s="13" t="s">
        <v>270</v>
      </c>
    </row>
    <row r="567" spans="1:26" ht="19.899999999999999" customHeight="1" x14ac:dyDescent="0.25">
      <c r="A567" s="6">
        <v>45961</v>
      </c>
      <c r="B567" s="7" t="s">
        <v>300</v>
      </c>
      <c r="C567" s="8" t="s">
        <v>893</v>
      </c>
      <c r="D567" s="8" t="s">
        <v>264</v>
      </c>
      <c r="E567" s="8" t="s">
        <v>1595</v>
      </c>
      <c r="F567" s="9" t="s">
        <v>1693</v>
      </c>
      <c r="G567" s="9" t="s">
        <v>1597</v>
      </c>
      <c r="H567" s="9" t="s">
        <v>1694</v>
      </c>
      <c r="I567" s="9" t="s">
        <v>69</v>
      </c>
      <c r="J567" s="10" t="s">
        <v>17</v>
      </c>
      <c r="K567" s="15" t="str">
        <f>VLOOKUP(J567,DADOS!$A$3:$B$105,2,FALSE)</f>
        <v>EE-GI-001-001</v>
      </c>
      <c r="L567" s="15" t="s">
        <v>268</v>
      </c>
      <c r="M567" s="18" t="b">
        <v>1</v>
      </c>
      <c r="N567" s="17" t="b">
        <v>1</v>
      </c>
      <c r="O567" s="17" t="b">
        <v>1</v>
      </c>
      <c r="P567" s="17" t="b">
        <v>1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 t="s">
        <v>264</v>
      </c>
      <c r="X567" s="12" t="s">
        <v>14</v>
      </c>
      <c r="Y567" s="12" t="s">
        <v>14</v>
      </c>
      <c r="Z567" s="13" t="s">
        <v>270</v>
      </c>
    </row>
    <row r="568" spans="1:26" ht="19.899999999999999" customHeight="1" x14ac:dyDescent="0.25">
      <c r="A568" s="6">
        <v>45961</v>
      </c>
      <c r="B568" s="7" t="s">
        <v>300</v>
      </c>
      <c r="C568" s="8" t="s">
        <v>954</v>
      </c>
      <c r="D568" s="8" t="s">
        <v>273</v>
      </c>
      <c r="E568" s="8" t="s">
        <v>1695</v>
      </c>
      <c r="F568" s="9" t="s">
        <v>1696</v>
      </c>
      <c r="G568" s="9" t="s">
        <v>874</v>
      </c>
      <c r="H568" s="9" t="s">
        <v>1697</v>
      </c>
      <c r="I568" s="9" t="s">
        <v>65</v>
      </c>
      <c r="J568" s="10" t="s">
        <v>15</v>
      </c>
      <c r="K568" s="15" t="str">
        <f>VLOOKUP(J568,DADOS!$A$3:$B$105,2,FALSE)</f>
        <v>EE-GI-001-002</v>
      </c>
      <c r="L568" s="15" t="s">
        <v>268</v>
      </c>
      <c r="M568" s="18" t="b">
        <v>1</v>
      </c>
      <c r="N568" s="17" t="b">
        <v>1</v>
      </c>
      <c r="O568" s="17" t="b">
        <v>1</v>
      </c>
      <c r="P568" s="17" t="b">
        <v>1</v>
      </c>
      <c r="Q568" s="17" t="b">
        <v>0</v>
      </c>
      <c r="R568" s="17" t="b">
        <v>1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 t="s">
        <v>273</v>
      </c>
      <c r="X568" s="12" t="s">
        <v>14</v>
      </c>
      <c r="Y568" s="12" t="s">
        <v>14</v>
      </c>
      <c r="Z568" s="13" t="s">
        <v>270</v>
      </c>
    </row>
    <row r="569" spans="1:26" ht="19.899999999999999" customHeight="1" x14ac:dyDescent="0.25">
      <c r="A569" s="6">
        <v>45961</v>
      </c>
      <c r="B569" s="7" t="s">
        <v>2002</v>
      </c>
      <c r="C569" s="8" t="s">
        <v>2003</v>
      </c>
      <c r="D569" s="8" t="s">
        <v>408</v>
      </c>
      <c r="E569" s="8" t="s">
        <v>2004</v>
      </c>
      <c r="F569" s="9" t="s">
        <v>2005</v>
      </c>
      <c r="G569" s="9" t="s">
        <v>2006</v>
      </c>
      <c r="H569" s="34"/>
      <c r="I569" s="9" t="s">
        <v>68</v>
      </c>
      <c r="J569" s="10" t="s">
        <v>186</v>
      </c>
      <c r="K569" s="15" t="str">
        <f>VLOOKUP(J569,[1]DADOS!$A$3:$B$105,2,FALSE)</f>
        <v>EE-GI-001-008</v>
      </c>
      <c r="L569" s="15" t="s">
        <v>972</v>
      </c>
      <c r="M569" s="18" t="b">
        <v>1</v>
      </c>
      <c r="N569" s="17" t="b">
        <v>1</v>
      </c>
      <c r="O569" s="17" t="b">
        <v>1</v>
      </c>
      <c r="P569" s="17" t="b">
        <v>1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1</v>
      </c>
      <c r="W569" s="11" t="s">
        <v>408</v>
      </c>
      <c r="X569" s="12" t="s">
        <v>14</v>
      </c>
      <c r="Y569" s="12" t="s">
        <v>14</v>
      </c>
      <c r="Z569" s="13" t="s">
        <v>854</v>
      </c>
    </row>
    <row r="570" spans="1:26" ht="19.899999999999999" customHeight="1" x14ac:dyDescent="0.25">
      <c r="A570" s="6">
        <v>45951</v>
      </c>
      <c r="B570" s="7" t="s">
        <v>1646</v>
      </c>
      <c r="C570" s="8" t="s">
        <v>2029</v>
      </c>
      <c r="D570" s="8" t="s">
        <v>264</v>
      </c>
      <c r="E570" s="8" t="s">
        <v>2030</v>
      </c>
      <c r="F570" s="9" t="s">
        <v>2031</v>
      </c>
      <c r="G570" s="9" t="s">
        <v>14</v>
      </c>
      <c r="H570" s="9" t="s">
        <v>1984</v>
      </c>
      <c r="I570" s="9" t="s">
        <v>70</v>
      </c>
      <c r="J570" s="10" t="s">
        <v>259</v>
      </c>
      <c r="K570" s="15" t="str">
        <f>VLOOKUP(J570,DADOS!$A$3:$B$105,2,FALSE)</f>
        <v>EE-GI-001-072</v>
      </c>
      <c r="L570" s="15"/>
      <c r="M570" s="18" t="b">
        <v>1</v>
      </c>
      <c r="N570" s="17" t="b">
        <v>1</v>
      </c>
      <c r="O570" s="17" t="b">
        <v>1</v>
      </c>
      <c r="P570" s="17" t="b">
        <v>1</v>
      </c>
      <c r="Q570" s="17" t="b">
        <v>0</v>
      </c>
      <c r="R570" s="17" t="b">
        <v>1</v>
      </c>
      <c r="S570" s="17" t="b">
        <v>0</v>
      </c>
      <c r="T570" s="17" t="b">
        <v>0</v>
      </c>
      <c r="U570" s="17" t="b">
        <v>0</v>
      </c>
      <c r="V570" s="17" t="b">
        <v>1</v>
      </c>
      <c r="W570" s="11" t="s">
        <v>264</v>
      </c>
      <c r="X570" s="12" t="s">
        <v>14</v>
      </c>
      <c r="Y570" s="12" t="s">
        <v>14</v>
      </c>
      <c r="Z570" s="13" t="s">
        <v>854</v>
      </c>
    </row>
    <row r="571" spans="1:26" ht="19.899999999999999" customHeight="1" x14ac:dyDescent="0.25">
      <c r="A571" s="6"/>
      <c r="B571" s="7"/>
      <c r="C571" s="8"/>
      <c r="D571" s="8"/>
      <c r="E571" s="8"/>
      <c r="F571" s="9"/>
      <c r="G571" s="9"/>
      <c r="H571" s="9"/>
      <c r="I571" s="9" t="s">
        <v>14</v>
      </c>
      <c r="J571" s="10" t="s">
        <v>14</v>
      </c>
      <c r="K571" s="15" t="e">
        <f>VLOOKUP(J571,DADOS!$A$3:$B$105,2,FALSE)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899999999999999" customHeight="1" x14ac:dyDescent="0.25">
      <c r="A572" s="6"/>
      <c r="B572" s="7"/>
      <c r="C572" s="8"/>
      <c r="D572" s="8"/>
      <c r="E572" s="8"/>
      <c r="F572" s="9"/>
      <c r="G572" s="9"/>
      <c r="H572" s="9"/>
      <c r="I572" s="9" t="s">
        <v>14</v>
      </c>
      <c r="J572" s="10" t="s">
        <v>14</v>
      </c>
      <c r="K572" s="15" t="e">
        <f>VLOOKUP(J572,DADOS!$A$3:$B$105,2,FALSE)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899999999999999" customHeight="1" x14ac:dyDescent="0.25">
      <c r="A573" s="6"/>
      <c r="B573" s="7"/>
      <c r="C573" s="8"/>
      <c r="D573" s="8"/>
      <c r="E573" s="8"/>
      <c r="F573" s="9"/>
      <c r="G573" s="9"/>
      <c r="H573" s="9"/>
      <c r="I573" s="9" t="s">
        <v>14</v>
      </c>
      <c r="J573" s="10" t="s">
        <v>14</v>
      </c>
      <c r="K573" s="15" t="e">
        <f>VLOOKUP(J573,DADOS!$A$3:$B$105,2,FALSE)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899999999999999" customHeight="1" x14ac:dyDescent="0.25">
      <c r="A574" s="6"/>
      <c r="B574" s="7"/>
      <c r="C574" s="8"/>
      <c r="D574" s="8"/>
      <c r="E574" s="8"/>
      <c r="F574" s="9"/>
      <c r="G574" s="9"/>
      <c r="H574" s="9"/>
      <c r="I574" s="9" t="s">
        <v>14</v>
      </c>
      <c r="J574" s="10" t="s">
        <v>14</v>
      </c>
      <c r="K574" s="15" t="e">
        <f>VLOOKUP(J574,DADOS!$A$3:$B$105,2,FALSE)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899999999999999" customHeight="1" x14ac:dyDescent="0.25">
      <c r="A575" s="6"/>
      <c r="B575" s="7"/>
      <c r="C575" s="8"/>
      <c r="D575" s="8"/>
      <c r="E575" s="8"/>
      <c r="F575" s="9"/>
      <c r="G575" s="9"/>
      <c r="H575" s="9"/>
      <c r="I575" s="9" t="s">
        <v>14</v>
      </c>
      <c r="J575" s="10" t="s">
        <v>14</v>
      </c>
      <c r="K575" s="15" t="e">
        <f>VLOOKUP(J575,DADOS!$A$3:$B$105,2,FALSE)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899999999999999" customHeight="1" x14ac:dyDescent="0.25">
      <c r="A576" s="6"/>
      <c r="B576" s="7"/>
      <c r="C576" s="8"/>
      <c r="D576" s="8"/>
      <c r="E576" s="8"/>
      <c r="F576" s="9"/>
      <c r="G576" s="9"/>
      <c r="H576" s="9"/>
      <c r="I576" s="9" t="s">
        <v>14</v>
      </c>
      <c r="J576" s="10" t="s">
        <v>14</v>
      </c>
      <c r="K576" s="15" t="e">
        <f>VLOOKUP(J576,DADOS!$A$3:$B$105,2,FALSE)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899999999999999" customHeight="1" x14ac:dyDescent="0.25">
      <c r="A577" s="6"/>
      <c r="B577" s="7"/>
      <c r="C577" s="8"/>
      <c r="D577" s="8"/>
      <c r="E577" s="8"/>
      <c r="F577" s="9"/>
      <c r="G577" s="9"/>
      <c r="H577" s="9"/>
      <c r="I577" s="9" t="s">
        <v>14</v>
      </c>
      <c r="J577" s="10" t="s">
        <v>14</v>
      </c>
      <c r="K577" s="15" t="e">
        <f>VLOOKUP(J577,DADOS!$A$3:$B$105,2,FALSE)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899999999999999" customHeight="1" x14ac:dyDescent="0.25">
      <c r="A578" s="6"/>
      <c r="B578" s="7"/>
      <c r="C578" s="8"/>
      <c r="D578" s="8"/>
      <c r="E578" s="8"/>
      <c r="F578" s="9"/>
      <c r="G578" s="9"/>
      <c r="H578" s="9"/>
      <c r="I578" s="9" t="s">
        <v>14</v>
      </c>
      <c r="J578" s="10" t="s">
        <v>14</v>
      </c>
      <c r="K578" s="15" t="e">
        <f>VLOOKUP(J578,DADOS!$A$3:$B$105,2,FALSE)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899999999999999" customHeight="1" x14ac:dyDescent="0.25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VLOOKUP(J579,DADOS!$A$3:$B$105,2,FALSE)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899999999999999" customHeight="1" x14ac:dyDescent="0.25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VLOOKUP(J580,DADOS!$A$3:$B$105,2,FALSE)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899999999999999" customHeight="1" x14ac:dyDescent="0.25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VLOOKUP(J581,DADOS!$A$3:$B$105,2,FALSE)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899999999999999" customHeight="1" x14ac:dyDescent="0.25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VLOOKUP(J582,DADOS!$A$3:$B$105,2,FALSE)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899999999999999" customHeight="1" x14ac:dyDescent="0.25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VLOOKUP(J583,DADOS!$A$3:$B$105,2,FALSE)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899999999999999" customHeight="1" x14ac:dyDescent="0.25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VLOOKUP(J584,DADOS!$A$3:$B$105,2,FALSE)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899999999999999" customHeight="1" x14ac:dyDescent="0.25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VLOOKUP(J585,DADOS!$A$3:$B$105,2,FALSE)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899999999999999" customHeight="1" x14ac:dyDescent="0.25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VLOOKUP(J586,DADOS!$A$3:$B$105,2,FALSE)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899999999999999" customHeight="1" x14ac:dyDescent="0.25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VLOOKUP(J587,DADOS!$A$3:$B$105,2,FALSE)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899999999999999" customHeight="1" x14ac:dyDescent="0.25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VLOOKUP(J588,DADOS!$A$3:$B$105,2,FALSE)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899999999999999" customHeight="1" x14ac:dyDescent="0.25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VLOOKUP(J589,DADOS!$A$3:$B$105,2,FALSE)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899999999999999" customHeight="1" x14ac:dyDescent="0.25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VLOOKUP(J590,DADOS!$A$3:$B$105,2,FALSE)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899999999999999" customHeight="1" x14ac:dyDescent="0.25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VLOOKUP(J591,DADOS!$A$3:$B$105,2,FALSE)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899999999999999" customHeight="1" x14ac:dyDescent="0.25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VLOOKUP(J592,DADOS!$A$3:$B$105,2,FALSE)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899999999999999" customHeight="1" x14ac:dyDescent="0.25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VLOOKUP(J593,DADOS!$A$3:$B$105,2,FALSE)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899999999999999" customHeight="1" x14ac:dyDescent="0.25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VLOOKUP(J594,DADOS!$A$3:$B$105,2,FALSE)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899999999999999" customHeight="1" x14ac:dyDescent="0.25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VLOOKUP(J595,DADOS!$A$3:$B$105,2,FALSE)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899999999999999" customHeight="1" x14ac:dyDescent="0.25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VLOOKUP(J596,DADOS!$A$3:$B$105,2,FALSE)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899999999999999" customHeight="1" x14ac:dyDescent="0.25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VLOOKUP(J597,DADOS!$A$3:$B$105,2,FALSE)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899999999999999" customHeight="1" x14ac:dyDescent="0.25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VLOOKUP(J598,DADOS!$A$3:$B$105,2,FALSE)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899999999999999" customHeight="1" x14ac:dyDescent="0.25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VLOOKUP(J599,DADOS!$A$3:$B$105,2,FALSE)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899999999999999" customHeight="1" x14ac:dyDescent="0.25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VLOOKUP(J600,DADOS!$A$3:$B$105,2,FALSE)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899999999999999" customHeight="1" x14ac:dyDescent="0.25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VLOOKUP(J601,DADOS!$A$3:$B$105,2,FALSE)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899999999999999" customHeight="1" x14ac:dyDescent="0.25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VLOOKUP(J602,DADOS!$A$3:$B$105,2,FALSE)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899999999999999" customHeight="1" x14ac:dyDescent="0.25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VLOOKUP(J603,DADOS!$A$3:$B$105,2,FALSE)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899999999999999" customHeight="1" x14ac:dyDescent="0.25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VLOOKUP(J604,DADOS!$A$3:$B$105,2,FALSE)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899999999999999" customHeight="1" x14ac:dyDescent="0.25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VLOOKUP(J605,DADOS!$A$3:$B$105,2,FALSE)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899999999999999" customHeight="1" x14ac:dyDescent="0.25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VLOOKUP(J606,DADOS!$A$3:$B$105,2,FALSE)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899999999999999" customHeight="1" x14ac:dyDescent="0.25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VLOOKUP(J607,DADOS!$A$3:$B$105,2,FALSE)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899999999999999" customHeight="1" x14ac:dyDescent="0.25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VLOOKUP(J608,DADOS!$A$3:$B$105,2,FALSE)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899999999999999" customHeight="1" x14ac:dyDescent="0.25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VLOOKUP(J609,DADOS!$A$3:$B$105,2,FALSE)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899999999999999" customHeight="1" x14ac:dyDescent="0.25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VLOOKUP(J610,DADOS!$A$3:$B$105,2,FALSE)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899999999999999" customHeight="1" x14ac:dyDescent="0.25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VLOOKUP(J611,DADOS!$A$3:$B$105,2,FALSE)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899999999999999" customHeight="1" x14ac:dyDescent="0.25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VLOOKUP(J612,DADOS!$A$3:$B$105,2,FALSE)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899999999999999" customHeight="1" x14ac:dyDescent="0.25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VLOOKUP(J613,DADOS!$A$3:$B$105,2,FALSE)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899999999999999" customHeight="1" x14ac:dyDescent="0.25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VLOOKUP(J614,DADOS!$A$3:$B$105,2,FALSE)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899999999999999" customHeight="1" x14ac:dyDescent="0.25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VLOOKUP(J615,DADOS!$A$3:$B$105,2,FALSE)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899999999999999" customHeight="1" x14ac:dyDescent="0.25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VLOOKUP(J616,DADOS!$A$3:$B$105,2,FALSE)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899999999999999" customHeight="1" x14ac:dyDescent="0.25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VLOOKUP(J617,DADOS!$A$3:$B$105,2,FALSE)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899999999999999" customHeight="1" x14ac:dyDescent="0.25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VLOOKUP(J618,DADOS!$A$3:$B$105,2,FALSE)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899999999999999" customHeight="1" x14ac:dyDescent="0.25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VLOOKUP(J619,DADOS!$A$3:$B$105,2,FALSE)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899999999999999" customHeight="1" x14ac:dyDescent="0.25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VLOOKUP(J620,DADOS!$A$3:$B$105,2,FALSE)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899999999999999" customHeight="1" x14ac:dyDescent="0.25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VLOOKUP(J621,DADOS!$A$3:$B$105,2,FALSE)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899999999999999" customHeight="1" x14ac:dyDescent="0.25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VLOOKUP(J622,DADOS!$A$3:$B$105,2,FALSE)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899999999999999" customHeight="1" x14ac:dyDescent="0.25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VLOOKUP(J623,DADOS!$A$3:$B$105,2,FALSE)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899999999999999" customHeight="1" x14ac:dyDescent="0.25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VLOOKUP(J624,DADOS!$A$3:$B$105,2,FALSE)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899999999999999" customHeight="1" x14ac:dyDescent="0.25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VLOOKUP(J625,DADOS!$A$3:$B$105,2,FALSE)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899999999999999" customHeight="1" x14ac:dyDescent="0.25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VLOOKUP(J626,DADOS!$A$3:$B$105,2,FALSE)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899999999999999" customHeight="1" x14ac:dyDescent="0.25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VLOOKUP(J627,DADOS!$A$3:$B$105,2,FALSE)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899999999999999" customHeight="1" x14ac:dyDescent="0.25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VLOOKUP(J628,DADOS!$A$3:$B$105,2,FALSE)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899999999999999" customHeight="1" x14ac:dyDescent="0.25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VLOOKUP(J629,DADOS!$A$3:$B$105,2,FALSE)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899999999999999" customHeight="1" x14ac:dyDescent="0.25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VLOOKUP(J630,DADOS!$A$3:$B$105,2,FALSE)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899999999999999" customHeight="1" x14ac:dyDescent="0.25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VLOOKUP(J631,DADOS!$A$3:$B$105,2,FALSE)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899999999999999" customHeight="1" x14ac:dyDescent="0.25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VLOOKUP(J632,DADOS!$A$3:$B$105,2,FALSE)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899999999999999" customHeight="1" x14ac:dyDescent="0.25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VLOOKUP(J633,DADOS!$A$3:$B$105,2,FALSE)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899999999999999" customHeight="1" x14ac:dyDescent="0.25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VLOOKUP(J634,DADOS!$A$3:$B$105,2,FALSE)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899999999999999" customHeight="1" x14ac:dyDescent="0.25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VLOOKUP(J635,DADOS!$A$3:$B$105,2,FALSE)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899999999999999" customHeight="1" x14ac:dyDescent="0.25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VLOOKUP(J636,DADOS!$A$3:$B$105,2,FALSE)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899999999999999" customHeight="1" x14ac:dyDescent="0.25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VLOOKUP(J637,DADOS!$A$3:$B$105,2,FALSE)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899999999999999" customHeight="1" x14ac:dyDescent="0.25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VLOOKUP(J638,DADOS!$A$3:$B$105,2,FALSE)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899999999999999" customHeight="1" x14ac:dyDescent="0.25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VLOOKUP(J639,DADOS!$A$3:$B$105,2,FALSE)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899999999999999" customHeight="1" x14ac:dyDescent="0.25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VLOOKUP(J640,DADOS!$A$3:$B$105,2,FALSE)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899999999999999" customHeight="1" x14ac:dyDescent="0.25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VLOOKUP(J641,DADOS!$A$3:$B$105,2,FALSE)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899999999999999" customHeight="1" x14ac:dyDescent="0.25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VLOOKUP(J642,DADOS!$A$3:$B$105,2,FALSE)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899999999999999" customHeight="1" x14ac:dyDescent="0.25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VLOOKUP(J643,DADOS!$A$3:$B$105,2,FALSE)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899999999999999" customHeight="1" x14ac:dyDescent="0.25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VLOOKUP(J644,DADOS!$A$3:$B$105,2,FALSE)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899999999999999" customHeight="1" x14ac:dyDescent="0.25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VLOOKUP(J645,DADOS!$A$3:$B$105,2,FALSE)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899999999999999" customHeight="1" x14ac:dyDescent="0.25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VLOOKUP(J646,DADOS!$A$3:$B$105,2,FALSE)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899999999999999" customHeight="1" x14ac:dyDescent="0.25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VLOOKUP(J647,DADOS!$A$3:$B$105,2,FALSE)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899999999999999" customHeight="1" x14ac:dyDescent="0.25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VLOOKUP(J648,DADOS!$A$3:$B$105,2,FALSE)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899999999999999" customHeight="1" x14ac:dyDescent="0.25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VLOOKUP(J649,DADOS!$A$3:$B$105,2,FALSE)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899999999999999" customHeight="1" x14ac:dyDescent="0.25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VLOOKUP(J650,DADOS!$A$3:$B$105,2,FALSE)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899999999999999" customHeight="1" x14ac:dyDescent="0.25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VLOOKUP(J651,DADOS!$A$3:$B$105,2,FALSE)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899999999999999" customHeight="1" x14ac:dyDescent="0.25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VLOOKUP(J652,DADOS!$A$3:$B$105,2,FALSE)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899999999999999" customHeight="1" x14ac:dyDescent="0.25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VLOOKUP(J653,DADOS!$A$3:$B$105,2,FALSE)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899999999999999" customHeight="1" x14ac:dyDescent="0.25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VLOOKUP(J654,DADOS!$A$3:$B$105,2,FALSE)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899999999999999" customHeight="1" x14ac:dyDescent="0.25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VLOOKUP(J655,DADOS!$A$3:$B$105,2,FALSE)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899999999999999" customHeight="1" x14ac:dyDescent="0.25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VLOOKUP(J656,DADOS!$A$3:$B$105,2,FALSE)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899999999999999" customHeight="1" x14ac:dyDescent="0.25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VLOOKUP(J657,DADOS!$A$3:$B$105,2,FALSE)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899999999999999" customHeight="1" x14ac:dyDescent="0.25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VLOOKUP(J658,DADOS!$A$3:$B$105,2,FALSE)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899999999999999" customHeight="1" x14ac:dyDescent="0.25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VLOOKUP(J659,DADOS!$A$3:$B$105,2,FALSE)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899999999999999" customHeight="1" x14ac:dyDescent="0.25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VLOOKUP(J660,DADOS!$A$3:$B$105,2,FALSE)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899999999999999" customHeight="1" x14ac:dyDescent="0.25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VLOOKUP(J661,DADOS!$A$3:$B$105,2,FALSE)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899999999999999" customHeight="1" x14ac:dyDescent="0.25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VLOOKUP(J662,DADOS!$A$3:$B$105,2,FALSE)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899999999999999" customHeight="1" x14ac:dyDescent="0.25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VLOOKUP(J663,DADOS!$A$3:$B$105,2,FALSE)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899999999999999" customHeight="1" x14ac:dyDescent="0.25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VLOOKUP(J664,DADOS!$A$3:$B$105,2,FALSE)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899999999999999" customHeight="1" x14ac:dyDescent="0.25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VLOOKUP(J665,DADOS!$A$3:$B$105,2,FALSE)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899999999999999" customHeight="1" x14ac:dyDescent="0.25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VLOOKUP(J666,DADOS!$A$3:$B$105,2,FALSE)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899999999999999" customHeight="1" x14ac:dyDescent="0.25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VLOOKUP(J667,DADOS!$A$3:$B$105,2,FALSE)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899999999999999" customHeight="1" x14ac:dyDescent="0.25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VLOOKUP(J668,DADOS!$A$3:$B$105,2,FALSE)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899999999999999" customHeight="1" x14ac:dyDescent="0.25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VLOOKUP(J669,DADOS!$A$3:$B$105,2,FALSE)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899999999999999" customHeight="1" x14ac:dyDescent="0.25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VLOOKUP(J670,DADOS!$A$3:$B$105,2,FALSE)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899999999999999" customHeight="1" x14ac:dyDescent="0.25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VLOOKUP(J671,DADOS!$A$3:$B$105,2,FALSE)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899999999999999" customHeight="1" x14ac:dyDescent="0.25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VLOOKUP(J672,DADOS!$A$3:$B$105,2,FALSE)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899999999999999" customHeight="1" x14ac:dyDescent="0.25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VLOOKUP(J673,DADOS!$A$3:$B$105,2,FALSE)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899999999999999" customHeight="1" x14ac:dyDescent="0.25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VLOOKUP(J674,DADOS!$A$3:$B$105,2,FALSE)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899999999999999" customHeight="1" x14ac:dyDescent="0.25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VLOOKUP(J675,DADOS!$A$3:$B$105,2,FALSE)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899999999999999" customHeight="1" x14ac:dyDescent="0.25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VLOOKUP(J676,DADOS!$A$3:$B$105,2,FALSE)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899999999999999" customHeight="1" x14ac:dyDescent="0.25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VLOOKUP(J677,DADOS!$A$3:$B$105,2,FALSE)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899999999999999" customHeight="1" x14ac:dyDescent="0.25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VLOOKUP(J678,DADOS!$A$3:$B$105,2,FALSE)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899999999999999" customHeight="1" x14ac:dyDescent="0.25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VLOOKUP(J679,DADOS!$A$3:$B$105,2,FALSE)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899999999999999" customHeight="1" x14ac:dyDescent="0.25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VLOOKUP(J680,DADOS!$A$3:$B$105,2,FALSE)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899999999999999" customHeight="1" x14ac:dyDescent="0.25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VLOOKUP(J681,DADOS!$A$3:$B$105,2,FALSE)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899999999999999" customHeight="1" x14ac:dyDescent="0.25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VLOOKUP(J682,DADOS!$A$3:$B$105,2,FALSE)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899999999999999" customHeight="1" x14ac:dyDescent="0.25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VLOOKUP(J683,DADOS!$A$3:$B$105,2,FALSE)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899999999999999" customHeight="1" x14ac:dyDescent="0.25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VLOOKUP(J684,DADOS!$A$3:$B$105,2,FALSE)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899999999999999" customHeight="1" x14ac:dyDescent="0.25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VLOOKUP(J685,DADOS!$A$3:$B$105,2,FALSE)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899999999999999" customHeight="1" x14ac:dyDescent="0.25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VLOOKUP(J686,DADOS!$A$3:$B$105,2,FALSE)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899999999999999" customHeight="1" x14ac:dyDescent="0.25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VLOOKUP(J687,DADOS!$A$3:$B$105,2,FALSE)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899999999999999" customHeight="1" x14ac:dyDescent="0.25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VLOOKUP(J688,DADOS!$A$3:$B$105,2,FALSE)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899999999999999" customHeight="1" x14ac:dyDescent="0.25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VLOOKUP(J689,DADOS!$A$3:$B$105,2,FALSE)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899999999999999" customHeight="1" x14ac:dyDescent="0.25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VLOOKUP(J690,DADOS!$A$3:$B$105,2,FALSE)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899999999999999" customHeight="1" x14ac:dyDescent="0.25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VLOOKUP(J691,DADOS!$A$3:$B$105,2,FALSE)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899999999999999" customHeight="1" x14ac:dyDescent="0.25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VLOOKUP(J692,DADOS!$A$3:$B$105,2,FALSE)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899999999999999" customHeight="1" x14ac:dyDescent="0.25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VLOOKUP(J693,DADOS!$A$3:$B$105,2,FALSE)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899999999999999" customHeight="1" x14ac:dyDescent="0.25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VLOOKUP(J694,DADOS!$A$3:$B$105,2,FALSE)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899999999999999" customHeight="1" x14ac:dyDescent="0.25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VLOOKUP(J695,DADOS!$A$3:$B$105,2,FALSE)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899999999999999" customHeight="1" x14ac:dyDescent="0.25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VLOOKUP(J696,DADOS!$A$3:$B$105,2,FALSE)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899999999999999" customHeight="1" x14ac:dyDescent="0.25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VLOOKUP(J697,DADOS!$A$3:$B$105,2,FALSE)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899999999999999" customHeight="1" x14ac:dyDescent="0.25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VLOOKUP(J698,DADOS!$A$3:$B$105,2,FALSE)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899999999999999" customHeight="1" x14ac:dyDescent="0.25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VLOOKUP(J699,DADOS!$A$3:$B$105,2,FALSE)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899999999999999" customHeight="1" x14ac:dyDescent="0.25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VLOOKUP(J700,DADOS!$A$3:$B$105,2,FALSE)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899999999999999" customHeight="1" x14ac:dyDescent="0.25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VLOOKUP(J701,DADOS!$A$3:$B$105,2,FALSE)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899999999999999" customHeight="1" x14ac:dyDescent="0.25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VLOOKUP(J702,DADOS!$A$3:$B$105,2,FALSE)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899999999999999" customHeight="1" x14ac:dyDescent="0.25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VLOOKUP(J703,DADOS!$A$3:$B$105,2,FALSE)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899999999999999" customHeight="1" x14ac:dyDescent="0.25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VLOOKUP(J704,DADOS!$A$3:$B$105,2,FALSE)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899999999999999" customHeight="1" x14ac:dyDescent="0.25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VLOOKUP(J705,DADOS!$A$3:$B$105,2,FALSE)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899999999999999" customHeight="1" x14ac:dyDescent="0.25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VLOOKUP(J706,DADOS!$A$3:$B$105,2,FALSE)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899999999999999" customHeight="1" x14ac:dyDescent="0.25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VLOOKUP(J707,DADOS!$A$3:$B$105,2,FALSE)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899999999999999" customHeight="1" x14ac:dyDescent="0.25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VLOOKUP(J708,DADOS!$A$3:$B$105,2,FALSE)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899999999999999" customHeight="1" x14ac:dyDescent="0.25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VLOOKUP(J709,DADOS!$A$3:$B$105,2,FALSE)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899999999999999" customHeight="1" x14ac:dyDescent="0.25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VLOOKUP(J710,DADOS!$A$3:$B$105,2,FALSE)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899999999999999" customHeight="1" x14ac:dyDescent="0.25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VLOOKUP(J711,DADOS!$A$3:$B$105,2,FALSE)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899999999999999" customHeight="1" x14ac:dyDescent="0.25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VLOOKUP(J712,DADOS!$A$3:$B$105,2,FALSE)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899999999999999" customHeight="1" x14ac:dyDescent="0.25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VLOOKUP(J713,DADOS!$A$3:$B$105,2,FALSE)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899999999999999" customHeight="1" x14ac:dyDescent="0.25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VLOOKUP(J714,DADOS!$A$3:$B$105,2,FALSE)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899999999999999" customHeight="1" x14ac:dyDescent="0.25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VLOOKUP(J715,DADOS!$A$3:$B$105,2,FALSE)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899999999999999" customHeight="1" x14ac:dyDescent="0.25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VLOOKUP(J716,DADOS!$A$3:$B$105,2,FALSE)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899999999999999" customHeight="1" x14ac:dyDescent="0.25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VLOOKUP(J717,DADOS!$A$3:$B$105,2,FALSE)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899999999999999" customHeight="1" x14ac:dyDescent="0.25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VLOOKUP(J718,DADOS!$A$3:$B$105,2,FALSE)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899999999999999" customHeight="1" x14ac:dyDescent="0.25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VLOOKUP(J719,DADOS!$A$3:$B$105,2,FALSE)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899999999999999" customHeight="1" x14ac:dyDescent="0.25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VLOOKUP(J720,DADOS!$A$3:$B$105,2,FALSE)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899999999999999" customHeight="1" x14ac:dyDescent="0.25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VLOOKUP(J721,DADOS!$A$3:$B$105,2,FALSE)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899999999999999" customHeight="1" x14ac:dyDescent="0.25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VLOOKUP(J722,DADOS!$A$3:$B$105,2,FALSE)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899999999999999" customHeight="1" x14ac:dyDescent="0.25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VLOOKUP(J723,DADOS!$A$3:$B$105,2,FALSE)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899999999999999" customHeight="1" x14ac:dyDescent="0.25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VLOOKUP(J724,DADOS!$A$3:$B$105,2,FALSE)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899999999999999" customHeight="1" x14ac:dyDescent="0.25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VLOOKUP(J725,DADOS!$A$3:$B$105,2,FALSE)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899999999999999" customHeight="1" x14ac:dyDescent="0.25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VLOOKUP(J726,DADOS!$A$3:$B$105,2,FALSE)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899999999999999" customHeight="1" x14ac:dyDescent="0.25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VLOOKUP(J727,DADOS!$A$3:$B$105,2,FALSE)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899999999999999" customHeight="1" x14ac:dyDescent="0.25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VLOOKUP(J728,DADOS!$A$3:$B$105,2,FALSE)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899999999999999" customHeight="1" x14ac:dyDescent="0.25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VLOOKUP(J729,DADOS!$A$3:$B$105,2,FALSE)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899999999999999" customHeight="1" x14ac:dyDescent="0.25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VLOOKUP(J730,DADOS!$A$3:$B$105,2,FALSE)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899999999999999" customHeight="1" x14ac:dyDescent="0.25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VLOOKUP(J731,DADOS!$A$3:$B$105,2,FALSE)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899999999999999" customHeight="1" x14ac:dyDescent="0.25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VLOOKUP(J732,DADOS!$A$3:$B$105,2,FALSE)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899999999999999" customHeight="1" x14ac:dyDescent="0.25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VLOOKUP(J733,DADOS!$A$3:$B$105,2,FALSE)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899999999999999" customHeight="1" x14ac:dyDescent="0.25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VLOOKUP(J734,DADOS!$A$3:$B$105,2,FALSE)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899999999999999" customHeight="1" x14ac:dyDescent="0.25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VLOOKUP(J735,DADOS!$A$3:$B$105,2,FALSE)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899999999999999" customHeight="1" x14ac:dyDescent="0.25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VLOOKUP(J736,DADOS!$A$3:$B$105,2,FALSE)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899999999999999" customHeight="1" x14ac:dyDescent="0.25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VLOOKUP(J737,DADOS!$A$3:$B$105,2,FALSE)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899999999999999" customHeight="1" x14ac:dyDescent="0.25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VLOOKUP(J738,DADOS!$A$3:$B$105,2,FALSE)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899999999999999" customHeight="1" x14ac:dyDescent="0.25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VLOOKUP(J739,DADOS!$A$3:$B$105,2,FALSE)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899999999999999" customHeight="1" x14ac:dyDescent="0.25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VLOOKUP(J740,DADOS!$A$3:$B$105,2,FALSE)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899999999999999" customHeight="1" x14ac:dyDescent="0.25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VLOOKUP(J741,DADOS!$A$3:$B$105,2,FALSE)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899999999999999" customHeight="1" x14ac:dyDescent="0.25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VLOOKUP(J742,DADOS!$A$3:$B$105,2,FALSE)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899999999999999" customHeight="1" x14ac:dyDescent="0.25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VLOOKUP(J743,DADOS!$A$3:$B$105,2,FALSE)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899999999999999" customHeight="1" x14ac:dyDescent="0.25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VLOOKUP(J744,DADOS!$A$3:$B$105,2,FALSE)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899999999999999" customHeight="1" x14ac:dyDescent="0.25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VLOOKUP(J745,DADOS!$A$3:$B$105,2,FALSE)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899999999999999" customHeight="1" x14ac:dyDescent="0.25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VLOOKUP(J746,DADOS!$A$3:$B$105,2,FALSE)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899999999999999" customHeight="1" x14ac:dyDescent="0.25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VLOOKUP(J747,DADOS!$A$3:$B$105,2,FALSE)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899999999999999" customHeight="1" x14ac:dyDescent="0.25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VLOOKUP(J748,DADOS!$A$3:$B$105,2,FALSE)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899999999999999" customHeight="1" x14ac:dyDescent="0.25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VLOOKUP(J749,DADOS!$A$3:$B$105,2,FALSE)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899999999999999" customHeight="1" x14ac:dyDescent="0.25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VLOOKUP(J750,DADOS!$A$3:$B$105,2,FALSE)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899999999999999" customHeight="1" x14ac:dyDescent="0.25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VLOOKUP(J751,DADOS!$A$3:$B$105,2,FALSE)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899999999999999" customHeight="1" x14ac:dyDescent="0.25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VLOOKUP(J752,DADOS!$A$3:$B$105,2,FALSE)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899999999999999" customHeight="1" x14ac:dyDescent="0.25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VLOOKUP(J753,DADOS!$A$3:$B$105,2,FALSE)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899999999999999" customHeight="1" x14ac:dyDescent="0.25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VLOOKUP(J754,DADOS!$A$3:$B$105,2,FALSE)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899999999999999" customHeight="1" x14ac:dyDescent="0.25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VLOOKUP(J755,DADOS!$A$3:$B$105,2,FALSE)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899999999999999" customHeight="1" x14ac:dyDescent="0.25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VLOOKUP(J756,DADOS!$A$3:$B$105,2,FALSE)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899999999999999" customHeight="1" x14ac:dyDescent="0.25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VLOOKUP(J757,DADOS!$A$3:$B$105,2,FALSE)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899999999999999" customHeight="1" x14ac:dyDescent="0.25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VLOOKUP(J758,DADOS!$A$3:$B$105,2,FALSE)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899999999999999" customHeight="1" x14ac:dyDescent="0.25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VLOOKUP(J759,DADOS!$A$3:$B$105,2,FALSE)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899999999999999" customHeight="1" x14ac:dyDescent="0.25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VLOOKUP(J760,DADOS!$A$3:$B$105,2,FALSE)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899999999999999" customHeight="1" x14ac:dyDescent="0.25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VLOOKUP(J761,DADOS!$A$3:$B$105,2,FALSE)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899999999999999" customHeight="1" x14ac:dyDescent="0.25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VLOOKUP(J762,DADOS!$A$3:$B$105,2,FALSE)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899999999999999" customHeight="1" x14ac:dyDescent="0.25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VLOOKUP(J763,DADOS!$A$3:$B$105,2,FALSE)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899999999999999" customHeight="1" x14ac:dyDescent="0.25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VLOOKUP(J764,DADOS!$A$3:$B$105,2,FALSE)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899999999999999" customHeight="1" x14ac:dyDescent="0.25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VLOOKUP(J765,DADOS!$A$3:$B$105,2,FALSE)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899999999999999" customHeight="1" x14ac:dyDescent="0.25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VLOOKUP(J766,DADOS!$A$3:$B$105,2,FALSE)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899999999999999" customHeight="1" x14ac:dyDescent="0.25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VLOOKUP(J767,DADOS!$A$3:$B$105,2,FALSE)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899999999999999" customHeight="1" x14ac:dyDescent="0.25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VLOOKUP(J768,DADOS!$A$3:$B$105,2,FALSE)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899999999999999" customHeight="1" x14ac:dyDescent="0.25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VLOOKUP(J769,DADOS!$A$3:$B$105,2,FALSE)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899999999999999" customHeight="1" x14ac:dyDescent="0.25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VLOOKUP(J770,DADOS!$A$3:$B$105,2,FALSE)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899999999999999" customHeight="1" x14ac:dyDescent="0.25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VLOOKUP(J771,DADOS!$A$3:$B$105,2,FALSE)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899999999999999" customHeight="1" x14ac:dyDescent="0.25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VLOOKUP(J772,DADOS!$A$3:$B$105,2,FALSE)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899999999999999" customHeight="1" x14ac:dyDescent="0.25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VLOOKUP(J773,DADOS!$A$3:$B$105,2,FALSE)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899999999999999" customHeight="1" x14ac:dyDescent="0.25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VLOOKUP(J774,DADOS!$A$3:$B$105,2,FALSE)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899999999999999" customHeight="1" x14ac:dyDescent="0.25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VLOOKUP(J775,DADOS!$A$3:$B$105,2,FALSE)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899999999999999" customHeight="1" x14ac:dyDescent="0.25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VLOOKUP(J776,DADOS!$A$3:$B$105,2,FALSE)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899999999999999" customHeight="1" x14ac:dyDescent="0.25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VLOOKUP(J777,DADOS!$A$3:$B$105,2,FALSE)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899999999999999" customHeight="1" x14ac:dyDescent="0.25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VLOOKUP(J778,DADOS!$A$3:$B$105,2,FALSE)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899999999999999" customHeight="1" x14ac:dyDescent="0.25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VLOOKUP(J779,DADOS!$A$3:$B$105,2,FALSE)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899999999999999" customHeight="1" x14ac:dyDescent="0.25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VLOOKUP(J780,DADOS!$A$3:$B$105,2,FALSE)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899999999999999" customHeight="1" x14ac:dyDescent="0.25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VLOOKUP(J781,DADOS!$A$3:$B$105,2,FALSE)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899999999999999" customHeight="1" x14ac:dyDescent="0.25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VLOOKUP(J782,DADOS!$A$3:$B$105,2,FALSE)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899999999999999" customHeight="1" x14ac:dyDescent="0.25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VLOOKUP(J783,DADOS!$A$3:$B$105,2,FALSE)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899999999999999" customHeight="1" x14ac:dyDescent="0.25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VLOOKUP(J784,DADOS!$A$3:$B$105,2,FALSE)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899999999999999" customHeight="1" x14ac:dyDescent="0.25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VLOOKUP(J785,DADOS!$A$3:$B$105,2,FALSE)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899999999999999" customHeight="1" x14ac:dyDescent="0.25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VLOOKUP(J786,DADOS!$A$3:$B$105,2,FALSE)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899999999999999" customHeight="1" x14ac:dyDescent="0.25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VLOOKUP(J787,DADOS!$A$3:$B$105,2,FALSE)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899999999999999" customHeight="1" x14ac:dyDescent="0.25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VLOOKUP(J788,DADOS!$A$3:$B$105,2,FALSE)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899999999999999" customHeight="1" x14ac:dyDescent="0.25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VLOOKUP(J789,DADOS!$A$3:$B$105,2,FALSE)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899999999999999" customHeight="1" x14ac:dyDescent="0.25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VLOOKUP(J790,DADOS!$A$3:$B$105,2,FALSE)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899999999999999" customHeight="1" x14ac:dyDescent="0.25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VLOOKUP(J791,DADOS!$A$3:$B$105,2,FALSE)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899999999999999" customHeight="1" x14ac:dyDescent="0.25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VLOOKUP(J792,DADOS!$A$3:$B$105,2,FALSE)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899999999999999" customHeight="1" x14ac:dyDescent="0.25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VLOOKUP(J793,DADOS!$A$3:$B$105,2,FALSE)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899999999999999" customHeight="1" x14ac:dyDescent="0.25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VLOOKUP(J794,DADOS!$A$3:$B$105,2,FALSE)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899999999999999" customHeight="1" x14ac:dyDescent="0.25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VLOOKUP(J795,DADOS!$A$3:$B$105,2,FALSE)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899999999999999" customHeight="1" x14ac:dyDescent="0.25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VLOOKUP(J796,DADOS!$A$3:$B$105,2,FALSE)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899999999999999" customHeight="1" x14ac:dyDescent="0.25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VLOOKUP(J797,DADOS!$A$3:$B$105,2,FALSE)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899999999999999" customHeight="1" x14ac:dyDescent="0.25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VLOOKUP(J798,DADOS!$A$3:$B$105,2,FALSE)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899999999999999" customHeight="1" x14ac:dyDescent="0.25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VLOOKUP(J799,DADOS!$A$3:$B$105,2,FALSE)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899999999999999" customHeight="1" x14ac:dyDescent="0.25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VLOOKUP(J800,DADOS!$A$3:$B$105,2,FALSE)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899999999999999" customHeight="1" x14ac:dyDescent="0.25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VLOOKUP(J801,DADOS!$A$3:$B$105,2,FALSE)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899999999999999" customHeight="1" x14ac:dyDescent="0.25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VLOOKUP(J802,DADOS!$A$3:$B$105,2,FALSE)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899999999999999" customHeight="1" x14ac:dyDescent="0.25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VLOOKUP(J803,DADOS!$A$3:$B$105,2,FALSE)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899999999999999" customHeight="1" x14ac:dyDescent="0.25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VLOOKUP(J804,DADOS!$A$3:$B$105,2,FALSE)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899999999999999" customHeight="1" x14ac:dyDescent="0.25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VLOOKUP(J805,DADOS!$A$3:$B$105,2,FALSE)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899999999999999" customHeight="1" x14ac:dyDescent="0.25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VLOOKUP(J806,DADOS!$A$3:$B$105,2,FALSE)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899999999999999" customHeight="1" x14ac:dyDescent="0.25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VLOOKUP(J807,DADOS!$A$3:$B$105,2,FALSE)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899999999999999" customHeight="1" x14ac:dyDescent="0.25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VLOOKUP(J808,DADOS!$A$3:$B$105,2,FALSE)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899999999999999" customHeight="1" x14ac:dyDescent="0.25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VLOOKUP(J809,DADOS!$A$3:$B$105,2,FALSE)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899999999999999" customHeight="1" x14ac:dyDescent="0.25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VLOOKUP(J810,DADOS!$A$3:$B$105,2,FALSE)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899999999999999" customHeight="1" x14ac:dyDescent="0.25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VLOOKUP(J811,DADOS!$A$3:$B$105,2,FALSE)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899999999999999" customHeight="1" x14ac:dyDescent="0.25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VLOOKUP(J812,DADOS!$A$3:$B$105,2,FALSE)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899999999999999" customHeight="1" x14ac:dyDescent="0.25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VLOOKUP(J813,DADOS!$A$3:$B$105,2,FALSE)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899999999999999" customHeight="1" x14ac:dyDescent="0.25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VLOOKUP(J814,DADOS!$A$3:$B$105,2,FALSE)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899999999999999" customHeight="1" x14ac:dyDescent="0.25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VLOOKUP(J815,DADOS!$A$3:$B$105,2,FALSE)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899999999999999" customHeight="1" x14ac:dyDescent="0.25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VLOOKUP(J816,DADOS!$A$3:$B$105,2,FALSE)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899999999999999" customHeight="1" x14ac:dyDescent="0.25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VLOOKUP(J817,DADOS!$A$3:$B$105,2,FALSE)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899999999999999" customHeight="1" x14ac:dyDescent="0.25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VLOOKUP(J818,DADOS!$A$3:$B$105,2,FALSE)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899999999999999" customHeight="1" x14ac:dyDescent="0.25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VLOOKUP(J819,DADOS!$A$3:$B$105,2,FALSE)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899999999999999" customHeight="1" x14ac:dyDescent="0.25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VLOOKUP(J820,DADOS!$A$3:$B$105,2,FALSE)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899999999999999" customHeight="1" x14ac:dyDescent="0.25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VLOOKUP(J821,DADOS!$A$3:$B$105,2,FALSE)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899999999999999" customHeight="1" x14ac:dyDescent="0.25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VLOOKUP(J822,DADOS!$A$3:$B$105,2,FALSE)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899999999999999" customHeight="1" x14ac:dyDescent="0.25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VLOOKUP(J823,DADOS!$A$3:$B$105,2,FALSE)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899999999999999" customHeight="1" x14ac:dyDescent="0.25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VLOOKUP(J824,DADOS!$A$3:$B$105,2,FALSE)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899999999999999" customHeight="1" x14ac:dyDescent="0.25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VLOOKUP(J825,DADOS!$A$3:$B$105,2,FALSE)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899999999999999" customHeight="1" x14ac:dyDescent="0.25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VLOOKUP(J826,DADOS!$A$3:$B$105,2,FALSE)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899999999999999" customHeight="1" x14ac:dyDescent="0.25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VLOOKUP(J827,DADOS!$A$3:$B$105,2,FALSE)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899999999999999" customHeight="1" x14ac:dyDescent="0.25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VLOOKUP(J828,DADOS!$A$3:$B$105,2,FALSE)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899999999999999" customHeight="1" x14ac:dyDescent="0.25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VLOOKUP(J829,DADOS!$A$3:$B$105,2,FALSE)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899999999999999" customHeight="1" x14ac:dyDescent="0.25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VLOOKUP(J830,DADOS!$A$3:$B$105,2,FALSE)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899999999999999" customHeight="1" x14ac:dyDescent="0.25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VLOOKUP(J831,DADOS!$A$3:$B$105,2,FALSE)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899999999999999" customHeight="1" x14ac:dyDescent="0.25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VLOOKUP(J832,DADOS!$A$3:$B$105,2,FALSE)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899999999999999" customHeight="1" x14ac:dyDescent="0.25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VLOOKUP(J833,DADOS!$A$3:$B$105,2,FALSE)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899999999999999" customHeight="1" x14ac:dyDescent="0.25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VLOOKUP(J834,DADOS!$A$3:$B$105,2,FALSE)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899999999999999" customHeight="1" x14ac:dyDescent="0.25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VLOOKUP(J835,DADOS!$A$3:$B$105,2,FALSE)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899999999999999" customHeight="1" x14ac:dyDescent="0.25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VLOOKUP(J836,DADOS!$A$3:$B$105,2,FALSE)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899999999999999" customHeight="1" x14ac:dyDescent="0.25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VLOOKUP(J837,DADOS!$A$3:$B$105,2,FALSE)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899999999999999" customHeight="1" x14ac:dyDescent="0.25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VLOOKUP(J838,DADOS!$A$3:$B$105,2,FALSE)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899999999999999" customHeight="1" x14ac:dyDescent="0.25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VLOOKUP(J839,DADOS!$A$3:$B$105,2,FALSE)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899999999999999" customHeight="1" x14ac:dyDescent="0.25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VLOOKUP(J840,DADOS!$A$3:$B$105,2,FALSE)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899999999999999" customHeight="1" x14ac:dyDescent="0.25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VLOOKUP(J841,DADOS!$A$3:$B$105,2,FALSE)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899999999999999" customHeight="1" x14ac:dyDescent="0.25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VLOOKUP(J842,DADOS!$A$3:$B$105,2,FALSE)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899999999999999" customHeight="1" x14ac:dyDescent="0.25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VLOOKUP(J843,DADOS!$A$3:$B$105,2,FALSE)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899999999999999" customHeight="1" x14ac:dyDescent="0.25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VLOOKUP(J844,DADOS!$A$3:$B$105,2,FALSE)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899999999999999" customHeight="1" x14ac:dyDescent="0.25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VLOOKUP(J845,DADOS!$A$3:$B$105,2,FALSE)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899999999999999" customHeight="1" x14ac:dyDescent="0.25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VLOOKUP(J846,DADOS!$A$3:$B$105,2,FALSE)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899999999999999" customHeight="1" x14ac:dyDescent="0.25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VLOOKUP(J847,DADOS!$A$3:$B$105,2,FALSE)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899999999999999" customHeight="1" x14ac:dyDescent="0.25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VLOOKUP(J848,DADOS!$A$3:$B$105,2,FALSE)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899999999999999" customHeight="1" x14ac:dyDescent="0.25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VLOOKUP(J849,DADOS!$A$3:$B$105,2,FALSE)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899999999999999" customHeight="1" x14ac:dyDescent="0.25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VLOOKUP(J850,DADOS!$A$3:$B$105,2,FALSE)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899999999999999" customHeight="1" x14ac:dyDescent="0.25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VLOOKUP(J851,DADOS!$A$3:$B$105,2,FALSE)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899999999999999" customHeight="1" x14ac:dyDescent="0.25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VLOOKUP(J852,DADOS!$A$3:$B$105,2,FALSE)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899999999999999" customHeight="1" x14ac:dyDescent="0.25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VLOOKUP(J853,DADOS!$A$3:$B$105,2,FALSE)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899999999999999" customHeight="1" x14ac:dyDescent="0.25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VLOOKUP(J854,DADOS!$A$3:$B$105,2,FALSE)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899999999999999" customHeight="1" x14ac:dyDescent="0.25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VLOOKUP(J855,DADOS!$A$3:$B$105,2,FALSE)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899999999999999" customHeight="1" x14ac:dyDescent="0.25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VLOOKUP(J856,DADOS!$A$3:$B$105,2,FALSE)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899999999999999" customHeight="1" x14ac:dyDescent="0.25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VLOOKUP(J857,DADOS!$A$3:$B$105,2,FALSE)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899999999999999" customHeight="1" x14ac:dyDescent="0.25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VLOOKUP(J858,DADOS!$A$3:$B$105,2,FALSE)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899999999999999" customHeight="1" x14ac:dyDescent="0.25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VLOOKUP(J859,DADOS!$A$3:$B$105,2,FALSE)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899999999999999" customHeight="1" x14ac:dyDescent="0.25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VLOOKUP(J860,DADOS!$A$3:$B$105,2,FALSE)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899999999999999" customHeight="1" x14ac:dyDescent="0.25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VLOOKUP(J861,DADOS!$A$3:$B$105,2,FALSE)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899999999999999" customHeight="1" x14ac:dyDescent="0.25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VLOOKUP(J862,DADOS!$A$3:$B$105,2,FALSE)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899999999999999" customHeight="1" x14ac:dyDescent="0.25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VLOOKUP(J863,DADOS!$A$3:$B$105,2,FALSE)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899999999999999" customHeight="1" x14ac:dyDescent="0.25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VLOOKUP(J864,DADOS!$A$3:$B$105,2,FALSE)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899999999999999" customHeight="1" x14ac:dyDescent="0.25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VLOOKUP(J865,DADOS!$A$3:$B$105,2,FALSE)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899999999999999" customHeight="1" x14ac:dyDescent="0.25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VLOOKUP(J866,DADOS!$A$3:$B$105,2,FALSE)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899999999999999" customHeight="1" x14ac:dyDescent="0.25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VLOOKUP(J867,DADOS!$A$3:$B$105,2,FALSE)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899999999999999" customHeight="1" x14ac:dyDescent="0.25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VLOOKUP(J868,DADOS!$A$3:$B$105,2,FALSE)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899999999999999" customHeight="1" x14ac:dyDescent="0.25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VLOOKUP(J869,DADOS!$A$3:$B$105,2,FALSE)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899999999999999" customHeight="1" x14ac:dyDescent="0.25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VLOOKUP(J870,DADOS!$A$3:$B$105,2,FALSE)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899999999999999" customHeight="1" x14ac:dyDescent="0.25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VLOOKUP(J871,DADOS!$A$3:$B$105,2,FALSE)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899999999999999" customHeight="1" x14ac:dyDescent="0.25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VLOOKUP(J872,DADOS!$A$3:$B$105,2,FALSE)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899999999999999" customHeight="1" x14ac:dyDescent="0.25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VLOOKUP(J873,DADOS!$A$3:$B$105,2,FALSE)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899999999999999" customHeight="1" x14ac:dyDescent="0.25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VLOOKUP(J874,DADOS!$A$3:$B$105,2,FALSE)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899999999999999" customHeight="1" x14ac:dyDescent="0.25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VLOOKUP(J875,DADOS!$A$3:$B$105,2,FALSE)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899999999999999" customHeight="1" x14ac:dyDescent="0.25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VLOOKUP(J876,DADOS!$A$3:$B$105,2,FALSE)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899999999999999" customHeight="1" x14ac:dyDescent="0.25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VLOOKUP(J877,DADOS!$A$3:$B$105,2,FALSE)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899999999999999" customHeight="1" x14ac:dyDescent="0.25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VLOOKUP(J878,DADOS!$A$3:$B$105,2,FALSE)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899999999999999" customHeight="1" x14ac:dyDescent="0.25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VLOOKUP(J879,DADOS!$A$3:$B$105,2,FALSE)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899999999999999" customHeight="1" x14ac:dyDescent="0.25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VLOOKUP(J880,DADOS!$A$3:$B$105,2,FALSE)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899999999999999" customHeight="1" x14ac:dyDescent="0.25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VLOOKUP(J881,DADOS!$A$3:$B$105,2,FALSE)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899999999999999" customHeight="1" x14ac:dyDescent="0.25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VLOOKUP(J882,DADOS!$A$3:$B$105,2,FALSE)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899999999999999" customHeight="1" x14ac:dyDescent="0.25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VLOOKUP(J883,DADOS!$A$3:$B$105,2,FALSE)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899999999999999" customHeight="1" x14ac:dyDescent="0.25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VLOOKUP(J884,DADOS!$A$3:$B$105,2,FALSE)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899999999999999" customHeight="1" x14ac:dyDescent="0.25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VLOOKUP(J885,DADOS!$A$3:$B$105,2,FALSE)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899999999999999" customHeight="1" x14ac:dyDescent="0.25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VLOOKUP(J886,DADOS!$A$3:$B$105,2,FALSE)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899999999999999" customHeight="1" x14ac:dyDescent="0.25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VLOOKUP(J887,DADOS!$A$3:$B$105,2,FALSE)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899999999999999" customHeight="1" x14ac:dyDescent="0.25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VLOOKUP(J888,DADOS!$A$3:$B$105,2,FALSE)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899999999999999" customHeight="1" x14ac:dyDescent="0.25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VLOOKUP(J889,DADOS!$A$3:$B$105,2,FALSE)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899999999999999" customHeight="1" x14ac:dyDescent="0.25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VLOOKUP(J890,DADOS!$A$3:$B$105,2,FALSE)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899999999999999" customHeight="1" x14ac:dyDescent="0.25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VLOOKUP(J891,DADOS!$A$3:$B$105,2,FALSE)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899999999999999" customHeight="1" x14ac:dyDescent="0.25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VLOOKUP(J892,DADOS!$A$3:$B$105,2,FALSE)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899999999999999" customHeight="1" x14ac:dyDescent="0.25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VLOOKUP(J893,DADOS!$A$3:$B$105,2,FALSE)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899999999999999" customHeight="1" x14ac:dyDescent="0.25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VLOOKUP(J894,DADOS!$A$3:$B$105,2,FALSE)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899999999999999" customHeight="1" x14ac:dyDescent="0.25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VLOOKUP(J895,DADOS!$A$3:$B$105,2,FALSE)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899999999999999" customHeight="1" x14ac:dyDescent="0.25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VLOOKUP(J896,DADOS!$A$3:$B$105,2,FALSE)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899999999999999" customHeight="1" x14ac:dyDescent="0.25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VLOOKUP(J897,DADOS!$A$3:$B$105,2,FALSE)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899999999999999" customHeight="1" x14ac:dyDescent="0.25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VLOOKUP(J898,DADOS!$A$3:$B$105,2,FALSE)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899999999999999" customHeight="1" x14ac:dyDescent="0.25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VLOOKUP(J899,DADOS!$A$3:$B$105,2,FALSE)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899999999999999" customHeight="1" x14ac:dyDescent="0.25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VLOOKUP(J900,DADOS!$A$3:$B$105,2,FALSE)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899999999999999" customHeight="1" x14ac:dyDescent="0.25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VLOOKUP(J901,DADOS!$A$3:$B$105,2,FALSE)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899999999999999" customHeight="1" x14ac:dyDescent="0.25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VLOOKUP(J902,DADOS!$A$3:$B$105,2,FALSE)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899999999999999" customHeight="1" x14ac:dyDescent="0.25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VLOOKUP(J903,DADOS!$A$3:$B$105,2,FALSE)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899999999999999" customHeight="1" x14ac:dyDescent="0.25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VLOOKUP(J904,DADOS!$A$3:$B$105,2,FALSE)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899999999999999" customHeight="1" x14ac:dyDescent="0.25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VLOOKUP(J905,DADOS!$A$3:$B$105,2,FALSE)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899999999999999" customHeight="1" x14ac:dyDescent="0.25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VLOOKUP(J906,DADOS!$A$3:$B$105,2,FALSE)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899999999999999" customHeight="1" x14ac:dyDescent="0.25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VLOOKUP(J907,DADOS!$A$3:$B$105,2,FALSE)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899999999999999" customHeight="1" x14ac:dyDescent="0.25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VLOOKUP(J908,DADOS!$A$3:$B$105,2,FALSE)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899999999999999" customHeight="1" x14ac:dyDescent="0.25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VLOOKUP(J909,DADOS!$A$3:$B$105,2,FALSE)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899999999999999" customHeight="1" x14ac:dyDescent="0.25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VLOOKUP(J910,DADOS!$A$3:$B$105,2,FALSE)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899999999999999" customHeight="1" x14ac:dyDescent="0.25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VLOOKUP(J911,DADOS!$A$3:$B$105,2,FALSE)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899999999999999" customHeight="1" x14ac:dyDescent="0.25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VLOOKUP(J912,DADOS!$A$3:$B$105,2,FALSE)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899999999999999" customHeight="1" x14ac:dyDescent="0.25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VLOOKUP(J913,DADOS!$A$3:$B$105,2,FALSE)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899999999999999" customHeight="1" x14ac:dyDescent="0.25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VLOOKUP(J914,DADOS!$A$3:$B$105,2,FALSE)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899999999999999" customHeight="1" x14ac:dyDescent="0.25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VLOOKUP(J915,DADOS!$A$3:$B$105,2,FALSE)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899999999999999" customHeight="1" x14ac:dyDescent="0.25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VLOOKUP(J916,DADOS!$A$3:$B$105,2,FALSE)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899999999999999" customHeight="1" x14ac:dyDescent="0.25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VLOOKUP(J917,DADOS!$A$3:$B$105,2,FALSE)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899999999999999" customHeight="1" x14ac:dyDescent="0.25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VLOOKUP(J918,DADOS!$A$3:$B$105,2,FALSE)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899999999999999" customHeight="1" x14ac:dyDescent="0.25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VLOOKUP(J919,DADOS!$A$3:$B$105,2,FALSE)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899999999999999" customHeight="1" x14ac:dyDescent="0.25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VLOOKUP(J920,DADOS!$A$3:$B$105,2,FALSE)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899999999999999" customHeight="1" x14ac:dyDescent="0.25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VLOOKUP(J921,DADOS!$A$3:$B$105,2,FALSE)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899999999999999" customHeight="1" x14ac:dyDescent="0.25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VLOOKUP(J922,DADOS!$A$3:$B$105,2,FALSE)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899999999999999" customHeight="1" x14ac:dyDescent="0.25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VLOOKUP(J923,DADOS!$A$3:$B$105,2,FALSE)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899999999999999" customHeight="1" x14ac:dyDescent="0.25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VLOOKUP(J924,DADOS!$A$3:$B$105,2,FALSE)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899999999999999" customHeight="1" x14ac:dyDescent="0.25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VLOOKUP(J925,DADOS!$A$3:$B$105,2,FALSE)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899999999999999" customHeight="1" x14ac:dyDescent="0.25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VLOOKUP(J926,DADOS!$A$3:$B$105,2,FALSE)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899999999999999" customHeight="1" x14ac:dyDescent="0.25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VLOOKUP(J927,DADOS!$A$3:$B$105,2,FALSE)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899999999999999" customHeight="1" x14ac:dyDescent="0.25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VLOOKUP(J928,DADOS!$A$3:$B$105,2,FALSE)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899999999999999" customHeight="1" x14ac:dyDescent="0.25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VLOOKUP(J929,DADOS!$A$3:$B$105,2,FALSE)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899999999999999" customHeight="1" x14ac:dyDescent="0.25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VLOOKUP(J930,DADOS!$A$3:$B$105,2,FALSE)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899999999999999" customHeight="1" x14ac:dyDescent="0.25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VLOOKUP(J931,DADOS!$A$3:$B$105,2,FALSE)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899999999999999" customHeight="1" x14ac:dyDescent="0.25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VLOOKUP(J932,DADOS!$A$3:$B$105,2,FALSE)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899999999999999" customHeight="1" x14ac:dyDescent="0.25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VLOOKUP(J933,DADOS!$A$3:$B$105,2,FALSE)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899999999999999" customHeight="1" x14ac:dyDescent="0.25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VLOOKUP(J934,DADOS!$A$3:$B$105,2,FALSE)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899999999999999" customHeight="1" x14ac:dyDescent="0.25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VLOOKUP(J935,DADOS!$A$3:$B$105,2,FALSE)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899999999999999" customHeight="1" x14ac:dyDescent="0.25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VLOOKUP(J936,DADOS!$A$3:$B$105,2,FALSE)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899999999999999" customHeight="1" x14ac:dyDescent="0.25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VLOOKUP(J937,DADOS!$A$3:$B$105,2,FALSE)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899999999999999" customHeight="1" x14ac:dyDescent="0.25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VLOOKUP(J938,DADOS!$A$3:$B$105,2,FALSE)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899999999999999" customHeight="1" x14ac:dyDescent="0.25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VLOOKUP(J939,DADOS!$A$3:$B$105,2,FALSE)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899999999999999" customHeight="1" x14ac:dyDescent="0.25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VLOOKUP(J940,DADOS!$A$3:$B$105,2,FALSE)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899999999999999" customHeight="1" x14ac:dyDescent="0.25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VLOOKUP(J941,DADOS!$A$3:$B$105,2,FALSE)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899999999999999" customHeight="1" x14ac:dyDescent="0.25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VLOOKUP(J942,DADOS!$A$3:$B$105,2,FALSE)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899999999999999" customHeight="1" x14ac:dyDescent="0.25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VLOOKUP(J943,DADOS!$A$3:$B$105,2,FALSE)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899999999999999" customHeight="1" x14ac:dyDescent="0.25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VLOOKUP(J944,DADOS!$A$3:$B$105,2,FALSE)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899999999999999" customHeight="1" x14ac:dyDescent="0.25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VLOOKUP(J945,DADOS!$A$3:$B$105,2,FALSE)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899999999999999" customHeight="1" x14ac:dyDescent="0.25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VLOOKUP(J946,DADOS!$A$3:$B$105,2,FALSE)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899999999999999" customHeight="1" x14ac:dyDescent="0.25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VLOOKUP(J947,DADOS!$A$3:$B$105,2,FALSE)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899999999999999" customHeight="1" x14ac:dyDescent="0.25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VLOOKUP(J948,DADOS!$A$3:$B$105,2,FALSE)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899999999999999" customHeight="1" x14ac:dyDescent="0.25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VLOOKUP(J949,DADOS!$A$3:$B$105,2,FALSE)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899999999999999" customHeight="1" x14ac:dyDescent="0.25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VLOOKUP(J950,DADOS!$A$3:$B$105,2,FALSE)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899999999999999" customHeight="1" x14ac:dyDescent="0.25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VLOOKUP(J951,DADOS!$A$3:$B$105,2,FALSE)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899999999999999" customHeight="1" x14ac:dyDescent="0.25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VLOOKUP(J952,DADOS!$A$3:$B$105,2,FALSE)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899999999999999" customHeight="1" x14ac:dyDescent="0.25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VLOOKUP(J953,DADOS!$A$3:$B$105,2,FALSE)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899999999999999" customHeight="1" x14ac:dyDescent="0.25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VLOOKUP(J954,DADOS!$A$3:$B$105,2,FALSE)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899999999999999" customHeight="1" x14ac:dyDescent="0.25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VLOOKUP(J955,DADOS!$A$3:$B$105,2,FALSE)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899999999999999" customHeight="1" x14ac:dyDescent="0.25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VLOOKUP(J956,DADOS!$A$3:$B$105,2,FALSE)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899999999999999" customHeight="1" x14ac:dyDescent="0.25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VLOOKUP(J957,DADOS!$A$3:$B$105,2,FALSE)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899999999999999" customHeight="1" x14ac:dyDescent="0.25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VLOOKUP(J958,DADOS!$A$3:$B$105,2,FALSE)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899999999999999" customHeight="1" x14ac:dyDescent="0.25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VLOOKUP(J959,DADOS!$A$3:$B$105,2,FALSE)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899999999999999" customHeight="1" x14ac:dyDescent="0.25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VLOOKUP(J960,DADOS!$A$3:$B$105,2,FALSE)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899999999999999" customHeight="1" x14ac:dyDescent="0.25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VLOOKUP(J961,DADOS!$A$3:$B$105,2,FALSE)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899999999999999" customHeight="1" x14ac:dyDescent="0.25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VLOOKUP(J962,DADOS!$A$3:$B$105,2,FALSE)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899999999999999" customHeight="1" x14ac:dyDescent="0.25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VLOOKUP(J963,DADOS!$A$3:$B$105,2,FALSE)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899999999999999" customHeight="1" x14ac:dyDescent="0.25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VLOOKUP(J964,DADOS!$A$3:$B$105,2,FALSE)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899999999999999" customHeight="1" x14ac:dyDescent="0.25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VLOOKUP(J965,DADOS!$A$3:$B$105,2,FALSE)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899999999999999" customHeight="1" x14ac:dyDescent="0.25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VLOOKUP(J966,DADOS!$A$3:$B$105,2,FALSE)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899999999999999" customHeight="1" x14ac:dyDescent="0.25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VLOOKUP(J967,DADOS!$A$3:$B$105,2,FALSE)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899999999999999" customHeight="1" x14ac:dyDescent="0.25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VLOOKUP(J968,DADOS!$A$3:$B$105,2,FALSE)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899999999999999" customHeight="1" x14ac:dyDescent="0.25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VLOOKUP(J969,DADOS!$A$3:$B$105,2,FALSE)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899999999999999" customHeight="1" x14ac:dyDescent="0.25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VLOOKUP(J970,DADOS!$A$3:$B$105,2,FALSE)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899999999999999" customHeight="1" x14ac:dyDescent="0.25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VLOOKUP(J971,DADOS!$A$3:$B$105,2,FALSE)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899999999999999" customHeight="1" x14ac:dyDescent="0.25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VLOOKUP(J972,DADOS!$A$3:$B$105,2,FALSE)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899999999999999" customHeight="1" x14ac:dyDescent="0.25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VLOOKUP(J973,DADOS!$A$3:$B$105,2,FALSE)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899999999999999" customHeight="1" x14ac:dyDescent="0.25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VLOOKUP(J974,DADOS!$A$3:$B$105,2,FALSE)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899999999999999" customHeight="1" x14ac:dyDescent="0.25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VLOOKUP(J975,DADOS!$A$3:$B$105,2,FALSE)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899999999999999" customHeight="1" x14ac:dyDescent="0.25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VLOOKUP(J976,DADOS!$A$3:$B$105,2,FALSE)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899999999999999" customHeight="1" x14ac:dyDescent="0.25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VLOOKUP(J977,DADOS!$A$3:$B$105,2,FALSE)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899999999999999" customHeight="1" x14ac:dyDescent="0.25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VLOOKUP(J978,DADOS!$A$3:$B$105,2,FALSE)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899999999999999" customHeight="1" x14ac:dyDescent="0.25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VLOOKUP(J979,DADOS!$A$3:$B$105,2,FALSE)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899999999999999" customHeight="1" x14ac:dyDescent="0.25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VLOOKUP(J980,DADOS!$A$3:$B$105,2,FALSE)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899999999999999" customHeight="1" x14ac:dyDescent="0.25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VLOOKUP(J981,DADOS!$A$3:$B$105,2,FALSE)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899999999999999" customHeight="1" x14ac:dyDescent="0.25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VLOOKUP(J982,DADOS!$A$3:$B$105,2,FALSE)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899999999999999" customHeight="1" x14ac:dyDescent="0.25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VLOOKUP(J983,DADOS!$A$3:$B$105,2,FALSE)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899999999999999" customHeight="1" x14ac:dyDescent="0.25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VLOOKUP(J984,DADOS!$A$3:$B$105,2,FALSE)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899999999999999" customHeight="1" x14ac:dyDescent="0.25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VLOOKUP(J985,DADOS!$A$3:$B$105,2,FALSE)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899999999999999" customHeight="1" x14ac:dyDescent="0.25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VLOOKUP(J986,DADOS!$A$3:$B$105,2,FALSE)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899999999999999" customHeight="1" x14ac:dyDescent="0.25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VLOOKUP(J987,DADOS!$A$3:$B$105,2,FALSE)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899999999999999" customHeight="1" x14ac:dyDescent="0.25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VLOOKUP(J988,DADOS!$A$3:$B$105,2,FALSE)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899999999999999" customHeight="1" x14ac:dyDescent="0.25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VLOOKUP(J989,DADOS!$A$3:$B$105,2,FALSE)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899999999999999" customHeight="1" x14ac:dyDescent="0.25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VLOOKUP(J990,DADOS!$A$3:$B$105,2,FALSE)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899999999999999" customHeight="1" x14ac:dyDescent="0.25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VLOOKUP(J991,DADOS!$A$3:$B$105,2,FALSE)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899999999999999" customHeight="1" x14ac:dyDescent="0.25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VLOOKUP(J992,DADOS!$A$3:$B$105,2,FALSE)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899999999999999" customHeight="1" x14ac:dyDescent="0.25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VLOOKUP(J993,DADOS!$A$3:$B$105,2,FALSE)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899999999999999" customHeight="1" x14ac:dyDescent="0.25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VLOOKUP(J994,DADOS!$A$3:$B$105,2,FALSE)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899999999999999" customHeight="1" x14ac:dyDescent="0.25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VLOOKUP(J995,DADOS!$A$3:$B$105,2,FALSE)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899999999999999" customHeight="1" x14ac:dyDescent="0.25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VLOOKUP(J996,DADOS!$A$3:$B$105,2,FALSE)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899999999999999" customHeight="1" x14ac:dyDescent="0.25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VLOOKUP(J997,DADOS!$A$3:$B$105,2,FALSE)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899999999999999" customHeight="1" x14ac:dyDescent="0.25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VLOOKUP(J998,DADOS!$A$3:$B$105,2,FALSE)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899999999999999" customHeight="1" x14ac:dyDescent="0.25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VLOOKUP(J999,DADOS!$A$3:$B$105,2,FALSE)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899999999999999" customHeight="1" x14ac:dyDescent="0.25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VLOOKUP(J1000,DADOS!$A$3:$B$105,2,FALSE)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899999999999999" customHeight="1" x14ac:dyDescent="0.25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VLOOKUP(J1001,DADOS!$A$3:$B$105,2,FALSE)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899999999999999" customHeight="1" x14ac:dyDescent="0.25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VLOOKUP(J1002,DADOS!$A$3:$B$105,2,FALSE)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899999999999999" customHeight="1" x14ac:dyDescent="0.25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VLOOKUP(J1003,DADOS!$A$3:$B$105,2,FALSE)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899999999999999" customHeight="1" x14ac:dyDescent="0.25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VLOOKUP(J1004,DADOS!$A$3:$B$105,2,FALSE)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899999999999999" customHeight="1" x14ac:dyDescent="0.25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VLOOKUP(J1005,DADOS!$A$3:$B$105,2,FALSE)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899999999999999" customHeight="1" x14ac:dyDescent="0.25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VLOOKUP(J1006,DADOS!$A$3:$B$105,2,FALSE)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899999999999999" customHeight="1" x14ac:dyDescent="0.25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VLOOKUP(J1007,DADOS!$A$3:$B$105,2,FALSE)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899999999999999" customHeight="1" x14ac:dyDescent="0.25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VLOOKUP(J1008,DADOS!$A$3:$B$105,2,FALSE)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899999999999999" customHeight="1" x14ac:dyDescent="0.25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VLOOKUP(J1009,DADOS!$A$3:$B$105,2,FALSE)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899999999999999" customHeight="1" x14ac:dyDescent="0.25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VLOOKUP(J1010,DADOS!$A$3:$B$105,2,FALSE)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899999999999999" customHeight="1" x14ac:dyDescent="0.25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VLOOKUP(J1011,DADOS!$A$3:$B$105,2,FALSE)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899999999999999" customHeight="1" x14ac:dyDescent="0.25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VLOOKUP(J1012,DADOS!$A$3:$B$105,2,FALSE)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899999999999999" customHeight="1" x14ac:dyDescent="0.25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VLOOKUP(J1013,DADOS!$A$3:$B$105,2,FALSE)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899999999999999" customHeight="1" x14ac:dyDescent="0.25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VLOOKUP(J1014,DADOS!$A$3:$B$105,2,FALSE)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899999999999999" customHeight="1" x14ac:dyDescent="0.25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VLOOKUP(J1015,DADOS!$A$3:$B$105,2,FALSE)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899999999999999" customHeight="1" x14ac:dyDescent="0.25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VLOOKUP(J1016,DADOS!$A$3:$B$105,2,FALSE)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899999999999999" customHeight="1" x14ac:dyDescent="0.25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VLOOKUP(J1017,DADOS!$A$3:$B$105,2,FALSE)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899999999999999" customHeight="1" x14ac:dyDescent="0.25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VLOOKUP(J1018,DADOS!$A$3:$B$105,2,FALSE)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899999999999999" customHeight="1" x14ac:dyDescent="0.25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VLOOKUP(J1019,DADOS!$A$3:$B$105,2,FALSE)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899999999999999" customHeight="1" x14ac:dyDescent="0.25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VLOOKUP(J1020,DADOS!$A$3:$B$105,2,FALSE)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899999999999999" customHeight="1" x14ac:dyDescent="0.25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VLOOKUP(J1021,DADOS!$A$3:$B$105,2,FALSE)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899999999999999" customHeight="1" x14ac:dyDescent="0.25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VLOOKUP(J1022,DADOS!$A$3:$B$105,2,FALSE)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899999999999999" customHeight="1" x14ac:dyDescent="0.25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VLOOKUP(J1023,DADOS!$A$3:$B$105,2,FALSE)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899999999999999" customHeight="1" x14ac:dyDescent="0.25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VLOOKUP(J1024,DADOS!$A$3:$B$105,2,FALSE)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899999999999999" customHeight="1" x14ac:dyDescent="0.25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VLOOKUP(J1025,DADOS!$A$3:$B$105,2,FALSE)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899999999999999" customHeight="1" x14ac:dyDescent="0.25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VLOOKUP(J1026,DADOS!$A$3:$B$105,2,FALSE)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899999999999999" customHeight="1" x14ac:dyDescent="0.25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VLOOKUP(J1027,DADOS!$A$3:$B$105,2,FALSE)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899999999999999" customHeight="1" x14ac:dyDescent="0.25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VLOOKUP(J1028,DADOS!$A$3:$B$105,2,FALSE)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899999999999999" customHeight="1" x14ac:dyDescent="0.25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VLOOKUP(J1029,DADOS!$A$3:$B$105,2,FALSE)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899999999999999" customHeight="1" x14ac:dyDescent="0.25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VLOOKUP(J1030,DADOS!$A$3:$B$105,2,FALSE)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899999999999999" customHeight="1" x14ac:dyDescent="0.25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VLOOKUP(J1031,DADOS!$A$3:$B$105,2,FALSE)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899999999999999" customHeight="1" x14ac:dyDescent="0.25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VLOOKUP(J1032,DADOS!$A$3:$B$105,2,FALSE)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899999999999999" customHeight="1" x14ac:dyDescent="0.25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VLOOKUP(J1033,DADOS!$A$3:$B$105,2,FALSE)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899999999999999" customHeight="1" x14ac:dyDescent="0.25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VLOOKUP(J1034,DADOS!$A$3:$B$105,2,FALSE)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899999999999999" customHeight="1" x14ac:dyDescent="0.25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VLOOKUP(J1035,DADOS!$A$3:$B$105,2,FALSE)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899999999999999" customHeight="1" x14ac:dyDescent="0.25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VLOOKUP(J1036,DADOS!$A$3:$B$105,2,FALSE)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899999999999999" customHeight="1" x14ac:dyDescent="0.25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VLOOKUP(J1037,DADOS!$A$3:$B$105,2,FALSE)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899999999999999" customHeight="1" x14ac:dyDescent="0.25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VLOOKUP(J1038,DADOS!$A$3:$B$105,2,FALSE)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899999999999999" customHeight="1" x14ac:dyDescent="0.25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VLOOKUP(J1039,DADOS!$A$3:$B$105,2,FALSE)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899999999999999" customHeight="1" x14ac:dyDescent="0.25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VLOOKUP(J1040,DADOS!$A$3:$B$105,2,FALSE)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899999999999999" customHeight="1" x14ac:dyDescent="0.25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VLOOKUP(J1041,DADOS!$A$3:$B$105,2,FALSE)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899999999999999" customHeight="1" x14ac:dyDescent="0.25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VLOOKUP(J1042,DADOS!$A$3:$B$105,2,FALSE)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899999999999999" customHeight="1" x14ac:dyDescent="0.25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VLOOKUP(J1043,DADOS!$A$3:$B$105,2,FALSE)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899999999999999" customHeight="1" x14ac:dyDescent="0.25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VLOOKUP(J1044,DADOS!$A$3:$B$105,2,FALSE)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899999999999999" customHeight="1" x14ac:dyDescent="0.25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VLOOKUP(J1045,DADOS!$A$3:$B$105,2,FALSE)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899999999999999" customHeight="1" x14ac:dyDescent="0.25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VLOOKUP(J1046,DADOS!$A$3:$B$105,2,FALSE)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899999999999999" customHeight="1" x14ac:dyDescent="0.25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VLOOKUP(J1047,DADOS!$A$3:$B$105,2,FALSE)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899999999999999" customHeight="1" x14ac:dyDescent="0.25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VLOOKUP(J1048,DADOS!$A$3:$B$105,2,FALSE)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899999999999999" customHeight="1" x14ac:dyDescent="0.25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VLOOKUP(J1049,DADOS!$A$3:$B$105,2,FALSE)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899999999999999" customHeight="1" x14ac:dyDescent="0.25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VLOOKUP(J1050,DADOS!$A$3:$B$105,2,FALSE)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899999999999999" customHeight="1" x14ac:dyDescent="0.25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VLOOKUP(J1051,DADOS!$A$3:$B$105,2,FALSE)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899999999999999" customHeight="1" x14ac:dyDescent="0.25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VLOOKUP(J1052,DADOS!$A$3:$B$105,2,FALSE)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899999999999999" customHeight="1" x14ac:dyDescent="0.25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VLOOKUP(J1053,DADOS!$A$3:$B$105,2,FALSE)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899999999999999" customHeight="1" x14ac:dyDescent="0.25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VLOOKUP(J1054,DADOS!$A$3:$B$105,2,FALSE)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899999999999999" customHeight="1" x14ac:dyDescent="0.25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VLOOKUP(J1055,DADOS!$A$3:$B$105,2,FALSE)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899999999999999" customHeight="1" x14ac:dyDescent="0.25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VLOOKUP(J1056,DADOS!$A$3:$B$105,2,FALSE)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899999999999999" customHeight="1" x14ac:dyDescent="0.25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VLOOKUP(J1057,DADOS!$A$3:$B$105,2,FALSE)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899999999999999" customHeight="1" x14ac:dyDescent="0.25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VLOOKUP(J1058,DADOS!$A$3:$B$105,2,FALSE)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899999999999999" customHeight="1" x14ac:dyDescent="0.25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VLOOKUP(J1059,DADOS!$A$3:$B$105,2,FALSE)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899999999999999" customHeight="1" x14ac:dyDescent="0.25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VLOOKUP(J1060,DADOS!$A$3:$B$105,2,FALSE)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899999999999999" customHeight="1" x14ac:dyDescent="0.25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VLOOKUP(J1061,DADOS!$A$3:$B$105,2,FALSE)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899999999999999" customHeight="1" x14ac:dyDescent="0.25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VLOOKUP(J1062,DADOS!$A$3:$B$105,2,FALSE)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899999999999999" customHeight="1" x14ac:dyDescent="0.25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VLOOKUP(J1063,DADOS!$A$3:$B$105,2,FALSE)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899999999999999" customHeight="1" x14ac:dyDescent="0.25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VLOOKUP(J1064,DADOS!$A$3:$B$105,2,FALSE)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899999999999999" customHeight="1" x14ac:dyDescent="0.25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VLOOKUP(J1065,DADOS!$A$3:$B$105,2,FALSE)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899999999999999" customHeight="1" x14ac:dyDescent="0.25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VLOOKUP(J1066,DADOS!$A$3:$B$105,2,FALSE)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899999999999999" customHeight="1" x14ac:dyDescent="0.25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VLOOKUP(J1067,DADOS!$A$3:$B$105,2,FALSE)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899999999999999" customHeight="1" x14ac:dyDescent="0.25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VLOOKUP(J1068,DADOS!$A$3:$B$105,2,FALSE)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899999999999999" customHeight="1" x14ac:dyDescent="0.25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VLOOKUP(J1069,DADOS!$A$3:$B$105,2,FALSE)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899999999999999" customHeight="1" x14ac:dyDescent="0.25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VLOOKUP(J1070,DADOS!$A$3:$B$105,2,FALSE)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899999999999999" customHeight="1" x14ac:dyDescent="0.25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VLOOKUP(J1071,DADOS!$A$3:$B$105,2,FALSE)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899999999999999" customHeight="1" x14ac:dyDescent="0.25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VLOOKUP(J1072,DADOS!$A$3:$B$105,2,FALSE)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899999999999999" customHeight="1" x14ac:dyDescent="0.25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VLOOKUP(J1073,DADOS!$A$3:$B$105,2,FALSE)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899999999999999" customHeight="1" x14ac:dyDescent="0.25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VLOOKUP(J1074,DADOS!$A$3:$B$105,2,FALSE)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899999999999999" customHeight="1" x14ac:dyDescent="0.25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VLOOKUP(J1075,DADOS!$A$3:$B$105,2,FALSE)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899999999999999" customHeight="1" x14ac:dyDescent="0.25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VLOOKUP(J1076,DADOS!$A$3:$B$105,2,FALSE)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899999999999999" customHeight="1" x14ac:dyDescent="0.25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VLOOKUP(J1077,DADOS!$A$3:$B$105,2,FALSE)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899999999999999" customHeight="1" x14ac:dyDescent="0.25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VLOOKUP(J1078,DADOS!$A$3:$B$105,2,FALSE)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899999999999999" customHeight="1" x14ac:dyDescent="0.25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VLOOKUP(J1079,DADOS!$A$3:$B$105,2,FALSE)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899999999999999" customHeight="1" x14ac:dyDescent="0.25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VLOOKUP(J1080,DADOS!$A$3:$B$105,2,FALSE)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899999999999999" customHeight="1" x14ac:dyDescent="0.25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VLOOKUP(J1081,DADOS!$A$3:$B$105,2,FALSE)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899999999999999" customHeight="1" x14ac:dyDescent="0.25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VLOOKUP(J1082,DADOS!$A$3:$B$105,2,FALSE)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899999999999999" customHeight="1" x14ac:dyDescent="0.25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VLOOKUP(J1083,DADOS!$A$3:$B$105,2,FALSE)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899999999999999" customHeight="1" x14ac:dyDescent="0.25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VLOOKUP(J1084,DADOS!$A$3:$B$105,2,FALSE)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899999999999999" customHeight="1" x14ac:dyDescent="0.25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VLOOKUP(J1085,DADOS!$A$3:$B$105,2,FALSE)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899999999999999" customHeight="1" x14ac:dyDescent="0.25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VLOOKUP(J1086,DADOS!$A$3:$B$105,2,FALSE)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899999999999999" customHeight="1" x14ac:dyDescent="0.25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VLOOKUP(J1087,DADOS!$A$3:$B$105,2,FALSE)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899999999999999" customHeight="1" x14ac:dyDescent="0.25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VLOOKUP(J1088,DADOS!$A$3:$B$105,2,FALSE)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899999999999999" customHeight="1" x14ac:dyDescent="0.25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VLOOKUP(J1089,DADOS!$A$3:$B$105,2,FALSE)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899999999999999" customHeight="1" x14ac:dyDescent="0.25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VLOOKUP(J1090,DADOS!$A$3:$B$105,2,FALSE)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899999999999999" customHeight="1" x14ac:dyDescent="0.25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VLOOKUP(J1091,DADOS!$A$3:$B$105,2,FALSE)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899999999999999" customHeight="1" x14ac:dyDescent="0.25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VLOOKUP(J1092,DADOS!$A$3:$B$105,2,FALSE)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899999999999999" customHeight="1" x14ac:dyDescent="0.25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VLOOKUP(J1093,DADOS!$A$3:$B$105,2,FALSE)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899999999999999" customHeight="1" x14ac:dyDescent="0.25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VLOOKUP(J1094,DADOS!$A$3:$B$105,2,FALSE)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899999999999999" customHeight="1" x14ac:dyDescent="0.25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VLOOKUP(J1095,DADOS!$A$3:$B$105,2,FALSE)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899999999999999" customHeight="1" x14ac:dyDescent="0.25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VLOOKUP(J1096,DADOS!$A$3:$B$105,2,FALSE)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899999999999999" customHeight="1" x14ac:dyDescent="0.25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VLOOKUP(J1097,DADOS!$A$3:$B$105,2,FALSE)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899999999999999" customHeight="1" x14ac:dyDescent="0.25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VLOOKUP(J1098,DADOS!$A$3:$B$105,2,FALSE)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899999999999999" customHeight="1" x14ac:dyDescent="0.25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VLOOKUP(J1099,DADOS!$A$3:$B$105,2,FALSE)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899999999999999" customHeight="1" x14ac:dyDescent="0.25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VLOOKUP(J1100,DADOS!$A$3:$B$105,2,FALSE)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899999999999999" customHeight="1" x14ac:dyDescent="0.25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VLOOKUP(J1101,DADOS!$A$3:$B$105,2,FALSE)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899999999999999" customHeight="1" x14ac:dyDescent="0.25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VLOOKUP(J1102,DADOS!$A$3:$B$105,2,FALSE)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899999999999999" customHeight="1" x14ac:dyDescent="0.25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VLOOKUP(J1103,DADOS!$A$3:$B$105,2,FALSE)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899999999999999" customHeight="1" x14ac:dyDescent="0.25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VLOOKUP(J1104,DADOS!$A$3:$B$105,2,FALSE)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899999999999999" customHeight="1" x14ac:dyDescent="0.25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VLOOKUP(J1105,DADOS!$A$3:$B$105,2,FALSE)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899999999999999" customHeight="1" x14ac:dyDescent="0.25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VLOOKUP(J1106,DADOS!$A$3:$B$105,2,FALSE)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899999999999999" customHeight="1" x14ac:dyDescent="0.25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VLOOKUP(J1107,DADOS!$A$3:$B$105,2,FALSE)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899999999999999" customHeight="1" x14ac:dyDescent="0.25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VLOOKUP(J1108,DADOS!$A$3:$B$105,2,FALSE)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899999999999999" customHeight="1" x14ac:dyDescent="0.25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VLOOKUP(J1109,DADOS!$A$3:$B$105,2,FALSE)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899999999999999" customHeight="1" x14ac:dyDescent="0.25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VLOOKUP(J1110,DADOS!$A$3:$B$105,2,FALSE)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899999999999999" customHeight="1" x14ac:dyDescent="0.25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VLOOKUP(J1111,DADOS!$A$3:$B$105,2,FALSE)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899999999999999" customHeight="1" x14ac:dyDescent="0.25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VLOOKUP(J1112,DADOS!$A$3:$B$105,2,FALSE)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899999999999999" customHeight="1" x14ac:dyDescent="0.25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VLOOKUP(J1113,DADOS!$A$3:$B$105,2,FALSE)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899999999999999" customHeight="1" x14ac:dyDescent="0.25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VLOOKUP(J1114,DADOS!$A$3:$B$105,2,FALSE)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899999999999999" customHeight="1" x14ac:dyDescent="0.25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VLOOKUP(J1115,DADOS!$A$3:$B$105,2,FALSE)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899999999999999" customHeight="1" x14ac:dyDescent="0.25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VLOOKUP(J1116,DADOS!$A$3:$B$105,2,FALSE)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899999999999999" customHeight="1" x14ac:dyDescent="0.25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VLOOKUP(J1117,DADOS!$A$3:$B$105,2,FALSE)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899999999999999" customHeight="1" x14ac:dyDescent="0.25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VLOOKUP(J1118,DADOS!$A$3:$B$105,2,FALSE)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899999999999999" customHeight="1" x14ac:dyDescent="0.25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VLOOKUP(J1119,DADOS!$A$3:$B$105,2,FALSE)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899999999999999" customHeight="1" x14ac:dyDescent="0.25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VLOOKUP(J1120,DADOS!$A$3:$B$105,2,FALSE)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899999999999999" customHeight="1" x14ac:dyDescent="0.25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VLOOKUP(J1121,DADOS!$A$3:$B$105,2,FALSE)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899999999999999" customHeight="1" x14ac:dyDescent="0.25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VLOOKUP(J1122,DADOS!$A$3:$B$105,2,FALSE)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899999999999999" customHeight="1" x14ac:dyDescent="0.25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VLOOKUP(J1123,DADOS!$A$3:$B$105,2,FALSE)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899999999999999" customHeight="1" x14ac:dyDescent="0.25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VLOOKUP(J1124,DADOS!$A$3:$B$105,2,FALSE)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899999999999999" customHeight="1" x14ac:dyDescent="0.25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VLOOKUP(J1125,DADOS!$A$3:$B$105,2,FALSE)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899999999999999" customHeight="1" x14ac:dyDescent="0.25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VLOOKUP(J1126,DADOS!$A$3:$B$105,2,FALSE)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899999999999999" customHeight="1" x14ac:dyDescent="0.25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VLOOKUP(J1127,DADOS!$A$3:$B$105,2,FALSE)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899999999999999" customHeight="1" x14ac:dyDescent="0.25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VLOOKUP(J1128,DADOS!$A$3:$B$105,2,FALSE)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899999999999999" customHeight="1" x14ac:dyDescent="0.25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VLOOKUP(J1129,DADOS!$A$3:$B$105,2,FALSE)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899999999999999" customHeight="1" x14ac:dyDescent="0.25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VLOOKUP(J1130,DADOS!$A$3:$B$105,2,FALSE)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899999999999999" customHeight="1" x14ac:dyDescent="0.25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VLOOKUP(J1131,DADOS!$A$3:$B$105,2,FALSE)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899999999999999" customHeight="1" x14ac:dyDescent="0.25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VLOOKUP(J1132,DADOS!$A$3:$B$105,2,FALSE)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899999999999999" customHeight="1" x14ac:dyDescent="0.25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VLOOKUP(J1133,DADOS!$A$3:$B$105,2,FALSE)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899999999999999" customHeight="1" x14ac:dyDescent="0.25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VLOOKUP(J1134,DADOS!$A$3:$B$105,2,FALSE)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899999999999999" customHeight="1" x14ac:dyDescent="0.25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VLOOKUP(J1135,DADOS!$A$3:$B$105,2,FALSE)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899999999999999" customHeight="1" x14ac:dyDescent="0.25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VLOOKUP(J1136,DADOS!$A$3:$B$105,2,FALSE)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899999999999999" customHeight="1" x14ac:dyDescent="0.25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VLOOKUP(J1137,DADOS!$A$3:$B$105,2,FALSE)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899999999999999" customHeight="1" x14ac:dyDescent="0.25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VLOOKUP(J1138,DADOS!$A$3:$B$105,2,FALSE)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899999999999999" customHeight="1" x14ac:dyDescent="0.25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VLOOKUP(J1139,DADOS!$A$3:$B$105,2,FALSE)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899999999999999" customHeight="1" x14ac:dyDescent="0.25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VLOOKUP(J1140,DADOS!$A$3:$B$105,2,FALSE)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899999999999999" customHeight="1" x14ac:dyDescent="0.25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VLOOKUP(J1141,DADOS!$A$3:$B$105,2,FALSE)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899999999999999" customHeight="1" x14ac:dyDescent="0.25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VLOOKUP(J1142,DADOS!$A$3:$B$105,2,FALSE)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899999999999999" customHeight="1" x14ac:dyDescent="0.25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VLOOKUP(J1143,DADOS!$A$3:$B$105,2,FALSE)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899999999999999" customHeight="1" x14ac:dyDescent="0.25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VLOOKUP(J1144,DADOS!$A$3:$B$105,2,FALSE)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899999999999999" customHeight="1" x14ac:dyDescent="0.25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VLOOKUP(J1145,DADOS!$A$3:$B$105,2,FALSE)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899999999999999" customHeight="1" x14ac:dyDescent="0.25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VLOOKUP(J1146,DADOS!$A$3:$B$105,2,FALSE)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899999999999999" customHeight="1" x14ac:dyDescent="0.25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VLOOKUP(J1147,DADOS!$A$3:$B$105,2,FALSE)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899999999999999" customHeight="1" x14ac:dyDescent="0.25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VLOOKUP(J1148,DADOS!$A$3:$B$105,2,FALSE)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899999999999999" customHeight="1" x14ac:dyDescent="0.25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VLOOKUP(J1149,DADOS!$A$3:$B$105,2,FALSE)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899999999999999" customHeight="1" x14ac:dyDescent="0.25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VLOOKUP(J1150,DADOS!$A$3:$B$105,2,FALSE)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899999999999999" customHeight="1" x14ac:dyDescent="0.25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VLOOKUP(J1151,DADOS!$A$3:$B$105,2,FALSE)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899999999999999" customHeight="1" x14ac:dyDescent="0.25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VLOOKUP(J1152,DADOS!$A$3:$B$105,2,FALSE)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899999999999999" customHeight="1" x14ac:dyDescent="0.25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VLOOKUP(J1153,DADOS!$A$3:$B$105,2,FALSE)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899999999999999" customHeight="1" x14ac:dyDescent="0.25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VLOOKUP(J1154,DADOS!$A$3:$B$105,2,FALSE)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899999999999999" customHeight="1" x14ac:dyDescent="0.25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VLOOKUP(J1155,DADOS!$A$3:$B$105,2,FALSE)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899999999999999" customHeight="1" x14ac:dyDescent="0.25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VLOOKUP(J1156,DADOS!$A$3:$B$105,2,FALSE)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899999999999999" customHeight="1" x14ac:dyDescent="0.25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VLOOKUP(J1157,DADOS!$A$3:$B$105,2,FALSE)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899999999999999" customHeight="1" x14ac:dyDescent="0.25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VLOOKUP(J1158,DADOS!$A$3:$B$105,2,FALSE)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899999999999999" customHeight="1" x14ac:dyDescent="0.25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VLOOKUP(J1159,DADOS!$A$3:$B$105,2,FALSE)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899999999999999" customHeight="1" x14ac:dyDescent="0.25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VLOOKUP(J1160,DADOS!$A$3:$B$105,2,FALSE)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899999999999999" customHeight="1" x14ac:dyDescent="0.25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VLOOKUP(J1161,DADOS!$A$3:$B$105,2,FALSE)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899999999999999" customHeight="1" x14ac:dyDescent="0.25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VLOOKUP(J1162,DADOS!$A$3:$B$105,2,FALSE)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899999999999999" customHeight="1" x14ac:dyDescent="0.25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VLOOKUP(J1163,DADOS!$A$3:$B$105,2,FALSE)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899999999999999" customHeight="1" x14ac:dyDescent="0.25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VLOOKUP(J1164,DADOS!$A$3:$B$105,2,FALSE)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899999999999999" customHeight="1" x14ac:dyDescent="0.25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VLOOKUP(J1165,DADOS!$A$3:$B$105,2,FALSE)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899999999999999" customHeight="1" x14ac:dyDescent="0.25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VLOOKUP(J1166,DADOS!$A$3:$B$105,2,FALSE)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899999999999999" customHeight="1" x14ac:dyDescent="0.25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VLOOKUP(J1167,DADOS!$A$3:$B$105,2,FALSE)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899999999999999" customHeight="1" x14ac:dyDescent="0.25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VLOOKUP(J1168,DADOS!$A$3:$B$105,2,FALSE)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899999999999999" customHeight="1" x14ac:dyDescent="0.25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VLOOKUP(J1169,DADOS!$A$3:$B$105,2,FALSE)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899999999999999" customHeight="1" x14ac:dyDescent="0.25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VLOOKUP(J1170,DADOS!$A$3:$B$105,2,FALSE)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899999999999999" customHeight="1" x14ac:dyDescent="0.25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VLOOKUP(J1171,DADOS!$A$3:$B$105,2,FALSE)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899999999999999" customHeight="1" x14ac:dyDescent="0.25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VLOOKUP(J1172,DADOS!$A$3:$B$105,2,FALSE)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899999999999999" customHeight="1" x14ac:dyDescent="0.25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VLOOKUP(J1173,DADOS!$A$3:$B$105,2,FALSE)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899999999999999" customHeight="1" x14ac:dyDescent="0.25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VLOOKUP(J1174,DADOS!$A$3:$B$105,2,FALSE)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899999999999999" customHeight="1" x14ac:dyDescent="0.25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VLOOKUP(J1175,DADOS!$A$3:$B$105,2,FALSE)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899999999999999" customHeight="1" x14ac:dyDescent="0.25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VLOOKUP(J1176,DADOS!$A$3:$B$105,2,FALSE)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899999999999999" customHeight="1" x14ac:dyDescent="0.25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VLOOKUP(J1177,DADOS!$A$3:$B$105,2,FALSE)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899999999999999" customHeight="1" x14ac:dyDescent="0.25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VLOOKUP(J1178,DADOS!$A$3:$B$105,2,FALSE)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899999999999999" customHeight="1" x14ac:dyDescent="0.25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VLOOKUP(J1179,DADOS!$A$3:$B$105,2,FALSE)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899999999999999" customHeight="1" x14ac:dyDescent="0.25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VLOOKUP(J1180,DADOS!$A$3:$B$105,2,FALSE)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899999999999999" customHeight="1" x14ac:dyDescent="0.25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VLOOKUP(J1181,DADOS!$A$3:$B$105,2,FALSE)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899999999999999" customHeight="1" x14ac:dyDescent="0.25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VLOOKUP(J1182,DADOS!$A$3:$B$105,2,FALSE)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899999999999999" customHeight="1" x14ac:dyDescent="0.25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VLOOKUP(J1183,DADOS!$A$3:$B$105,2,FALSE)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899999999999999" customHeight="1" x14ac:dyDescent="0.25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VLOOKUP(J1184,DADOS!$A$3:$B$105,2,FALSE)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899999999999999" customHeight="1" x14ac:dyDescent="0.25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VLOOKUP(J1185,DADOS!$A$3:$B$105,2,FALSE)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899999999999999" customHeight="1" x14ac:dyDescent="0.25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VLOOKUP(J1186,DADOS!$A$3:$B$105,2,FALSE)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899999999999999" customHeight="1" x14ac:dyDescent="0.25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VLOOKUP(J1187,DADOS!$A$3:$B$105,2,FALSE)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899999999999999" customHeight="1" x14ac:dyDescent="0.25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VLOOKUP(J1188,DADOS!$A$3:$B$105,2,FALSE)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899999999999999" customHeight="1" x14ac:dyDescent="0.25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VLOOKUP(J1189,DADOS!$A$3:$B$105,2,FALSE)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899999999999999" customHeight="1" x14ac:dyDescent="0.25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VLOOKUP(J1190,DADOS!$A$3:$B$105,2,FALSE)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899999999999999" customHeight="1" x14ac:dyDescent="0.25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VLOOKUP(J1191,DADOS!$A$3:$B$105,2,FALSE)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899999999999999" customHeight="1" x14ac:dyDescent="0.25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VLOOKUP(J1192,DADOS!$A$3:$B$105,2,FALSE)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899999999999999" customHeight="1" x14ac:dyDescent="0.25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VLOOKUP(J1193,DADOS!$A$3:$B$105,2,FALSE)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899999999999999" customHeight="1" x14ac:dyDescent="0.25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VLOOKUP(J1194,DADOS!$A$3:$B$105,2,FALSE)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899999999999999" customHeight="1" x14ac:dyDescent="0.25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VLOOKUP(J1195,DADOS!$A$3:$B$105,2,FALSE)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899999999999999" customHeight="1" x14ac:dyDescent="0.25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VLOOKUP(J1196,DADOS!$A$3:$B$105,2,FALSE)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899999999999999" customHeight="1" x14ac:dyDescent="0.25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VLOOKUP(J1197,DADOS!$A$3:$B$105,2,FALSE)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899999999999999" customHeight="1" x14ac:dyDescent="0.25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VLOOKUP(J1198,DADOS!$A$3:$B$105,2,FALSE)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899999999999999" customHeight="1" x14ac:dyDescent="0.25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VLOOKUP(J1199,DADOS!$A$3:$B$105,2,FALSE)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899999999999999" customHeight="1" x14ac:dyDescent="0.25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VLOOKUP(J1200,DADOS!$A$3:$B$105,2,FALSE)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899999999999999" customHeight="1" x14ac:dyDescent="0.25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VLOOKUP(J1201,DADOS!$A$3:$B$105,2,FALSE)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899999999999999" customHeight="1" x14ac:dyDescent="0.25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VLOOKUP(J1202,DADOS!$A$3:$B$105,2,FALSE)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899999999999999" customHeight="1" x14ac:dyDescent="0.25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VLOOKUP(J1203,DADOS!$A$3:$B$105,2,FALSE)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899999999999999" customHeight="1" x14ac:dyDescent="0.25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VLOOKUP(J1204,DADOS!$A$3:$B$105,2,FALSE)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899999999999999" customHeight="1" x14ac:dyDescent="0.25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VLOOKUP(J1205,DADOS!$A$3:$B$105,2,FALSE)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899999999999999" customHeight="1" x14ac:dyDescent="0.25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VLOOKUP(J1206,DADOS!$A$3:$B$105,2,FALSE)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899999999999999" customHeight="1" x14ac:dyDescent="0.25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VLOOKUP(J1207,DADOS!$A$3:$B$105,2,FALSE)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899999999999999" customHeight="1" x14ac:dyDescent="0.25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VLOOKUP(J1208,DADOS!$A$3:$B$105,2,FALSE)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899999999999999" customHeight="1" x14ac:dyDescent="0.25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VLOOKUP(J1209,DADOS!$A$3:$B$105,2,FALSE)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899999999999999" customHeight="1" x14ac:dyDescent="0.25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VLOOKUP(J1210,DADOS!$A$3:$B$105,2,FALSE)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899999999999999" customHeight="1" x14ac:dyDescent="0.25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VLOOKUP(J1211,DADOS!$A$3:$B$105,2,FALSE)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899999999999999" customHeight="1" x14ac:dyDescent="0.25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VLOOKUP(J1212,DADOS!$A$3:$B$105,2,FALSE)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899999999999999" customHeight="1" x14ac:dyDescent="0.25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VLOOKUP(J1213,DADOS!$A$3:$B$105,2,FALSE)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899999999999999" customHeight="1" x14ac:dyDescent="0.25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VLOOKUP(J1214,DADOS!$A$3:$B$105,2,FALSE)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899999999999999" customHeight="1" x14ac:dyDescent="0.25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VLOOKUP(J1215,DADOS!$A$3:$B$105,2,FALSE)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899999999999999" customHeight="1" x14ac:dyDescent="0.25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VLOOKUP(J1216,DADOS!$A$3:$B$105,2,FALSE)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899999999999999" customHeight="1" x14ac:dyDescent="0.25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VLOOKUP(J1217,DADOS!$A$3:$B$105,2,FALSE)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899999999999999" customHeight="1" x14ac:dyDescent="0.25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VLOOKUP(J1218,DADOS!$A$3:$B$105,2,FALSE)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899999999999999" customHeight="1" x14ac:dyDescent="0.25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VLOOKUP(J1219,DADOS!$A$3:$B$105,2,FALSE)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899999999999999" customHeight="1" x14ac:dyDescent="0.25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VLOOKUP(J1220,DADOS!$A$3:$B$105,2,FALSE)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899999999999999" customHeight="1" x14ac:dyDescent="0.25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VLOOKUP(J1221,DADOS!$A$3:$B$105,2,FALSE)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899999999999999" customHeight="1" x14ac:dyDescent="0.25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VLOOKUP(J1222,DADOS!$A$3:$B$105,2,FALSE)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899999999999999" customHeight="1" x14ac:dyDescent="0.25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VLOOKUP(J1223,DADOS!$A$3:$B$105,2,FALSE)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899999999999999" customHeight="1" x14ac:dyDescent="0.25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VLOOKUP(J1224,DADOS!$A$3:$B$105,2,FALSE)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899999999999999" customHeight="1" x14ac:dyDescent="0.25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VLOOKUP(J1225,DADOS!$A$3:$B$105,2,FALSE)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899999999999999" customHeight="1" x14ac:dyDescent="0.25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VLOOKUP(J1226,DADOS!$A$3:$B$105,2,FALSE)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899999999999999" customHeight="1" x14ac:dyDescent="0.25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VLOOKUP(J1227,DADOS!$A$3:$B$105,2,FALSE)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899999999999999" customHeight="1" x14ac:dyDescent="0.25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VLOOKUP(J1228,DADOS!$A$3:$B$105,2,FALSE)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899999999999999" customHeight="1" x14ac:dyDescent="0.25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VLOOKUP(J1229,DADOS!$A$3:$B$105,2,FALSE)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899999999999999" customHeight="1" x14ac:dyDescent="0.25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VLOOKUP(J1230,DADOS!$A$3:$B$105,2,FALSE)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899999999999999" customHeight="1" x14ac:dyDescent="0.25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VLOOKUP(J1231,DADOS!$A$3:$B$105,2,FALSE)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899999999999999" customHeight="1" x14ac:dyDescent="0.25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VLOOKUP(J1232,DADOS!$A$3:$B$105,2,FALSE)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899999999999999" customHeight="1" x14ac:dyDescent="0.25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VLOOKUP(J1233,DADOS!$A$3:$B$105,2,FALSE)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899999999999999" customHeight="1" x14ac:dyDescent="0.25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VLOOKUP(J1234,DADOS!$A$3:$B$105,2,FALSE)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899999999999999" customHeight="1" x14ac:dyDescent="0.25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VLOOKUP(J1235,DADOS!$A$3:$B$105,2,FALSE)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899999999999999" customHeight="1" x14ac:dyDescent="0.25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VLOOKUP(J1236,DADOS!$A$3:$B$105,2,FALSE)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899999999999999" customHeight="1" x14ac:dyDescent="0.25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VLOOKUP(J1237,DADOS!$A$3:$B$105,2,FALSE)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899999999999999" customHeight="1" x14ac:dyDescent="0.25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VLOOKUP(J1238,DADOS!$A$3:$B$105,2,FALSE)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899999999999999" customHeight="1" x14ac:dyDescent="0.25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VLOOKUP(J1239,DADOS!$A$3:$B$105,2,FALSE)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899999999999999" customHeight="1" x14ac:dyDescent="0.25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VLOOKUP(J1240,DADOS!$A$3:$B$105,2,FALSE)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899999999999999" customHeight="1" x14ac:dyDescent="0.25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VLOOKUP(J1241,DADOS!$A$3:$B$105,2,FALSE)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899999999999999" customHeight="1" x14ac:dyDescent="0.25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VLOOKUP(J1242,DADOS!$A$3:$B$105,2,FALSE)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899999999999999" customHeight="1" x14ac:dyDescent="0.25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VLOOKUP(J1243,DADOS!$A$3:$B$105,2,FALSE)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899999999999999" customHeight="1" x14ac:dyDescent="0.25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VLOOKUP(J1244,DADOS!$A$3:$B$105,2,FALSE)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899999999999999" customHeight="1" x14ac:dyDescent="0.25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VLOOKUP(J1245,DADOS!$A$3:$B$105,2,FALSE)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899999999999999" customHeight="1" x14ac:dyDescent="0.25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VLOOKUP(J1246,DADOS!$A$3:$B$105,2,FALSE)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899999999999999" customHeight="1" x14ac:dyDescent="0.25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VLOOKUP(J1247,DADOS!$A$3:$B$105,2,FALSE)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899999999999999" customHeight="1" x14ac:dyDescent="0.25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VLOOKUP(J1248,DADOS!$A$3:$B$105,2,FALSE)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899999999999999" customHeight="1" x14ac:dyDescent="0.25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VLOOKUP(J1249,DADOS!$A$3:$B$105,2,FALSE)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899999999999999" customHeight="1" x14ac:dyDescent="0.25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VLOOKUP(J1250,DADOS!$A$3:$B$105,2,FALSE)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899999999999999" customHeight="1" x14ac:dyDescent="0.25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VLOOKUP(J1251,DADOS!$A$3:$B$105,2,FALSE)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899999999999999" customHeight="1" x14ac:dyDescent="0.25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VLOOKUP(J1252,DADOS!$A$3:$B$105,2,FALSE)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899999999999999" customHeight="1" x14ac:dyDescent="0.25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VLOOKUP(J1253,DADOS!$A$3:$B$105,2,FALSE)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899999999999999" customHeight="1" x14ac:dyDescent="0.25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VLOOKUP(J1254,DADOS!$A$3:$B$105,2,FALSE)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899999999999999" customHeight="1" x14ac:dyDescent="0.25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VLOOKUP(J1255,DADOS!$A$3:$B$105,2,FALSE)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899999999999999" customHeight="1" x14ac:dyDescent="0.25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VLOOKUP(J1256,DADOS!$A$3:$B$105,2,FALSE)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899999999999999" customHeight="1" x14ac:dyDescent="0.25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VLOOKUP(J1257,DADOS!$A$3:$B$105,2,FALSE)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899999999999999" customHeight="1" x14ac:dyDescent="0.25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VLOOKUP(J1258,DADOS!$A$3:$B$105,2,FALSE)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899999999999999" customHeight="1" x14ac:dyDescent="0.25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VLOOKUP(J1259,DADOS!$A$3:$B$105,2,FALSE)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899999999999999" customHeight="1" x14ac:dyDescent="0.25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VLOOKUP(J1260,DADOS!$A$3:$B$105,2,FALSE)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899999999999999" customHeight="1" x14ac:dyDescent="0.25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VLOOKUP(J1261,DADOS!$A$3:$B$105,2,FALSE)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899999999999999" customHeight="1" x14ac:dyDescent="0.25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VLOOKUP(J1262,DADOS!$A$3:$B$105,2,FALSE)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899999999999999" customHeight="1" x14ac:dyDescent="0.25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VLOOKUP(J1263,DADOS!$A$3:$B$105,2,FALSE)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899999999999999" customHeight="1" x14ac:dyDescent="0.25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VLOOKUP(J1264,DADOS!$A$3:$B$105,2,FALSE)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899999999999999" customHeight="1" x14ac:dyDescent="0.25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VLOOKUP(J1265,DADOS!$A$3:$B$105,2,FALSE)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899999999999999" customHeight="1" x14ac:dyDescent="0.25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VLOOKUP(J1266,DADOS!$A$3:$B$105,2,FALSE)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899999999999999" customHeight="1" x14ac:dyDescent="0.25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VLOOKUP(J1267,DADOS!$A$3:$B$105,2,FALSE)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899999999999999" customHeight="1" x14ac:dyDescent="0.25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VLOOKUP(J1268,DADOS!$A$3:$B$105,2,FALSE)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899999999999999" customHeight="1" x14ac:dyDescent="0.25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VLOOKUP(J1269,DADOS!$A$3:$B$105,2,FALSE)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899999999999999" customHeight="1" x14ac:dyDescent="0.25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VLOOKUP(J1270,DADOS!$A$3:$B$105,2,FALSE)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899999999999999" customHeight="1" x14ac:dyDescent="0.25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VLOOKUP(J1271,DADOS!$A$3:$B$105,2,FALSE)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899999999999999" customHeight="1" x14ac:dyDescent="0.25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VLOOKUP(J1272,DADOS!$A$3:$B$105,2,FALSE)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899999999999999" customHeight="1" x14ac:dyDescent="0.25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VLOOKUP(J1273,DADOS!$A$3:$B$105,2,FALSE)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899999999999999" customHeight="1" x14ac:dyDescent="0.25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VLOOKUP(J1274,DADOS!$A$3:$B$105,2,FALSE)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899999999999999" customHeight="1" x14ac:dyDescent="0.25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VLOOKUP(J1275,DADOS!$A$3:$B$105,2,FALSE)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899999999999999" customHeight="1" x14ac:dyDescent="0.25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VLOOKUP(J1276,DADOS!$A$3:$B$105,2,FALSE)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899999999999999" customHeight="1" x14ac:dyDescent="0.25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VLOOKUP(J1277,DADOS!$A$3:$B$105,2,FALSE)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899999999999999" customHeight="1" x14ac:dyDescent="0.25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VLOOKUP(J1278,DADOS!$A$3:$B$105,2,FALSE)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899999999999999" customHeight="1" x14ac:dyDescent="0.25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VLOOKUP(J1279,DADOS!$A$3:$B$105,2,FALSE)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899999999999999" customHeight="1" x14ac:dyDescent="0.25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VLOOKUP(J1280,DADOS!$A$3:$B$105,2,FALSE)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899999999999999" customHeight="1" x14ac:dyDescent="0.25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VLOOKUP(J1281,DADOS!$A$3:$B$105,2,FALSE)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899999999999999" customHeight="1" x14ac:dyDescent="0.25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VLOOKUP(J1282,DADOS!$A$3:$B$105,2,FALSE)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899999999999999" customHeight="1" x14ac:dyDescent="0.25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VLOOKUP(J1283,DADOS!$A$3:$B$105,2,FALSE)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899999999999999" customHeight="1" x14ac:dyDescent="0.25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VLOOKUP(J1284,DADOS!$A$3:$B$105,2,FALSE)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899999999999999" customHeight="1" x14ac:dyDescent="0.25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VLOOKUP(J1285,DADOS!$A$3:$B$105,2,FALSE)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899999999999999" customHeight="1" x14ac:dyDescent="0.25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VLOOKUP(J1286,DADOS!$A$3:$B$105,2,FALSE)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899999999999999" customHeight="1" x14ac:dyDescent="0.25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VLOOKUP(J1287,DADOS!$A$3:$B$105,2,FALSE)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899999999999999" customHeight="1" x14ac:dyDescent="0.25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VLOOKUP(J1288,DADOS!$A$3:$B$105,2,FALSE)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899999999999999" customHeight="1" x14ac:dyDescent="0.25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VLOOKUP(J1289,DADOS!$A$3:$B$105,2,FALSE)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899999999999999" customHeight="1" x14ac:dyDescent="0.25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VLOOKUP(J1290,DADOS!$A$3:$B$105,2,FALSE)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899999999999999" customHeight="1" x14ac:dyDescent="0.25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VLOOKUP(J1291,DADOS!$A$3:$B$105,2,FALSE)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899999999999999" customHeight="1" x14ac:dyDescent="0.25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VLOOKUP(J1292,DADOS!$A$3:$B$105,2,FALSE)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899999999999999" customHeight="1" x14ac:dyDescent="0.25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VLOOKUP(J1293,DADOS!$A$3:$B$105,2,FALSE)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899999999999999" customHeight="1" x14ac:dyDescent="0.25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VLOOKUP(J1294,DADOS!$A$3:$B$105,2,FALSE)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899999999999999" customHeight="1" x14ac:dyDescent="0.25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VLOOKUP(J1295,DADOS!$A$3:$B$105,2,FALSE)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899999999999999" customHeight="1" x14ac:dyDescent="0.25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VLOOKUP(J1296,DADOS!$A$3:$B$105,2,FALSE)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899999999999999" customHeight="1" x14ac:dyDescent="0.25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VLOOKUP(J1297,DADOS!$A$3:$B$105,2,FALSE)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899999999999999" customHeight="1" x14ac:dyDescent="0.25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VLOOKUP(J1298,DADOS!$A$3:$B$105,2,FALSE)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899999999999999" customHeight="1" x14ac:dyDescent="0.25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VLOOKUP(J1299,DADOS!$A$3:$B$105,2,FALSE)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899999999999999" customHeight="1" x14ac:dyDescent="0.25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VLOOKUP(J1300,DADOS!$A$3:$B$105,2,FALSE)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899999999999999" customHeight="1" x14ac:dyDescent="0.25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VLOOKUP(J1301,DADOS!$A$3:$B$105,2,FALSE)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899999999999999" customHeight="1" x14ac:dyDescent="0.25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VLOOKUP(J1302,DADOS!$A$3:$B$105,2,FALSE)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899999999999999" customHeight="1" x14ac:dyDescent="0.25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VLOOKUP(J1303,DADOS!$A$3:$B$105,2,FALSE)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899999999999999" customHeight="1" x14ac:dyDescent="0.25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VLOOKUP(J1304,DADOS!$A$3:$B$105,2,FALSE)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899999999999999" customHeight="1" x14ac:dyDescent="0.25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VLOOKUP(J1305,DADOS!$A$3:$B$105,2,FALSE)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899999999999999" customHeight="1" x14ac:dyDescent="0.25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VLOOKUP(J1306,DADOS!$A$3:$B$105,2,FALSE)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899999999999999" customHeight="1" x14ac:dyDescent="0.25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VLOOKUP(J1307,DADOS!$A$3:$B$105,2,FALSE)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899999999999999" customHeight="1" x14ac:dyDescent="0.25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VLOOKUP(J1308,DADOS!$A$3:$B$105,2,FALSE)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899999999999999" customHeight="1" x14ac:dyDescent="0.25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VLOOKUP(J1309,DADOS!$A$3:$B$105,2,FALSE)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899999999999999" customHeight="1" x14ac:dyDescent="0.25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VLOOKUP(J1310,DADOS!$A$3:$B$105,2,FALSE)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899999999999999" customHeight="1" x14ac:dyDescent="0.25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VLOOKUP(J1311,DADOS!$A$3:$B$105,2,FALSE)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899999999999999" customHeight="1" x14ac:dyDescent="0.25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VLOOKUP(J1312,DADOS!$A$3:$B$105,2,FALSE)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899999999999999" customHeight="1" x14ac:dyDescent="0.25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VLOOKUP(J1313,DADOS!$A$3:$B$105,2,FALSE)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899999999999999" customHeight="1" x14ac:dyDescent="0.25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VLOOKUP(J1314,DADOS!$A$3:$B$105,2,FALSE)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899999999999999" customHeight="1" x14ac:dyDescent="0.25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VLOOKUP(J1315,DADOS!$A$3:$B$105,2,FALSE)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899999999999999" customHeight="1" x14ac:dyDescent="0.25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VLOOKUP(J1316,DADOS!$A$3:$B$105,2,FALSE)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899999999999999" customHeight="1" x14ac:dyDescent="0.25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VLOOKUP(J1317,DADOS!$A$3:$B$105,2,FALSE)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899999999999999" customHeight="1" x14ac:dyDescent="0.25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VLOOKUP(J1318,DADOS!$A$3:$B$105,2,FALSE)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899999999999999" customHeight="1" x14ac:dyDescent="0.25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VLOOKUP(J1319,DADOS!$A$3:$B$105,2,FALSE)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899999999999999" customHeight="1" x14ac:dyDescent="0.25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VLOOKUP(J1320,DADOS!$A$3:$B$105,2,FALSE)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899999999999999" customHeight="1" x14ac:dyDescent="0.25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VLOOKUP(J1321,DADOS!$A$3:$B$105,2,FALSE)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899999999999999" customHeight="1" x14ac:dyDescent="0.25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VLOOKUP(J1322,DADOS!$A$3:$B$105,2,FALSE)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899999999999999" customHeight="1" x14ac:dyDescent="0.25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VLOOKUP(J1323,DADOS!$A$3:$B$105,2,FALSE)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899999999999999" customHeight="1" x14ac:dyDescent="0.25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VLOOKUP(J1324,DADOS!$A$3:$B$105,2,FALSE)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899999999999999" customHeight="1" x14ac:dyDescent="0.25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VLOOKUP(J1325,DADOS!$A$3:$B$105,2,FALSE)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899999999999999" customHeight="1" x14ac:dyDescent="0.25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VLOOKUP(J1326,DADOS!$A$3:$B$105,2,FALSE)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899999999999999" customHeight="1" x14ac:dyDescent="0.25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VLOOKUP(J1327,DADOS!$A$3:$B$105,2,FALSE)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899999999999999" customHeight="1" x14ac:dyDescent="0.25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VLOOKUP(J1328,DADOS!$A$3:$B$105,2,FALSE)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899999999999999" customHeight="1" x14ac:dyDescent="0.25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VLOOKUP(J1329,DADOS!$A$3:$B$105,2,FALSE)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899999999999999" customHeight="1" x14ac:dyDescent="0.25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VLOOKUP(J1330,DADOS!$A$3:$B$105,2,FALSE)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899999999999999" customHeight="1" x14ac:dyDescent="0.25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VLOOKUP(J1331,DADOS!$A$3:$B$105,2,FALSE)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899999999999999" customHeight="1" x14ac:dyDescent="0.25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VLOOKUP(J1332,DADOS!$A$3:$B$105,2,FALSE)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899999999999999" customHeight="1" x14ac:dyDescent="0.25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VLOOKUP(J1333,DADOS!$A$3:$B$105,2,FALSE)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899999999999999" customHeight="1" x14ac:dyDescent="0.25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VLOOKUP(J1334,DADOS!$A$3:$B$105,2,FALSE)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899999999999999" customHeight="1" x14ac:dyDescent="0.25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VLOOKUP(J1335,DADOS!$A$3:$B$105,2,FALSE)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899999999999999" customHeight="1" x14ac:dyDescent="0.25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VLOOKUP(J1336,DADOS!$A$3:$B$105,2,FALSE)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899999999999999" customHeight="1" x14ac:dyDescent="0.25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VLOOKUP(J1337,DADOS!$A$3:$B$105,2,FALSE)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899999999999999" customHeight="1" x14ac:dyDescent="0.25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VLOOKUP(J1338,DADOS!$A$3:$B$105,2,FALSE)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899999999999999" customHeight="1" x14ac:dyDescent="0.25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VLOOKUP(J1339,DADOS!$A$3:$B$105,2,FALSE)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899999999999999" customHeight="1" x14ac:dyDescent="0.25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VLOOKUP(J1340,DADOS!$A$3:$B$105,2,FALSE)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899999999999999" customHeight="1" x14ac:dyDescent="0.25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VLOOKUP(J1341,DADOS!$A$3:$B$105,2,FALSE)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899999999999999" customHeight="1" x14ac:dyDescent="0.25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VLOOKUP(J1342,DADOS!$A$3:$B$105,2,FALSE)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899999999999999" customHeight="1" x14ac:dyDescent="0.25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VLOOKUP(J1343,DADOS!$A$3:$B$105,2,FALSE)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899999999999999" customHeight="1" x14ac:dyDescent="0.25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VLOOKUP(J1344,DADOS!$A$3:$B$105,2,FALSE)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899999999999999" customHeight="1" x14ac:dyDescent="0.25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VLOOKUP(J1345,DADOS!$A$3:$B$105,2,FALSE)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899999999999999" customHeight="1" x14ac:dyDescent="0.25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VLOOKUP(J1346,DADOS!$A$3:$B$105,2,FALSE)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899999999999999" customHeight="1" x14ac:dyDescent="0.25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VLOOKUP(J1347,DADOS!$A$3:$B$105,2,FALSE)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899999999999999" customHeight="1" x14ac:dyDescent="0.25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VLOOKUP(J1348,DADOS!$A$3:$B$105,2,FALSE)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899999999999999" customHeight="1" x14ac:dyDescent="0.25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VLOOKUP(J1349,DADOS!$A$3:$B$105,2,FALSE)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899999999999999" customHeight="1" x14ac:dyDescent="0.25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VLOOKUP(J1350,DADOS!$A$3:$B$105,2,FALSE)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899999999999999" customHeight="1" x14ac:dyDescent="0.25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VLOOKUP(J1351,DADOS!$A$3:$B$105,2,FALSE)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899999999999999" customHeight="1" x14ac:dyDescent="0.25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VLOOKUP(J1352,DADOS!$A$3:$B$105,2,FALSE)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899999999999999" customHeight="1" x14ac:dyDescent="0.25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VLOOKUP(J1353,DADOS!$A$3:$B$105,2,FALSE)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899999999999999" customHeight="1" x14ac:dyDescent="0.25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VLOOKUP(J1354,DADOS!$A$3:$B$105,2,FALSE)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899999999999999" customHeight="1" x14ac:dyDescent="0.25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VLOOKUP(J1355,DADOS!$A$3:$B$105,2,FALSE)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899999999999999" customHeight="1" x14ac:dyDescent="0.25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VLOOKUP(J1356,DADOS!$A$3:$B$105,2,FALSE)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899999999999999" customHeight="1" x14ac:dyDescent="0.25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VLOOKUP(J1357,DADOS!$A$3:$B$105,2,FALSE)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899999999999999" customHeight="1" x14ac:dyDescent="0.25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VLOOKUP(J1358,DADOS!$A$3:$B$105,2,FALSE)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899999999999999" customHeight="1" x14ac:dyDescent="0.25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VLOOKUP(J1359,DADOS!$A$3:$B$105,2,FALSE)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899999999999999" customHeight="1" x14ac:dyDescent="0.25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VLOOKUP(J1360,DADOS!$A$3:$B$105,2,FALSE)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899999999999999" customHeight="1" x14ac:dyDescent="0.25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VLOOKUP(J1361,DADOS!$A$3:$B$105,2,FALSE)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899999999999999" customHeight="1" x14ac:dyDescent="0.25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VLOOKUP(J1362,DADOS!$A$3:$B$105,2,FALSE)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899999999999999" customHeight="1" x14ac:dyDescent="0.25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VLOOKUP(J1363,DADOS!$A$3:$B$105,2,FALSE)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899999999999999" customHeight="1" x14ac:dyDescent="0.25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VLOOKUP(J1364,DADOS!$A$3:$B$105,2,FALSE)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899999999999999" customHeight="1" x14ac:dyDescent="0.25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VLOOKUP(J1365,DADOS!$A$3:$B$105,2,FALSE)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899999999999999" customHeight="1" x14ac:dyDescent="0.25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VLOOKUP(J1366,DADOS!$A$3:$B$105,2,FALSE)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899999999999999" customHeight="1" x14ac:dyDescent="0.25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VLOOKUP(J1367,DADOS!$A$3:$B$105,2,FALSE)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899999999999999" customHeight="1" x14ac:dyDescent="0.25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VLOOKUP(J1368,DADOS!$A$3:$B$105,2,FALSE)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899999999999999" customHeight="1" x14ac:dyDescent="0.25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VLOOKUP(J1369,DADOS!$A$3:$B$105,2,FALSE)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899999999999999" customHeight="1" x14ac:dyDescent="0.25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VLOOKUP(J1370,DADOS!$A$3:$B$105,2,FALSE)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899999999999999" customHeight="1" x14ac:dyDescent="0.25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VLOOKUP(J1371,DADOS!$A$3:$B$105,2,FALSE)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899999999999999" customHeight="1" x14ac:dyDescent="0.25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VLOOKUP(J1372,DADOS!$A$3:$B$105,2,FALSE)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899999999999999" customHeight="1" x14ac:dyDescent="0.25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VLOOKUP(J1373,DADOS!$A$3:$B$105,2,FALSE)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899999999999999" customHeight="1" x14ac:dyDescent="0.25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VLOOKUP(J1374,DADOS!$A$3:$B$105,2,FALSE)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899999999999999" customHeight="1" x14ac:dyDescent="0.25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VLOOKUP(J1375,DADOS!$A$3:$B$105,2,FALSE)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899999999999999" customHeight="1" x14ac:dyDescent="0.25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VLOOKUP(J1376,DADOS!$A$3:$B$105,2,FALSE)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899999999999999" customHeight="1" x14ac:dyDescent="0.25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VLOOKUP(J1377,DADOS!$A$3:$B$105,2,FALSE)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899999999999999" customHeight="1" x14ac:dyDescent="0.25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VLOOKUP(J1378,DADOS!$A$3:$B$105,2,FALSE)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899999999999999" customHeight="1" x14ac:dyDescent="0.25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VLOOKUP(J1379,DADOS!$A$3:$B$105,2,FALSE)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899999999999999" customHeight="1" x14ac:dyDescent="0.25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VLOOKUP(J1380,DADOS!$A$3:$B$105,2,FALSE)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899999999999999" customHeight="1" x14ac:dyDescent="0.25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VLOOKUP(J1381,DADOS!$A$3:$B$105,2,FALSE)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899999999999999" customHeight="1" x14ac:dyDescent="0.25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VLOOKUP(J1382,DADOS!$A$3:$B$105,2,FALSE)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899999999999999" customHeight="1" x14ac:dyDescent="0.25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VLOOKUP(J1383,DADOS!$A$3:$B$105,2,FALSE)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899999999999999" customHeight="1" x14ac:dyDescent="0.25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VLOOKUP(J1384,DADOS!$A$3:$B$105,2,FALSE)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899999999999999" customHeight="1" x14ac:dyDescent="0.25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VLOOKUP(J1385,DADOS!$A$3:$B$105,2,FALSE)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899999999999999" customHeight="1" x14ac:dyDescent="0.25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VLOOKUP(J1386,DADOS!$A$3:$B$105,2,FALSE)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899999999999999" customHeight="1" x14ac:dyDescent="0.25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VLOOKUP(J1387,DADOS!$A$3:$B$105,2,FALSE)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899999999999999" customHeight="1" x14ac:dyDescent="0.25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VLOOKUP(J1388,DADOS!$A$3:$B$105,2,FALSE)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899999999999999" customHeight="1" x14ac:dyDescent="0.25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VLOOKUP(J1389,DADOS!$A$3:$B$105,2,FALSE)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899999999999999" customHeight="1" x14ac:dyDescent="0.25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VLOOKUP(J1390,DADOS!$A$3:$B$105,2,FALSE)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899999999999999" customHeight="1" x14ac:dyDescent="0.25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VLOOKUP(J1391,DADOS!$A$3:$B$105,2,FALSE)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899999999999999" customHeight="1" x14ac:dyDescent="0.25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VLOOKUP(J1392,DADOS!$A$3:$B$105,2,FALSE)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899999999999999" customHeight="1" x14ac:dyDescent="0.25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VLOOKUP(J1393,DADOS!$A$3:$B$105,2,FALSE)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899999999999999" customHeight="1" x14ac:dyDescent="0.25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VLOOKUP(J1394,DADOS!$A$3:$B$105,2,FALSE)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899999999999999" customHeight="1" x14ac:dyDescent="0.25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VLOOKUP(J1395,DADOS!$A$3:$B$105,2,FALSE)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899999999999999" customHeight="1" x14ac:dyDescent="0.25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VLOOKUP(J1396,DADOS!$A$3:$B$105,2,FALSE)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899999999999999" customHeight="1" x14ac:dyDescent="0.25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VLOOKUP(J1397,DADOS!$A$3:$B$105,2,FALSE)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899999999999999" customHeight="1" x14ac:dyDescent="0.25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VLOOKUP(J1398,DADOS!$A$3:$B$105,2,FALSE)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899999999999999" customHeight="1" x14ac:dyDescent="0.25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VLOOKUP(J1399,DADOS!$A$3:$B$105,2,FALSE)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899999999999999" customHeight="1" x14ac:dyDescent="0.25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VLOOKUP(J1400,DADOS!$A$3:$B$105,2,FALSE)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899999999999999" customHeight="1" x14ac:dyDescent="0.25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VLOOKUP(J1401,DADOS!$A$3:$B$105,2,FALSE)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899999999999999" customHeight="1" x14ac:dyDescent="0.25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VLOOKUP(J1402,DADOS!$A$3:$B$105,2,FALSE)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899999999999999" customHeight="1" x14ac:dyDescent="0.25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VLOOKUP(J1403,DADOS!$A$3:$B$105,2,FALSE)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899999999999999" customHeight="1" x14ac:dyDescent="0.25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VLOOKUP(J1404,DADOS!$A$3:$B$105,2,FALSE)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899999999999999" customHeight="1" x14ac:dyDescent="0.25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VLOOKUP(J1405,DADOS!$A$3:$B$105,2,FALSE)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899999999999999" customHeight="1" x14ac:dyDescent="0.25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VLOOKUP(J1406,DADOS!$A$3:$B$105,2,FALSE)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899999999999999" customHeight="1" x14ac:dyDescent="0.25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VLOOKUP(J1407,DADOS!$A$3:$B$105,2,FALSE)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899999999999999" customHeight="1" x14ac:dyDescent="0.25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VLOOKUP(J1408,DADOS!$A$3:$B$105,2,FALSE)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899999999999999" customHeight="1" x14ac:dyDescent="0.25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VLOOKUP(J1409,DADOS!$A$3:$B$105,2,FALSE)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899999999999999" customHeight="1" x14ac:dyDescent="0.25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VLOOKUP(J1410,DADOS!$A$3:$B$105,2,FALSE)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899999999999999" customHeight="1" x14ac:dyDescent="0.25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VLOOKUP(J1411,DADOS!$A$3:$B$105,2,FALSE)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899999999999999" customHeight="1" x14ac:dyDescent="0.25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VLOOKUP(J1412,DADOS!$A$3:$B$105,2,FALSE)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899999999999999" customHeight="1" x14ac:dyDescent="0.25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VLOOKUP(J1413,DADOS!$A$3:$B$105,2,FALSE)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899999999999999" customHeight="1" x14ac:dyDescent="0.25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VLOOKUP(J1414,DADOS!$A$3:$B$105,2,FALSE)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899999999999999" customHeight="1" x14ac:dyDescent="0.25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VLOOKUP(J1415,DADOS!$A$3:$B$105,2,FALSE)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899999999999999" customHeight="1" x14ac:dyDescent="0.25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VLOOKUP(J1416,DADOS!$A$3:$B$105,2,FALSE)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899999999999999" customHeight="1" x14ac:dyDescent="0.25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VLOOKUP(J1417,DADOS!$A$3:$B$105,2,FALSE)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899999999999999" customHeight="1" x14ac:dyDescent="0.25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VLOOKUP(J1418,DADOS!$A$3:$B$105,2,FALSE)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899999999999999" customHeight="1" x14ac:dyDescent="0.25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VLOOKUP(J1419,DADOS!$A$3:$B$105,2,FALSE)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899999999999999" customHeight="1" x14ac:dyDescent="0.25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VLOOKUP(J1420,DADOS!$A$3:$B$105,2,FALSE)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899999999999999" customHeight="1" x14ac:dyDescent="0.25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VLOOKUP(J1421,DADOS!$A$3:$B$105,2,FALSE)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899999999999999" customHeight="1" x14ac:dyDescent="0.25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VLOOKUP(J1422,DADOS!$A$3:$B$105,2,FALSE)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899999999999999" customHeight="1" x14ac:dyDescent="0.25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VLOOKUP(J1423,DADOS!$A$3:$B$105,2,FALSE)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899999999999999" customHeight="1" x14ac:dyDescent="0.25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VLOOKUP(J1424,DADOS!$A$3:$B$105,2,FALSE)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899999999999999" customHeight="1" x14ac:dyDescent="0.25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VLOOKUP(J1425,DADOS!$A$3:$B$105,2,FALSE)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899999999999999" customHeight="1" x14ac:dyDescent="0.25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VLOOKUP(J1426,DADOS!$A$3:$B$105,2,FALSE)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899999999999999" customHeight="1" x14ac:dyDescent="0.25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VLOOKUP(J1427,DADOS!$A$3:$B$105,2,FALSE)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899999999999999" customHeight="1" x14ac:dyDescent="0.25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VLOOKUP(J1428,DADOS!$A$3:$B$105,2,FALSE)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899999999999999" customHeight="1" x14ac:dyDescent="0.25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VLOOKUP(J1429,DADOS!$A$3:$B$105,2,FALSE)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899999999999999" customHeight="1" x14ac:dyDescent="0.25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VLOOKUP(J1430,DADOS!$A$3:$B$105,2,FALSE)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899999999999999" customHeight="1" x14ac:dyDescent="0.25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VLOOKUP(J1431,DADOS!$A$3:$B$105,2,FALSE)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899999999999999" customHeight="1" x14ac:dyDescent="0.25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VLOOKUP(J1432,DADOS!$A$3:$B$105,2,FALSE)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899999999999999" customHeight="1" x14ac:dyDescent="0.25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VLOOKUP(J1433,DADOS!$A$3:$B$105,2,FALSE)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899999999999999" customHeight="1" x14ac:dyDescent="0.25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VLOOKUP(J1434,DADOS!$A$3:$B$105,2,FALSE)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899999999999999" customHeight="1" x14ac:dyDescent="0.25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VLOOKUP(J1435,DADOS!$A$3:$B$105,2,FALSE)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899999999999999" customHeight="1" x14ac:dyDescent="0.25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VLOOKUP(J1436,DADOS!$A$3:$B$105,2,FALSE)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899999999999999" customHeight="1" x14ac:dyDescent="0.25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VLOOKUP(J1437,DADOS!$A$3:$B$105,2,FALSE)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899999999999999" customHeight="1" x14ac:dyDescent="0.25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VLOOKUP(J1438,DADOS!$A$3:$B$105,2,FALSE)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899999999999999" customHeight="1" x14ac:dyDescent="0.25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VLOOKUP(J1439,DADOS!$A$3:$B$105,2,FALSE)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899999999999999" customHeight="1" x14ac:dyDescent="0.25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VLOOKUP(J1440,DADOS!$A$3:$B$105,2,FALSE)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899999999999999" customHeight="1" x14ac:dyDescent="0.25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VLOOKUP(J1441,DADOS!$A$3:$B$105,2,FALSE)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899999999999999" customHeight="1" x14ac:dyDescent="0.25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VLOOKUP(J1442,DADOS!$A$3:$B$105,2,FALSE)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899999999999999" customHeight="1" x14ac:dyDescent="0.25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VLOOKUP(J1443,DADOS!$A$3:$B$105,2,FALSE)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899999999999999" customHeight="1" x14ac:dyDescent="0.25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VLOOKUP(J1444,DADOS!$A$3:$B$105,2,FALSE)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899999999999999" customHeight="1" x14ac:dyDescent="0.25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VLOOKUP(J1445,DADOS!$A$3:$B$105,2,FALSE)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899999999999999" customHeight="1" x14ac:dyDescent="0.25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VLOOKUP(J1446,DADOS!$A$3:$B$105,2,FALSE)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899999999999999" customHeight="1" x14ac:dyDescent="0.25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VLOOKUP(J1447,DADOS!$A$3:$B$105,2,FALSE)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899999999999999" customHeight="1" x14ac:dyDescent="0.25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VLOOKUP(J1448,DADOS!$A$3:$B$105,2,FALSE)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</sheetData>
  <autoFilter ref="A6:Z1448" xr:uid="{00000000-0001-0000-0000-000000000000}">
    <sortState xmlns:xlrd2="http://schemas.microsoft.com/office/spreadsheetml/2017/richdata2" ref="A7:Z1448">
      <sortCondition ref="A6:A1448"/>
    </sortState>
  </autoFilter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3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A405AA-9F08-4314-8777-B2F4DECD2D78}">
          <x14:formula1>
            <xm:f>DADOS!$D$2:$D$21</xm:f>
          </x14:formula1>
          <xm:sqref>I241:I242 I268:I526 I7:I237 I530:I563 I245:I264 I569:I1448</xm:sqref>
        </x14:dataValidation>
        <x14:dataValidation type="list" allowBlank="1" showInputMessage="1" showErrorMessage="1" xr:uid="{E08DB3B1-4230-4537-8746-E7E99FEBA501}">
          <x14:formula1>
            <xm:f>DADOS!$A$2:$A$105</xm:f>
          </x14:formula1>
          <xm:sqref>J241:J242 J268:J526 J7:J237 J530:J563 J245:J264 J569:J1448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5"/>
  <sheetViews>
    <sheetView topLeftCell="A16" workbookViewId="0">
      <selection activeCell="D34" sqref="D34"/>
    </sheetView>
  </sheetViews>
  <sheetFormatPr defaultRowHeight="15" x14ac:dyDescent="0.25"/>
  <cols>
    <col min="1" max="1" width="40.28515625" bestFit="1" customWidth="1"/>
    <col min="2" max="2" width="14.7109375" bestFit="1" customWidth="1"/>
    <col min="4" max="4" width="20.42578125" bestFit="1" customWidth="1"/>
  </cols>
  <sheetData>
    <row r="1" spans="1:4" x14ac:dyDescent="0.25">
      <c r="A1" s="71" t="s">
        <v>88</v>
      </c>
      <c r="B1" s="72"/>
      <c r="D1" s="20" t="s">
        <v>89</v>
      </c>
    </row>
    <row r="2" spans="1:4" x14ac:dyDescent="0.25">
      <c r="A2" s="16" t="s">
        <v>14</v>
      </c>
      <c r="B2" s="16" t="s">
        <v>14</v>
      </c>
      <c r="D2" s="16" t="s">
        <v>14</v>
      </c>
    </row>
    <row r="3" spans="1:4" x14ac:dyDescent="0.25">
      <c r="A3" s="19" t="s">
        <v>176</v>
      </c>
      <c r="B3" s="19" t="s">
        <v>110</v>
      </c>
      <c r="D3" s="19" t="s">
        <v>90</v>
      </c>
    </row>
    <row r="4" spans="1:4" x14ac:dyDescent="0.25">
      <c r="A4" s="19" t="s">
        <v>246</v>
      </c>
      <c r="B4" s="19" t="s">
        <v>133</v>
      </c>
      <c r="D4" s="19" t="s">
        <v>91</v>
      </c>
    </row>
    <row r="5" spans="1:4" x14ac:dyDescent="0.25">
      <c r="A5" s="19" t="s">
        <v>179</v>
      </c>
      <c r="B5" s="19" t="s">
        <v>41</v>
      </c>
      <c r="D5" s="19" t="s">
        <v>92</v>
      </c>
    </row>
    <row r="6" spans="1:4" x14ac:dyDescent="0.25">
      <c r="A6" s="19" t="s">
        <v>181</v>
      </c>
      <c r="B6" s="19" t="s">
        <v>114</v>
      </c>
      <c r="D6" s="19" t="s">
        <v>93</v>
      </c>
    </row>
    <row r="7" spans="1:4" x14ac:dyDescent="0.25">
      <c r="A7" s="19" t="s">
        <v>173</v>
      </c>
      <c r="B7" s="19" t="s">
        <v>107</v>
      </c>
      <c r="D7" s="19" t="s">
        <v>66</v>
      </c>
    </row>
    <row r="8" spans="1:4" x14ac:dyDescent="0.25">
      <c r="A8" s="19" t="s">
        <v>175</v>
      </c>
      <c r="B8" s="19" t="s">
        <v>109</v>
      </c>
      <c r="D8" s="19" t="s">
        <v>68</v>
      </c>
    </row>
    <row r="9" spans="1:4" x14ac:dyDescent="0.25">
      <c r="A9" s="19" t="s">
        <v>180</v>
      </c>
      <c r="B9" s="19" t="s">
        <v>112</v>
      </c>
      <c r="D9" s="19" t="s">
        <v>67</v>
      </c>
    </row>
    <row r="10" spans="1:4" x14ac:dyDescent="0.25">
      <c r="A10" s="19" t="s">
        <v>205</v>
      </c>
      <c r="B10" s="19" t="s">
        <v>134</v>
      </c>
      <c r="D10" s="19" t="s">
        <v>73</v>
      </c>
    </row>
    <row r="11" spans="1:4" x14ac:dyDescent="0.25">
      <c r="A11" s="19" t="s">
        <v>199</v>
      </c>
      <c r="B11" s="19" t="s">
        <v>127</v>
      </c>
      <c r="D11" s="19" t="s">
        <v>94</v>
      </c>
    </row>
    <row r="12" spans="1:4" x14ac:dyDescent="0.25">
      <c r="A12" s="19" t="s">
        <v>174</v>
      </c>
      <c r="B12" s="19" t="s">
        <v>108</v>
      </c>
      <c r="D12" s="19" t="s">
        <v>72</v>
      </c>
    </row>
    <row r="13" spans="1:4" x14ac:dyDescent="0.25">
      <c r="A13" s="19" t="s">
        <v>182</v>
      </c>
      <c r="B13" s="19" t="s">
        <v>115</v>
      </c>
      <c r="D13" s="19" t="s">
        <v>69</v>
      </c>
    </row>
    <row r="14" spans="1:4" x14ac:dyDescent="0.25">
      <c r="A14" s="19" t="s">
        <v>189</v>
      </c>
      <c r="B14" s="19" t="s">
        <v>120</v>
      </c>
      <c r="D14" s="19" t="s">
        <v>95</v>
      </c>
    </row>
    <row r="15" spans="1:4" x14ac:dyDescent="0.25">
      <c r="A15" s="19" t="s">
        <v>191</v>
      </c>
      <c r="B15" s="19" t="s">
        <v>121</v>
      </c>
      <c r="D15" s="19" t="s">
        <v>65</v>
      </c>
    </row>
    <row r="16" spans="1:4" x14ac:dyDescent="0.25">
      <c r="A16" s="19" t="s">
        <v>200</v>
      </c>
      <c r="B16" s="19" t="s">
        <v>128</v>
      </c>
      <c r="D16" s="19" t="s">
        <v>96</v>
      </c>
    </row>
    <row r="17" spans="1:4" x14ac:dyDescent="0.25">
      <c r="A17" s="19" t="s">
        <v>211</v>
      </c>
      <c r="B17" s="19" t="s">
        <v>141</v>
      </c>
      <c r="D17" s="19" t="s">
        <v>71</v>
      </c>
    </row>
    <row r="18" spans="1:4" x14ac:dyDescent="0.25">
      <c r="A18" s="19" t="s">
        <v>194</v>
      </c>
      <c r="B18" s="19" t="s">
        <v>40</v>
      </c>
      <c r="D18" s="19" t="s">
        <v>74</v>
      </c>
    </row>
    <row r="19" spans="1:4" x14ac:dyDescent="0.25">
      <c r="A19" s="19" t="s">
        <v>212</v>
      </c>
      <c r="B19" s="19" t="s">
        <v>142</v>
      </c>
      <c r="D19" s="19" t="s">
        <v>97</v>
      </c>
    </row>
    <row r="20" spans="1:4" x14ac:dyDescent="0.25">
      <c r="A20" s="19" t="s">
        <v>188</v>
      </c>
      <c r="B20" s="19" t="s">
        <v>37</v>
      </c>
      <c r="D20" s="19" t="s">
        <v>64</v>
      </c>
    </row>
    <row r="21" spans="1:4" x14ac:dyDescent="0.25">
      <c r="A21" s="19" t="s">
        <v>190</v>
      </c>
      <c r="B21" s="19" t="s">
        <v>38</v>
      </c>
      <c r="D21" s="19" t="s">
        <v>70</v>
      </c>
    </row>
    <row r="22" spans="1:4" x14ac:dyDescent="0.25">
      <c r="A22" s="19" t="s">
        <v>240</v>
      </c>
      <c r="B22" s="19" t="s">
        <v>49</v>
      </c>
    </row>
    <row r="23" spans="1:4" x14ac:dyDescent="0.25">
      <c r="A23" s="19" t="s">
        <v>238</v>
      </c>
      <c r="B23" s="19" t="s">
        <v>44</v>
      </c>
    </row>
    <row r="24" spans="1:4" x14ac:dyDescent="0.25">
      <c r="A24" s="19" t="s">
        <v>227</v>
      </c>
      <c r="B24" s="19" t="s">
        <v>157</v>
      </c>
    </row>
    <row r="25" spans="1:4" x14ac:dyDescent="0.25">
      <c r="A25" s="19" t="s">
        <v>22</v>
      </c>
      <c r="B25" s="19" t="s">
        <v>35</v>
      </c>
    </row>
    <row r="26" spans="1:4" x14ac:dyDescent="0.25">
      <c r="A26" s="19" t="s">
        <v>185</v>
      </c>
      <c r="B26" s="19" t="s">
        <v>36</v>
      </c>
    </row>
    <row r="27" spans="1:4" x14ac:dyDescent="0.25">
      <c r="A27" s="19" t="s">
        <v>210</v>
      </c>
      <c r="B27" s="19" t="s">
        <v>139</v>
      </c>
    </row>
    <row r="28" spans="1:4" x14ac:dyDescent="0.25">
      <c r="A28" s="19" t="s">
        <v>172</v>
      </c>
      <c r="B28" s="19" t="s">
        <v>106</v>
      </c>
    </row>
    <row r="29" spans="1:4" x14ac:dyDescent="0.25">
      <c r="A29" s="19" t="s">
        <v>178</v>
      </c>
      <c r="B29" s="19" t="s">
        <v>111</v>
      </c>
    </row>
    <row r="30" spans="1:4" x14ac:dyDescent="0.25">
      <c r="A30" s="19" t="s">
        <v>177</v>
      </c>
      <c r="B30" s="19" t="s">
        <v>63</v>
      </c>
    </row>
    <row r="31" spans="1:4" x14ac:dyDescent="0.25">
      <c r="A31" s="19" t="s">
        <v>219</v>
      </c>
      <c r="B31" s="19" t="s">
        <v>149</v>
      </c>
    </row>
    <row r="32" spans="1:4" x14ac:dyDescent="0.25">
      <c r="A32" s="19" t="s">
        <v>16</v>
      </c>
      <c r="B32" s="19" t="s">
        <v>33</v>
      </c>
    </row>
    <row r="33" spans="1:2" x14ac:dyDescent="0.25">
      <c r="A33" s="19" t="s">
        <v>15</v>
      </c>
      <c r="B33" s="19" t="s">
        <v>32</v>
      </c>
    </row>
    <row r="34" spans="1:2" x14ac:dyDescent="0.25">
      <c r="A34" s="19" t="s">
        <v>214</v>
      </c>
      <c r="B34" s="19" t="s">
        <v>144</v>
      </c>
    </row>
    <row r="35" spans="1:2" x14ac:dyDescent="0.25">
      <c r="A35" s="19" t="s">
        <v>216</v>
      </c>
      <c r="B35" s="19" t="s">
        <v>146</v>
      </c>
    </row>
    <row r="36" spans="1:2" x14ac:dyDescent="0.25">
      <c r="A36" s="19" t="s">
        <v>213</v>
      </c>
      <c r="B36" s="19" t="s">
        <v>143</v>
      </c>
    </row>
    <row r="37" spans="1:2" x14ac:dyDescent="0.25">
      <c r="A37" s="19" t="s">
        <v>258</v>
      </c>
      <c r="B37" s="19" t="s">
        <v>261</v>
      </c>
    </row>
    <row r="38" spans="1:2" x14ac:dyDescent="0.25">
      <c r="A38" s="19" t="s">
        <v>259</v>
      </c>
      <c r="B38" s="19" t="s">
        <v>260</v>
      </c>
    </row>
    <row r="39" spans="1:2" x14ac:dyDescent="0.25">
      <c r="A39" s="19" t="s">
        <v>255</v>
      </c>
      <c r="B39" s="19" t="s">
        <v>257</v>
      </c>
    </row>
    <row r="40" spans="1:2" x14ac:dyDescent="0.25">
      <c r="A40" s="19" t="s">
        <v>254</v>
      </c>
      <c r="B40" s="19" t="s">
        <v>256</v>
      </c>
    </row>
    <row r="41" spans="1:2" x14ac:dyDescent="0.25">
      <c r="A41" s="19" t="s">
        <v>220</v>
      </c>
      <c r="B41" s="19" t="s">
        <v>150</v>
      </c>
    </row>
    <row r="42" spans="1:2" x14ac:dyDescent="0.25">
      <c r="A42" s="19" t="s">
        <v>221</v>
      </c>
      <c r="B42" s="19" t="s">
        <v>151</v>
      </c>
    </row>
    <row r="43" spans="1:2" x14ac:dyDescent="0.25">
      <c r="A43" s="19" t="s">
        <v>26</v>
      </c>
      <c r="B43" s="19" t="s">
        <v>47</v>
      </c>
    </row>
    <row r="44" spans="1:2" x14ac:dyDescent="0.25">
      <c r="A44" s="19" t="s">
        <v>23</v>
      </c>
      <c r="B44" s="19" t="s">
        <v>39</v>
      </c>
    </row>
    <row r="45" spans="1:2" x14ac:dyDescent="0.25">
      <c r="A45" s="19" t="s">
        <v>226</v>
      </c>
      <c r="B45" s="19" t="s">
        <v>156</v>
      </c>
    </row>
    <row r="46" spans="1:2" x14ac:dyDescent="0.25">
      <c r="A46" s="19" t="s">
        <v>253</v>
      </c>
      <c r="B46" s="19" t="s">
        <v>252</v>
      </c>
    </row>
    <row r="47" spans="1:2" x14ac:dyDescent="0.25">
      <c r="A47" s="19" t="s">
        <v>21</v>
      </c>
      <c r="B47" s="19" t="s">
        <v>59</v>
      </c>
    </row>
    <row r="48" spans="1:2" x14ac:dyDescent="0.25">
      <c r="A48" s="19" t="s">
        <v>19</v>
      </c>
      <c r="B48" s="19" t="s">
        <v>54</v>
      </c>
    </row>
    <row r="49" spans="1:2" x14ac:dyDescent="0.25">
      <c r="A49" s="19" t="s">
        <v>234</v>
      </c>
      <c r="B49" s="19" t="s">
        <v>57</v>
      </c>
    </row>
    <row r="50" spans="1:2" x14ac:dyDescent="0.25">
      <c r="A50" s="19" t="s">
        <v>27</v>
      </c>
      <c r="B50" s="19" t="s">
        <v>56</v>
      </c>
    </row>
    <row r="51" spans="1:2" x14ac:dyDescent="0.25">
      <c r="A51" s="19" t="s">
        <v>241</v>
      </c>
      <c r="B51" s="19" t="s">
        <v>55</v>
      </c>
    </row>
    <row r="52" spans="1:2" x14ac:dyDescent="0.25">
      <c r="A52" s="19" t="s">
        <v>203</v>
      </c>
      <c r="B52" s="19" t="s">
        <v>131</v>
      </c>
    </row>
    <row r="53" spans="1:2" x14ac:dyDescent="0.25">
      <c r="A53" s="19" t="s">
        <v>183</v>
      </c>
      <c r="B53" s="19" t="s">
        <v>116</v>
      </c>
    </row>
    <row r="54" spans="1:2" x14ac:dyDescent="0.25">
      <c r="A54" s="19" t="s">
        <v>187</v>
      </c>
      <c r="B54" s="19" t="s">
        <v>119</v>
      </c>
    </row>
    <row r="55" spans="1:2" x14ac:dyDescent="0.25">
      <c r="A55" s="19" t="s">
        <v>186</v>
      </c>
      <c r="B55" s="19" t="s">
        <v>31</v>
      </c>
    </row>
    <row r="56" spans="1:2" x14ac:dyDescent="0.25">
      <c r="A56" s="19" t="s">
        <v>225</v>
      </c>
      <c r="B56" s="19" t="s">
        <v>155</v>
      </c>
    </row>
    <row r="57" spans="1:2" x14ac:dyDescent="0.25">
      <c r="A57" s="19" t="s">
        <v>20</v>
      </c>
      <c r="B57" s="19" t="s">
        <v>58</v>
      </c>
    </row>
    <row r="58" spans="1:2" x14ac:dyDescent="0.25">
      <c r="A58" s="19" t="s">
        <v>243</v>
      </c>
      <c r="B58" s="19" t="s">
        <v>170</v>
      </c>
    </row>
    <row r="59" spans="1:2" x14ac:dyDescent="0.25">
      <c r="A59" s="19" t="s">
        <v>250</v>
      </c>
      <c r="B59" s="19" t="s">
        <v>117</v>
      </c>
    </row>
    <row r="60" spans="1:2" x14ac:dyDescent="0.25">
      <c r="A60" s="19" t="s">
        <v>207</v>
      </c>
      <c r="B60" s="19" t="s">
        <v>136</v>
      </c>
    </row>
    <row r="61" spans="1:2" x14ac:dyDescent="0.25">
      <c r="A61" s="19" t="s">
        <v>251</v>
      </c>
      <c r="B61" s="19" t="s">
        <v>118</v>
      </c>
    </row>
    <row r="62" spans="1:2" x14ac:dyDescent="0.25">
      <c r="A62" s="19" t="s">
        <v>201</v>
      </c>
      <c r="B62" s="19" t="s">
        <v>129</v>
      </c>
    </row>
    <row r="63" spans="1:2" x14ac:dyDescent="0.25">
      <c r="A63" s="19" t="s">
        <v>202</v>
      </c>
      <c r="B63" s="19" t="s">
        <v>130</v>
      </c>
    </row>
    <row r="64" spans="1:2" x14ac:dyDescent="0.25">
      <c r="A64" s="19" t="s">
        <v>233</v>
      </c>
      <c r="B64" s="19" t="s">
        <v>43</v>
      </c>
    </row>
    <row r="65" spans="1:2" x14ac:dyDescent="0.25">
      <c r="A65" s="19" t="s">
        <v>28</v>
      </c>
      <c r="B65" s="19" t="s">
        <v>45</v>
      </c>
    </row>
    <row r="66" spans="1:2" x14ac:dyDescent="0.25">
      <c r="A66" s="19" t="s">
        <v>236</v>
      </c>
      <c r="B66" s="19" t="s">
        <v>46</v>
      </c>
    </row>
    <row r="67" spans="1:2" x14ac:dyDescent="0.25">
      <c r="A67" s="19" t="s">
        <v>239</v>
      </c>
      <c r="B67" s="19" t="s">
        <v>168</v>
      </c>
    </row>
    <row r="68" spans="1:2" x14ac:dyDescent="0.25">
      <c r="A68" s="19" t="s">
        <v>25</v>
      </c>
      <c r="B68" s="19" t="s">
        <v>50</v>
      </c>
    </row>
    <row r="69" spans="1:2" x14ac:dyDescent="0.25">
      <c r="A69" s="19" t="s">
        <v>30</v>
      </c>
      <c r="B69" s="19" t="s">
        <v>51</v>
      </c>
    </row>
    <row r="70" spans="1:2" x14ac:dyDescent="0.25">
      <c r="A70" s="19" t="s">
        <v>223</v>
      </c>
      <c r="B70" s="19" t="s">
        <v>153</v>
      </c>
    </row>
    <row r="71" spans="1:2" x14ac:dyDescent="0.25">
      <c r="A71" s="19" t="s">
        <v>247</v>
      </c>
      <c r="B71" s="19" t="s">
        <v>162</v>
      </c>
    </row>
    <row r="72" spans="1:2" x14ac:dyDescent="0.25">
      <c r="A72" s="19" t="s">
        <v>222</v>
      </c>
      <c r="B72" s="19" t="s">
        <v>154</v>
      </c>
    </row>
    <row r="73" spans="1:2" x14ac:dyDescent="0.25">
      <c r="A73" s="19" t="s">
        <v>229</v>
      </c>
      <c r="B73" s="19" t="s">
        <v>164</v>
      </c>
    </row>
    <row r="74" spans="1:2" x14ac:dyDescent="0.25">
      <c r="A74" s="19" t="s">
        <v>248</v>
      </c>
      <c r="B74" s="19" t="s">
        <v>159</v>
      </c>
    </row>
    <row r="75" spans="1:2" x14ac:dyDescent="0.25">
      <c r="A75" s="19" t="s">
        <v>249</v>
      </c>
      <c r="B75" s="19" t="s">
        <v>158</v>
      </c>
    </row>
    <row r="76" spans="1:2" x14ac:dyDescent="0.25">
      <c r="A76" s="19" t="s">
        <v>228</v>
      </c>
      <c r="B76" s="19" t="s">
        <v>160</v>
      </c>
    </row>
    <row r="77" spans="1:2" x14ac:dyDescent="0.25">
      <c r="A77" s="19" t="s">
        <v>224</v>
      </c>
      <c r="B77" s="19" t="s">
        <v>152</v>
      </c>
    </row>
    <row r="78" spans="1:2" x14ac:dyDescent="0.25">
      <c r="A78" s="19" t="s">
        <v>245</v>
      </c>
      <c r="B78" s="19" t="s">
        <v>163</v>
      </c>
    </row>
    <row r="79" spans="1:2" x14ac:dyDescent="0.25">
      <c r="A79" s="19" t="s">
        <v>29</v>
      </c>
      <c r="B79" s="19" t="s">
        <v>48</v>
      </c>
    </row>
    <row r="80" spans="1:2" x14ac:dyDescent="0.25">
      <c r="A80" s="19" t="s">
        <v>24</v>
      </c>
      <c r="B80" s="19" t="s">
        <v>138</v>
      </c>
    </row>
    <row r="81" spans="1:2" x14ac:dyDescent="0.25">
      <c r="A81" s="19" t="s">
        <v>24</v>
      </c>
      <c r="B81" s="19" t="s">
        <v>169</v>
      </c>
    </row>
    <row r="82" spans="1:2" x14ac:dyDescent="0.25">
      <c r="A82" s="19" t="s">
        <v>184</v>
      </c>
      <c r="B82" s="19" t="s">
        <v>62</v>
      </c>
    </row>
    <row r="83" spans="1:2" x14ac:dyDescent="0.25">
      <c r="A83" s="19" t="s">
        <v>218</v>
      </c>
      <c r="B83" s="19" t="s">
        <v>148</v>
      </c>
    </row>
    <row r="84" spans="1:2" x14ac:dyDescent="0.25">
      <c r="A84" s="19" t="s">
        <v>204</v>
      </c>
      <c r="B84" s="19" t="s">
        <v>132</v>
      </c>
    </row>
    <row r="85" spans="1:2" x14ac:dyDescent="0.25">
      <c r="A85" s="19" t="s">
        <v>206</v>
      </c>
      <c r="B85" s="19" t="s">
        <v>135</v>
      </c>
    </row>
    <row r="86" spans="1:2" x14ac:dyDescent="0.25">
      <c r="A86" s="19" t="s">
        <v>197</v>
      </c>
      <c r="B86" s="19" t="s">
        <v>113</v>
      </c>
    </row>
    <row r="87" spans="1:2" x14ac:dyDescent="0.25">
      <c r="A87" s="19" t="s">
        <v>196</v>
      </c>
      <c r="B87" s="19" t="s">
        <v>125</v>
      </c>
    </row>
    <row r="88" spans="1:2" x14ac:dyDescent="0.25">
      <c r="A88" s="19" t="s">
        <v>198</v>
      </c>
      <c r="B88" s="19" t="s">
        <v>126</v>
      </c>
    </row>
    <row r="89" spans="1:2" x14ac:dyDescent="0.25">
      <c r="A89" s="19" t="s">
        <v>192</v>
      </c>
      <c r="B89" s="19" t="s">
        <v>122</v>
      </c>
    </row>
    <row r="90" spans="1:2" x14ac:dyDescent="0.25">
      <c r="A90" s="19" t="s">
        <v>195</v>
      </c>
      <c r="B90" s="19" t="s">
        <v>124</v>
      </c>
    </row>
    <row r="91" spans="1:2" x14ac:dyDescent="0.25">
      <c r="A91" s="19" t="s">
        <v>208</v>
      </c>
      <c r="B91" s="19" t="s">
        <v>137</v>
      </c>
    </row>
    <row r="92" spans="1:2" x14ac:dyDescent="0.25">
      <c r="A92" s="19" t="s">
        <v>193</v>
      </c>
      <c r="B92" s="19" t="s">
        <v>123</v>
      </c>
    </row>
    <row r="93" spans="1:2" x14ac:dyDescent="0.25">
      <c r="A93" s="19" t="s">
        <v>60</v>
      </c>
      <c r="B93" s="19" t="s">
        <v>61</v>
      </c>
    </row>
    <row r="94" spans="1:2" x14ac:dyDescent="0.25">
      <c r="A94" s="19" t="s">
        <v>244</v>
      </c>
      <c r="B94" s="19" t="s">
        <v>171</v>
      </c>
    </row>
    <row r="95" spans="1:2" x14ac:dyDescent="0.25">
      <c r="A95" s="19" t="s">
        <v>242</v>
      </c>
      <c r="B95" s="19" t="s">
        <v>53</v>
      </c>
    </row>
    <row r="96" spans="1:2" x14ac:dyDescent="0.25">
      <c r="A96" s="19" t="s">
        <v>237</v>
      </c>
      <c r="B96" s="19" t="s">
        <v>52</v>
      </c>
    </row>
    <row r="97" spans="1:2" x14ac:dyDescent="0.25">
      <c r="A97" s="19" t="s">
        <v>230</v>
      </c>
      <c r="B97" s="19" t="s">
        <v>165</v>
      </c>
    </row>
    <row r="98" spans="1:2" x14ac:dyDescent="0.25">
      <c r="A98" s="19" t="s">
        <v>231</v>
      </c>
      <c r="B98" s="19" t="s">
        <v>166</v>
      </c>
    </row>
    <row r="99" spans="1:2" x14ac:dyDescent="0.25">
      <c r="A99" s="19" t="s">
        <v>232</v>
      </c>
      <c r="B99" s="19" t="s">
        <v>167</v>
      </c>
    </row>
    <row r="100" spans="1:2" x14ac:dyDescent="0.25">
      <c r="A100" s="19" t="s">
        <v>18</v>
      </c>
      <c r="B100" s="19" t="s">
        <v>161</v>
      </c>
    </row>
    <row r="101" spans="1:2" x14ac:dyDescent="0.25">
      <c r="A101" s="19" t="s">
        <v>235</v>
      </c>
      <c r="B101" s="19" t="s">
        <v>42</v>
      </c>
    </row>
    <row r="102" spans="1:2" x14ac:dyDescent="0.25">
      <c r="A102" s="19" t="s">
        <v>17</v>
      </c>
      <c r="B102" s="19" t="s">
        <v>34</v>
      </c>
    </row>
    <row r="103" spans="1:2" x14ac:dyDescent="0.25">
      <c r="A103" s="19" t="s">
        <v>215</v>
      </c>
      <c r="B103" s="19" t="s">
        <v>145</v>
      </c>
    </row>
    <row r="104" spans="1:2" x14ac:dyDescent="0.25">
      <c r="A104" s="19" t="s">
        <v>217</v>
      </c>
      <c r="B104" s="19" t="s">
        <v>147</v>
      </c>
    </row>
    <row r="105" spans="1:2" x14ac:dyDescent="0.25">
      <c r="A105" s="19" t="s">
        <v>209</v>
      </c>
      <c r="B105" s="19" t="s">
        <v>140</v>
      </c>
    </row>
  </sheetData>
  <sortState xmlns:xlrd2="http://schemas.microsoft.com/office/spreadsheetml/2017/richdata2" ref="A2:B105">
    <sortCondition ref="A3:A105"/>
  </sortState>
  <mergeCells count="1">
    <mergeCell ref="A1:B1"/>
  </mergeCells>
  <phoneticPr fontId="1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Jéssica Alves da Silva</cp:lastModifiedBy>
  <cp:lastPrinted>2025-10-07T17:50:20Z</cp:lastPrinted>
  <dcterms:created xsi:type="dcterms:W3CDTF">2014-01-07T16:56:27Z</dcterms:created>
  <dcterms:modified xsi:type="dcterms:W3CDTF">2026-05-14T17:19:35Z</dcterms:modified>
</cp:coreProperties>
</file>