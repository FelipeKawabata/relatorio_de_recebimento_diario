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2CF4D802-3FF6-43F2-9EFA-DA5F732B06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'FORM-PR-051'!$A$6:$AB$1467</definedName>
    <definedName name="_xlnm.Print_Area" localSheetId="0">'FORM-PR-051'!$A$1:$Z$6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61" i="1" l="1"/>
  <c r="K546" i="1"/>
  <c r="K421" i="1"/>
  <c r="K418" i="1"/>
  <c r="K67" i="1"/>
  <c r="K66" i="1"/>
  <c r="K65" i="1"/>
  <c r="K64" i="1"/>
  <c r="K344" i="1"/>
  <c r="K345" i="1"/>
  <c r="K346" i="1"/>
  <c r="K124" i="1"/>
  <c r="K360" i="1"/>
  <c r="K359" i="1"/>
  <c r="K319" i="1"/>
  <c r="K318" i="1"/>
  <c r="K82" i="1"/>
  <c r="K500" i="1" l="1"/>
  <c r="K501" i="1"/>
  <c r="K497" i="1"/>
  <c r="K498" i="1"/>
  <c r="K499" i="1"/>
  <c r="K495" i="1"/>
  <c r="K496" i="1"/>
  <c r="K492" i="1" l="1"/>
  <c r="K493" i="1"/>
  <c r="K494" i="1"/>
  <c r="K490" i="1"/>
  <c r="K491" i="1"/>
  <c r="K489" i="1"/>
  <c r="K487" i="1"/>
  <c r="K488" i="1"/>
  <c r="K259" i="1"/>
  <c r="K358" i="1"/>
  <c r="K123" i="1"/>
  <c r="K378" i="1"/>
  <c r="K379" i="1"/>
  <c r="K532" i="1"/>
  <c r="K466" i="1"/>
  <c r="K465" i="1"/>
  <c r="K467" i="1"/>
  <c r="K468" i="1"/>
  <c r="K450" i="1"/>
  <c r="K80" i="1"/>
  <c r="K258" i="1"/>
  <c r="K485" i="1"/>
  <c r="K486" i="1"/>
  <c r="K166" i="1"/>
  <c r="K165" i="1"/>
  <c r="K164" i="1"/>
  <c r="K161" i="1"/>
  <c r="K162" i="1"/>
  <c r="K163" i="1"/>
  <c r="K484" i="1"/>
  <c r="K483" i="1"/>
  <c r="K160" i="1"/>
  <c r="K159" i="1"/>
  <c r="K158" i="1"/>
  <c r="K420" i="1"/>
  <c r="K419" i="1"/>
  <c r="K451" i="1"/>
  <c r="K453" i="1"/>
  <c r="K454" i="1"/>
  <c r="K452" i="1"/>
  <c r="K404" i="1"/>
  <c r="K531" i="1"/>
  <c r="K440" i="1"/>
  <c r="K441" i="1"/>
  <c r="K459" i="1"/>
  <c r="K522" i="1"/>
  <c r="K523" i="1"/>
  <c r="K524" i="1"/>
  <c r="K384" i="1"/>
  <c r="K385" i="1"/>
  <c r="K290" i="1"/>
  <c r="K291" i="1"/>
  <c r="K280" i="1"/>
  <c r="K281" i="1"/>
  <c r="K282" i="1"/>
  <c r="K283" i="1"/>
  <c r="K284" i="1"/>
  <c r="K285" i="1"/>
  <c r="K286" i="1"/>
  <c r="K287" i="1"/>
  <c r="K288" i="1"/>
  <c r="K289" i="1"/>
  <c r="K472" i="1"/>
  <c r="K473" i="1"/>
  <c r="K474" i="1"/>
  <c r="K475" i="1"/>
  <c r="K476" i="1"/>
  <c r="K471" i="1"/>
  <c r="K470" i="1"/>
  <c r="K469" i="1"/>
  <c r="K464" i="1"/>
  <c r="K463" i="1"/>
  <c r="K462" i="1"/>
  <c r="K461" i="1"/>
  <c r="K477" i="1"/>
  <c r="K478" i="1"/>
  <c r="K479" i="1"/>
  <c r="K480" i="1"/>
  <c r="K481" i="1"/>
  <c r="K482" i="1"/>
  <c r="K506" i="1" l="1"/>
  <c r="K507" i="1"/>
  <c r="K504" i="1"/>
  <c r="K503" i="1"/>
  <c r="K512" i="1"/>
  <c r="K356" i="1"/>
  <c r="K355" i="1"/>
  <c r="K505" i="1"/>
  <c r="K513" i="1"/>
  <c r="K517" i="1"/>
  <c r="K516" i="1"/>
  <c r="K515" i="1"/>
  <c r="K533" i="1"/>
  <c r="K518" i="1"/>
  <c r="K514" i="1"/>
  <c r="K520" i="1"/>
  <c r="K458" i="1"/>
  <c r="K511" i="1" l="1"/>
  <c r="K510" i="1"/>
  <c r="K519" i="1" l="1"/>
  <c r="K509" i="1"/>
  <c r="K508" i="1"/>
  <c r="K410" i="1"/>
  <c r="K530" i="1"/>
  <c r="K528" i="1"/>
  <c r="K529" i="1"/>
  <c r="K381" i="1"/>
  <c r="K382" i="1"/>
  <c r="K383" i="1"/>
  <c r="K538" i="1"/>
  <c r="K539" i="1"/>
  <c r="K540" i="1"/>
  <c r="K541" i="1"/>
  <c r="K537" i="1"/>
  <c r="K534" i="1"/>
  <c r="K535" i="1"/>
  <c r="K536" i="1"/>
  <c r="K502" i="1"/>
  <c r="K409" i="1"/>
  <c r="K408" i="1"/>
  <c r="K295" i="1"/>
  <c r="K294" i="1"/>
  <c r="K460" i="1" l="1"/>
  <c r="K114" i="1"/>
  <c r="K405" i="1"/>
  <c r="K390" i="1"/>
  <c r="K347" i="1"/>
  <c r="K343" i="1"/>
  <c r="K342" i="1"/>
  <c r="K328" i="1"/>
  <c r="K329" i="1"/>
  <c r="K27" i="1"/>
  <c r="K19" i="1"/>
  <c r="K293" i="1"/>
  <c r="K18" i="1"/>
  <c r="K380" i="1"/>
  <c r="K387" i="1"/>
  <c r="K350" i="1"/>
  <c r="K363" i="1"/>
  <c r="K111" i="1"/>
  <c r="K110" i="1"/>
  <c r="K113" i="1"/>
  <c r="K115" i="1"/>
  <c r="K112" i="1"/>
  <c r="K116" i="1"/>
  <c r="K117" i="1"/>
  <c r="K308" i="1"/>
  <c r="K300" i="1"/>
  <c r="K336" i="1"/>
  <c r="K314" i="1"/>
  <c r="K315" i="1"/>
  <c r="K149" i="1"/>
  <c r="K239" i="1" l="1"/>
  <c r="K279" i="1"/>
  <c r="K148" i="1"/>
  <c r="K299" i="1"/>
  <c r="K301" i="1"/>
  <c r="K302" i="1"/>
  <c r="K211" i="1"/>
  <c r="K210" i="1"/>
  <c r="K209" i="1"/>
  <c r="K208" i="1" l="1"/>
  <c r="K306" i="1"/>
  <c r="K241" i="1"/>
  <c r="K242" i="1"/>
  <c r="K243" i="1"/>
  <c r="K244" i="1"/>
  <c r="K245" i="1"/>
  <c r="K246" i="1"/>
  <c r="K43" i="1"/>
  <c r="K44" i="1"/>
  <c r="K45" i="1"/>
  <c r="K46" i="1"/>
  <c r="K271" i="1"/>
  <c r="K270" i="1"/>
  <c r="K269" i="1"/>
  <c r="K144" i="1"/>
  <c r="K147" i="1"/>
  <c r="K127" i="1"/>
  <c r="K257" i="1"/>
  <c r="K256" i="1"/>
  <c r="K200" i="1" l="1"/>
  <c r="K201" i="1"/>
  <c r="K202" i="1"/>
  <c r="K236" i="1"/>
  <c r="K247" i="1"/>
  <c r="K260" i="1"/>
  <c r="K185" i="1"/>
  <c r="K126" i="1"/>
  <c r="K125" i="1"/>
  <c r="K63" i="1"/>
  <c r="K62" i="1"/>
  <c r="K79" i="1"/>
  <c r="K78" i="1"/>
  <c r="K77" i="1"/>
  <c r="K255" i="1"/>
  <c r="K253" i="1"/>
  <c r="K217" i="1"/>
  <c r="K177" i="1"/>
  <c r="K178" i="1"/>
  <c r="K145" i="1"/>
  <c r="K143" i="1"/>
  <c r="K198" i="1"/>
  <c r="K184" i="1"/>
  <c r="K140" i="1"/>
  <c r="K141" i="1"/>
  <c r="K183" i="1"/>
  <c r="K182" i="1"/>
  <c r="K181" i="1"/>
  <c r="K180" i="1"/>
  <c r="K179" i="1"/>
  <c r="K176" i="1"/>
  <c r="K175" i="1"/>
  <c r="K170" i="1"/>
  <c r="K169" i="1"/>
  <c r="K171" i="1"/>
  <c r="K172" i="1"/>
  <c r="K173" i="1"/>
  <c r="K174" i="1"/>
  <c r="K132" i="1"/>
  <c r="K133" i="1"/>
  <c r="K134" i="1"/>
  <c r="K135" i="1"/>
  <c r="K96" i="1"/>
  <c r="K97" i="1"/>
  <c r="K95" i="1"/>
  <c r="K93" i="1"/>
  <c r="K94" i="1"/>
  <c r="K137" i="1"/>
  <c r="K136" i="1"/>
  <c r="K138" i="1"/>
  <c r="K12" i="1"/>
  <c r="K13" i="1"/>
  <c r="K14" i="1"/>
  <c r="K16" i="1"/>
  <c r="K15" i="1"/>
  <c r="K48" i="1"/>
  <c r="K50" i="1"/>
  <c r="K51" i="1"/>
  <c r="K49" i="1"/>
  <c r="K120" i="1"/>
  <c r="K106" i="1"/>
  <c r="K107" i="1"/>
  <c r="K108" i="1"/>
  <c r="K109" i="1"/>
  <c r="K118" i="1"/>
  <c r="K119" i="1"/>
  <c r="K105" i="1"/>
  <c r="K103" i="1"/>
  <c r="K104" i="1"/>
  <c r="K122" i="1"/>
  <c r="K98" i="1"/>
  <c r="K61" i="1" l="1"/>
  <c r="K60" i="1"/>
  <c r="K11" i="1"/>
  <c r="K17" i="1"/>
  <c r="K58" i="1"/>
  <c r="K59" i="1"/>
  <c r="K57" i="1"/>
  <c r="K53" i="1"/>
  <c r="K54" i="1"/>
  <c r="K55" i="1"/>
  <c r="K56" i="1"/>
  <c r="K71" i="1"/>
  <c r="K72" i="1"/>
  <c r="K73" i="1"/>
  <c r="K74" i="1"/>
  <c r="K75" i="1"/>
  <c r="K76" i="1"/>
  <c r="K70" i="1"/>
  <c r="K47" i="1"/>
  <c r="K85" i="1"/>
  <c r="K84" i="1"/>
  <c r="K83" i="1"/>
  <c r="K30" i="1"/>
  <c r="K25" i="1"/>
  <c r="K24" i="1"/>
  <c r="K23" i="1"/>
  <c r="K10" i="1"/>
  <c r="K261" i="1"/>
  <c r="K262" i="1"/>
  <c r="K263" i="1"/>
  <c r="K264" i="1"/>
  <c r="K265" i="1"/>
  <c r="K266" i="1"/>
  <c r="K267" i="1"/>
  <c r="K268" i="1"/>
  <c r="K272" i="1"/>
  <c r="K273" i="1"/>
  <c r="K274" i="1"/>
  <c r="K275" i="1"/>
  <c r="K276" i="1"/>
  <c r="K277" i="1"/>
  <c r="K278" i="1"/>
  <c r="K292" i="1"/>
  <c r="K296" i="1"/>
  <c r="K297" i="1"/>
  <c r="K298" i="1"/>
  <c r="K303" i="1"/>
  <c r="K304" i="1"/>
  <c r="K305" i="1"/>
  <c r="K307" i="1"/>
  <c r="K309" i="1"/>
  <c r="K310" i="1"/>
  <c r="K311" i="1"/>
  <c r="K312" i="1"/>
  <c r="K313" i="1"/>
  <c r="K316" i="1"/>
  <c r="K324" i="1"/>
  <c r="K325" i="1"/>
  <c r="K326" i="1"/>
  <c r="K327" i="1"/>
  <c r="K320" i="1"/>
  <c r="K321" i="1"/>
  <c r="K322" i="1"/>
  <c r="K323" i="1"/>
  <c r="K330" i="1"/>
  <c r="K331" i="1"/>
  <c r="K332" i="1"/>
  <c r="K333" i="1"/>
  <c r="K334" i="1"/>
  <c r="K335" i="1"/>
  <c r="K337" i="1"/>
  <c r="K338" i="1"/>
  <c r="K339" i="1"/>
  <c r="K340" i="1"/>
  <c r="K341" i="1"/>
  <c r="K348" i="1"/>
  <c r="K349" i="1"/>
  <c r="K351" i="1"/>
  <c r="K352" i="1"/>
  <c r="K353" i="1"/>
  <c r="K354" i="1"/>
  <c r="K362" i="1"/>
  <c r="K364" i="1"/>
  <c r="K365" i="1"/>
  <c r="K366" i="1"/>
  <c r="K367" i="1"/>
  <c r="K368" i="1"/>
  <c r="K369" i="1"/>
  <c r="K370" i="1"/>
  <c r="K371" i="1"/>
  <c r="K372" i="1"/>
  <c r="K377" i="1"/>
  <c r="K373" i="1"/>
  <c r="K374" i="1"/>
  <c r="K375" i="1"/>
  <c r="K376" i="1"/>
  <c r="K386" i="1"/>
  <c r="K388" i="1"/>
  <c r="K389" i="1"/>
  <c r="K391" i="1"/>
  <c r="K392" i="1"/>
  <c r="K393" i="1"/>
  <c r="K394" i="1"/>
  <c r="K395" i="1"/>
  <c r="K396" i="1"/>
  <c r="K400" i="1"/>
  <c r="K402" i="1"/>
  <c r="K403" i="1"/>
  <c r="K411" i="1"/>
  <c r="K412" i="1"/>
  <c r="K413" i="1"/>
  <c r="K414" i="1"/>
  <c r="K415" i="1"/>
  <c r="K416" i="1"/>
  <c r="K397" i="1"/>
  <c r="K398" i="1"/>
  <c r="K399" i="1"/>
  <c r="K417" i="1"/>
  <c r="K401" i="1"/>
  <c r="K406" i="1"/>
  <c r="K407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2" i="1"/>
  <c r="K443" i="1"/>
  <c r="K444" i="1"/>
  <c r="K445" i="1"/>
  <c r="K446" i="1"/>
  <c r="K447" i="1"/>
  <c r="K448" i="1"/>
  <c r="K449" i="1"/>
  <c r="K455" i="1"/>
  <c r="K456" i="1"/>
  <c r="K457" i="1"/>
  <c r="K521" i="1"/>
  <c r="K525" i="1"/>
  <c r="K526" i="1"/>
  <c r="K527" i="1"/>
  <c r="K542" i="1"/>
  <c r="K543" i="1"/>
  <c r="K544" i="1"/>
  <c r="K150" i="1"/>
  <c r="K81" i="1"/>
  <c r="K317" i="1"/>
  <c r="K357" i="1"/>
  <c r="K26" i="1"/>
  <c r="K545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7" i="1" l="1"/>
  <c r="K8" i="1"/>
  <c r="K9" i="1"/>
  <c r="K20" i="1"/>
  <c r="K21" i="1"/>
  <c r="K22" i="1"/>
  <c r="K28" i="1"/>
  <c r="K29" i="1"/>
  <c r="K31" i="1"/>
  <c r="K32" i="1"/>
  <c r="K33" i="1"/>
  <c r="K34" i="1"/>
  <c r="K35" i="1"/>
  <c r="K36" i="1"/>
  <c r="K37" i="1"/>
  <c r="K38" i="1"/>
  <c r="K39" i="1"/>
  <c r="K40" i="1"/>
  <c r="K41" i="1"/>
  <c r="K42" i="1"/>
  <c r="K52" i="1"/>
  <c r="K68" i="1"/>
  <c r="K69" i="1"/>
  <c r="K86" i="1"/>
  <c r="K87" i="1"/>
  <c r="K88" i="1"/>
  <c r="K89" i="1"/>
  <c r="K90" i="1"/>
  <c r="K91" i="1"/>
  <c r="K92" i="1"/>
  <c r="K99" i="1"/>
  <c r="K100" i="1"/>
  <c r="K101" i="1"/>
  <c r="K102" i="1"/>
  <c r="K121" i="1"/>
  <c r="K153" i="1"/>
  <c r="K151" i="1"/>
  <c r="K152" i="1"/>
  <c r="K128" i="1"/>
  <c r="K154" i="1"/>
  <c r="K155" i="1"/>
  <c r="K156" i="1"/>
  <c r="K129" i="1"/>
  <c r="K130" i="1"/>
  <c r="K139" i="1"/>
  <c r="K142" i="1"/>
  <c r="K146" i="1"/>
  <c r="K167" i="1"/>
  <c r="K168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9" i="1"/>
  <c r="K203" i="1"/>
  <c r="K204" i="1"/>
  <c r="K205" i="1"/>
  <c r="K206" i="1"/>
  <c r="K207" i="1"/>
  <c r="K212" i="1"/>
  <c r="K213" i="1"/>
  <c r="K214" i="1"/>
  <c r="K215" i="1"/>
  <c r="K216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7" i="1"/>
  <c r="K238" i="1"/>
  <c r="K240" i="1"/>
  <c r="K248" i="1"/>
  <c r="K249" i="1"/>
  <c r="K250" i="1"/>
  <c r="K251" i="1"/>
  <c r="K252" i="1"/>
  <c r="K25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<sst xmlns="http://schemas.openxmlformats.org/spreadsheetml/2006/main" count="9575" uniqueCount="2085">
  <si>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</si>
  <si>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</si>
  <si>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</si>
  <si>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</si>
  <si>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</si>
  <si>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</si>
  <si>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</si>
  <si>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</si>
  <si>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</si>
  <si>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</si>
  <si>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</si>
  <si>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</si>
  <si>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</si>
  <si>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</si>
  <si>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</si>
  <si>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</si>
  <si>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</si>
  <si>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</si>
  <si>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</si>
  <si>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</si>
  <si>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</si>
  <si>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</si>
  <si>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</si>
  <si>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</si>
  <si>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</si>
  <si>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</si>
  <si>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</si>
  <si>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</si>
  <si>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</si>
  <si>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</si>
  <si>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</si>
  <si>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</si>
  <si>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</si>
  <si>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</si>
  <si>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</si>
  <si>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</si>
  <si>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</si>
  <si>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</si>
  <si>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</si>
  <si>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</si>
  <si>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</si>
  <si>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</si>
  <si>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</si>
  <si>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</si>
  <si>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</si>
  <si>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</si>
  <si>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</si>
  <si>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</si>
  <si>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</si>
  <si>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</si>
  <si>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</si>
  <si>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</si>
  <si>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</si>
  <si>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</si>
  <si>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</si>
  <si>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</si>
  <si>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</si>
  <si>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</si>
  <si>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</si>
  <si>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</si>
  <si>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</si>
  <si>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</si>
  <si>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</si>
  <si>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</si>
  <si>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</si>
  <si>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</si>
  <si>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</si>
  <si>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</si>
  <si>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</si>
  <si>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</si>
  <si>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</si>
  <si>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</si>
  <si>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</si>
  <si>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</si>
  <si>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</si>
  <si>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</si>
  <si>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</si>
  <si>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</si>
  <si>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</si>
  <si>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</si>
  <si>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</si>
  <si>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</si>
  <si>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</si>
  <si>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</si>
  <si>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</si>
  <si>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</si>
  <si>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</si>
  <si>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</si>
  <si>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</si>
  <si>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</si>
  <si>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</si>
  <si>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</si>
  <si>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</si>
  <si>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</si>
  <si>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</si>
  <si>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</si>
  <si>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</si>
  <si>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</si>
  <si>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</si>
  <si>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</si>
  <si>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</si>
  <si>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</si>
  <si>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</si>
  <si>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</si>
  <si>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</si>
  <si>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</si>
  <si>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</si>
  <si>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</si>
  <si>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</si>
  <si>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</si>
  <si>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</si>
  <si>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</si>
  <si>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</si>
  <si>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</si>
  <si>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</si>
  <si>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</si>
  <si>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</si>
  <si>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</si>
  <si>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</si>
  <si>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</si>
  <si>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</si>
  <si>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</si>
  <si>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</si>
  <si>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</si>
  <si>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</si>
  <si>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</si>
  <si>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</si>
  <si>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</si>
  <si>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</si>
  <si>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</si>
  <si>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</si>
  <si>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</si>
  <si>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</si>
  <si>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</si>
  <si>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</si>
  <si>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</si>
  <si>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</si>
  <si>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</si>
  <si>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</si>
  <si>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</si>
  <si>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</si>
  <si>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</si>
  <si>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</si>
  <si>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</si>
  <si>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</si>
  <si>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</si>
  <si>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</si>
  <si>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</si>
  <si>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</si>
  <si>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</si>
  <si>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</si>
  <si>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</si>
  <si>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</si>
  <si>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</si>
  <si>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</si>
  <si>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</si>
  <si>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</si>
  <si>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</si>
  <si>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</si>
  <si>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</si>
  <si>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</si>
  <si>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</si>
  <si>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</si>
  <si>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</si>
  <si>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</si>
  <si>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</si>
  <si>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</si>
  <si>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</si>
  <si>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</si>
  <si>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</si>
  <si>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</si>
  <si>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</si>
  <si>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</si>
  <si>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</si>
  <si>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</si>
  <si>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</si>
  <si>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</si>
  <si>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</si>
  <si>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</si>
  <si>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</si>
  <si>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</si>
  <si>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</si>
  <si>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</si>
  <si>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</si>
  <si>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</si>
  <si>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</si>
  <si>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</si>
  <si>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</si>
  <si>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</si>
  <si>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</si>
  <si>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</si>
  <si>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</si>
  <si>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</si>
  <si>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</si>
  <si>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</si>
  <si>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</si>
  <si>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</si>
  <si>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</si>
  <si>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</si>
  <si>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</si>
  <si>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</si>
  <si>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</si>
  <si>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</si>
  <si>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</si>
  <si>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</si>
  <si>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</si>
  <si>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</si>
  <si>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</si>
  <si>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</si>
  <si>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</si>
  <si>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</si>
  <si>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</si>
  <si>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</si>
  <si>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</si>
  <si>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</si>
  <si>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</si>
  <si>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</si>
  <si>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</si>
  <si>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</si>
  <si>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</si>
  <si>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</si>
  <si>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</si>
  <si>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</si>
  <si>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</si>
  <si>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</si>
  <si>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</si>
  <si>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</si>
  <si>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</si>
  <si>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</si>
  <si>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</si>
  <si>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</si>
  <si>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</si>
  <si>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</si>
  <si>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</si>
  <si>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</si>
  <si>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</si>
  <si>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</si>
  <si>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</si>
  <si>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</si>
  <si>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</si>
  <si>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</si>
  <si>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</si>
  <si>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</si>
  <si>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</si>
  <si>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</si>
  <si>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</si>
  <si>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</si>
  <si>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</si>
  <si>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</si>
  <si>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</si>
  <si>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</si>
  <si>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</si>
  <si>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</si>
  <si>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</si>
  <si>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CHAPA 316</t>
  </si>
  <si>
    <t>CHAPA 304</t>
  </si>
  <si>
    <t>EE-GI-001-073</t>
  </si>
  <si>
    <t>EE-GI-001-074</t>
  </si>
  <si>
    <t>CHAPA A36</t>
  </si>
  <si>
    <t>CHAPA SAE 1020</t>
  </si>
  <si>
    <t>EE-GI-001-072</t>
  </si>
  <si>
    <t>EE-GI-001-071</t>
  </si>
  <si>
    <t>RDR - RELATÓRIO DIÁRIO DE RECEBIMENTO - NOVEMBRO 2025</t>
  </si>
  <si>
    <t>MAPE</t>
  </si>
  <si>
    <t>BN PINT NP CPL 10 FN PE (FUROS LISOS)</t>
  </si>
  <si>
    <t>02</t>
  </si>
  <si>
    <t>000010762</t>
  </si>
  <si>
    <t>114544-01</t>
  </si>
  <si>
    <t>269/25</t>
  </si>
  <si>
    <t>160/25</t>
  </si>
  <si>
    <t>IM0553-IM0553/1</t>
  </si>
  <si>
    <t>ALUIR</t>
  </si>
  <si>
    <t>R A DISTRIBUIDORA</t>
  </si>
  <si>
    <t>WD CPF 20 FN PN16 BRT</t>
  </si>
  <si>
    <t>000000759</t>
  </si>
  <si>
    <t>115270-01</t>
  </si>
  <si>
    <t>C681</t>
  </si>
  <si>
    <t>7410-25</t>
  </si>
  <si>
    <t>IM0035/SE-014</t>
  </si>
  <si>
    <t>2025-1192</t>
  </si>
  <si>
    <t>PAULO</t>
  </si>
  <si>
    <t>WD CPF 20 FN PN10 BRT</t>
  </si>
  <si>
    <t>000000760</t>
  </si>
  <si>
    <t>000000758</t>
  </si>
  <si>
    <t>115123-02</t>
  </si>
  <si>
    <t>7411-25</t>
  </si>
  <si>
    <t>WR3 DISCO BRT 28" PN10</t>
  </si>
  <si>
    <t>115367-01</t>
  </si>
  <si>
    <t>C661</t>
  </si>
  <si>
    <t>7409-25</t>
  </si>
  <si>
    <t>04</t>
  </si>
  <si>
    <t>000000790</t>
  </si>
  <si>
    <t>115406-01</t>
  </si>
  <si>
    <t xml:space="preserve">C701 e C702 </t>
  </si>
  <si>
    <t>7415-25</t>
  </si>
  <si>
    <t>2025-1194</t>
  </si>
  <si>
    <t>ARTUZO</t>
  </si>
  <si>
    <t>BN USI NE HS 4 316-S 150/250</t>
  </si>
  <si>
    <t>10</t>
  </si>
  <si>
    <t>BN USI NE HI 4 316-S 150/250</t>
  </si>
  <si>
    <t>000004682</t>
  </si>
  <si>
    <t>115140-01</t>
  </si>
  <si>
    <t>115140-07</t>
  </si>
  <si>
    <t>BS026</t>
  </si>
  <si>
    <t>SE-014</t>
  </si>
  <si>
    <t>2025-1200</t>
  </si>
  <si>
    <t>2025-1201</t>
  </si>
  <si>
    <t>CMBA</t>
  </si>
  <si>
    <t>VKT CPL BRT 18 CL150 C958</t>
  </si>
  <si>
    <t>03</t>
  </si>
  <si>
    <t>000021626</t>
  </si>
  <si>
    <t>114593-01</t>
  </si>
  <si>
    <t>2206 AS1, 2213 AS1 e AS2</t>
  </si>
  <si>
    <t>0569/2025</t>
  </si>
  <si>
    <t>METAL PRIME</t>
  </si>
  <si>
    <t>BN USI NE CPW 6" FN</t>
  </si>
  <si>
    <t>167</t>
  </si>
  <si>
    <t>000013265</t>
  </si>
  <si>
    <t>114769-02</t>
  </si>
  <si>
    <t>276/25, 260/25, 233/25, 287/25</t>
  </si>
  <si>
    <t>5427.25, 5425.25, 5613.25, 5423.25</t>
  </si>
  <si>
    <t>IM-0319</t>
  </si>
  <si>
    <t>CLEBER</t>
  </si>
  <si>
    <t>22</t>
  </si>
  <si>
    <t>114769-03</t>
  </si>
  <si>
    <t>114769-01</t>
  </si>
  <si>
    <t>FUNDIGUSA</t>
  </si>
  <si>
    <t>07</t>
  </si>
  <si>
    <t>000025289</t>
  </si>
  <si>
    <t>114885-01</t>
  </si>
  <si>
    <t>FG 244/25 e FG 297/25</t>
  </si>
  <si>
    <t>1162/2025</t>
  </si>
  <si>
    <t>IM0023/SE-014</t>
  </si>
  <si>
    <t>WD CPF BRT 16" PN10 FN</t>
  </si>
  <si>
    <t>WD CPF BRT 8" PN10/16 FN</t>
  </si>
  <si>
    <t>000025290</t>
  </si>
  <si>
    <t>115544-01</t>
  </si>
  <si>
    <t>FG 288/25</t>
  </si>
  <si>
    <t>1163/2025</t>
  </si>
  <si>
    <t>MICROFUSÃO DO BRASIL</t>
  </si>
  <si>
    <t>NE DC 3" CF8M 150 PSI</t>
  </si>
  <si>
    <t>58</t>
  </si>
  <si>
    <t>000012512</t>
  </si>
  <si>
    <t>115566-01</t>
  </si>
  <si>
    <t>562/25, 542/25</t>
  </si>
  <si>
    <t>2008/25</t>
  </si>
  <si>
    <t>CASTING</t>
  </si>
  <si>
    <t>NF CPL 20 FN BRT</t>
  </si>
  <si>
    <t>000012704</t>
  </si>
  <si>
    <t>115214-02</t>
  </si>
  <si>
    <t>5914-25</t>
  </si>
  <si>
    <t>302-25</t>
  </si>
  <si>
    <t>01</t>
  </si>
  <si>
    <t>NF CPL 18 FN BRT</t>
  </si>
  <si>
    <t>115214-01</t>
  </si>
  <si>
    <t>WD CPF BRT 4" PN10/16 FN</t>
  </si>
  <si>
    <t>115352-02</t>
  </si>
  <si>
    <t>304-25</t>
  </si>
  <si>
    <t>WR3W DISCO BRT 16" PN10/16 FN</t>
  </si>
  <si>
    <t>115386-01</t>
  </si>
  <si>
    <t>73/23</t>
  </si>
  <si>
    <t>MR2 ANEL RET SEDE BRT 8" PN10 FN</t>
  </si>
  <si>
    <t>115386-02</t>
  </si>
  <si>
    <t>100-23</t>
  </si>
  <si>
    <t>5918-25</t>
  </si>
  <si>
    <t>5916-25</t>
  </si>
  <si>
    <t>5912-25</t>
  </si>
  <si>
    <t>5910-25</t>
  </si>
  <si>
    <t>NE CPL BRT 8" FN</t>
  </si>
  <si>
    <t>111843-09</t>
  </si>
  <si>
    <t>115352-01</t>
  </si>
  <si>
    <t>303-25</t>
  </si>
  <si>
    <t>5900-25</t>
  </si>
  <si>
    <t>NE CPL BRT 5" FN</t>
  </si>
  <si>
    <t>111841-07</t>
  </si>
  <si>
    <t>293-25</t>
  </si>
  <si>
    <t>5908-25</t>
  </si>
  <si>
    <t>111841-06</t>
  </si>
  <si>
    <t>NE CPW 2.1/2" FN BRT</t>
  </si>
  <si>
    <t>111826-08</t>
  </si>
  <si>
    <t>281-25</t>
  </si>
  <si>
    <t>5902-25</t>
  </si>
  <si>
    <t>111826-09</t>
  </si>
  <si>
    <t>NE CPW BRT 8" FN</t>
  </si>
  <si>
    <t>67</t>
  </si>
  <si>
    <t>63</t>
  </si>
  <si>
    <t>111833-07</t>
  </si>
  <si>
    <t>111833-08</t>
  </si>
  <si>
    <t>297-25</t>
  </si>
  <si>
    <t>5906-25</t>
  </si>
  <si>
    <t>6904-25 e 5906-25</t>
  </si>
  <si>
    <t>290-25 e 297-25</t>
  </si>
  <si>
    <t>716-25</t>
  </si>
  <si>
    <t>715-25</t>
  </si>
  <si>
    <t>EXTRABOR</t>
  </si>
  <si>
    <t>BN VUL NE SEDE 5" BUNA-N</t>
  </si>
  <si>
    <t>17</t>
  </si>
  <si>
    <t>000004734</t>
  </si>
  <si>
    <t>115685-01</t>
  </si>
  <si>
    <t>115685-02</t>
  </si>
  <si>
    <t>11584</t>
  </si>
  <si>
    <t>IM0059/IM0591</t>
  </si>
  <si>
    <t>MARS</t>
  </si>
  <si>
    <t>BN USI NF DISCO 20" CF8M 150 PSI</t>
  </si>
  <si>
    <t>000005610</t>
  </si>
  <si>
    <t>113929-02</t>
  </si>
  <si>
    <t>07032501</t>
  </si>
  <si>
    <t>05/115</t>
  </si>
  <si>
    <t>IM-0023</t>
  </si>
  <si>
    <t>113662-01</t>
  </si>
  <si>
    <t>CALMOTECH</t>
  </si>
  <si>
    <t>BN USI RL2 ARS 8MM 150 PSI 304</t>
  </si>
  <si>
    <t>CBL097</t>
  </si>
  <si>
    <t>269/2025</t>
  </si>
  <si>
    <t>1</t>
  </si>
  <si>
    <t>BN USI NE CPW 12" FN</t>
  </si>
  <si>
    <t>000005605</t>
  </si>
  <si>
    <t>112397-01</t>
  </si>
  <si>
    <t>153/25</t>
  </si>
  <si>
    <t>15</t>
  </si>
  <si>
    <t>112985-02</t>
  </si>
  <si>
    <t>BN USI NE CPL 5" FN JIS2220 5K</t>
  </si>
  <si>
    <t>000005608</t>
  </si>
  <si>
    <t>114798-02</t>
  </si>
  <si>
    <t>42/25, 43/25</t>
  </si>
  <si>
    <t>05/103</t>
  </si>
  <si>
    <t>0</t>
  </si>
  <si>
    <t>2025-1216</t>
  </si>
  <si>
    <t>RUSPRI</t>
  </si>
  <si>
    <t>WR3 ARS 28" PN10 316 BRT</t>
  </si>
  <si>
    <t>000014003</t>
  </si>
  <si>
    <t>115663-01</t>
  </si>
  <si>
    <t>115663-02</t>
  </si>
  <si>
    <t>115663-03</t>
  </si>
  <si>
    <t>115663-04</t>
  </si>
  <si>
    <t>115663-05</t>
  </si>
  <si>
    <t>115663-06</t>
  </si>
  <si>
    <t>CBY069</t>
  </si>
  <si>
    <t>WR3F ARS BRT 16" PN10 316</t>
  </si>
  <si>
    <t>000014023</t>
  </si>
  <si>
    <t>115488-01</t>
  </si>
  <si>
    <t>115488-02</t>
  </si>
  <si>
    <t>115488-03</t>
  </si>
  <si>
    <t>115488-04</t>
  </si>
  <si>
    <t>CBY068</t>
  </si>
  <si>
    <t>100.556</t>
  </si>
  <si>
    <t>RL2 ARS BRT 20" 150PSI 304/CF8</t>
  </si>
  <si>
    <t>000014022</t>
  </si>
  <si>
    <t>115534-01</t>
  </si>
  <si>
    <t>CBL102</t>
  </si>
  <si>
    <t>RL2 ARS CHAPA 6" 150PSI 304</t>
  </si>
  <si>
    <t>000014002</t>
  </si>
  <si>
    <t>115432-01</t>
  </si>
  <si>
    <t>50</t>
  </si>
  <si>
    <t>CBL103</t>
  </si>
  <si>
    <t>CBL104</t>
  </si>
  <si>
    <t>RL2 ARS CHAPA 2" 150PSI 304</t>
  </si>
  <si>
    <t>000014021</t>
  </si>
  <si>
    <t>115478-01</t>
  </si>
  <si>
    <t>IRMÃOS BERTAZZO</t>
  </si>
  <si>
    <t>RK ARS CHAPA 8" 150# A36</t>
  </si>
  <si>
    <t>28</t>
  </si>
  <si>
    <t>000012459</t>
  </si>
  <si>
    <t>115159-01</t>
  </si>
  <si>
    <t>CFA137</t>
  </si>
  <si>
    <t>12459</t>
  </si>
  <si>
    <t>ROLDITEC</t>
  </si>
  <si>
    <t>RK ARS CHAPA 3" 150/300# AC</t>
  </si>
  <si>
    <t>000011940</t>
  </si>
  <si>
    <t>115460-01</t>
  </si>
  <si>
    <t>CFA138</t>
  </si>
  <si>
    <t>LANDOFER</t>
  </si>
  <si>
    <t>WR3 ARS 20 SAE 1020 BRT</t>
  </si>
  <si>
    <t>08</t>
  </si>
  <si>
    <t>000053835</t>
  </si>
  <si>
    <t>115394-01</t>
  </si>
  <si>
    <t>CFA139</t>
  </si>
  <si>
    <t>053835</t>
  </si>
  <si>
    <t>100.620</t>
  </si>
  <si>
    <t>100.554</t>
  </si>
  <si>
    <t>100.555</t>
  </si>
  <si>
    <t>046966</t>
  </si>
  <si>
    <t>VKT CPL BRT 12 CL150 C958</t>
  </si>
  <si>
    <t>000021679</t>
  </si>
  <si>
    <t>114597-01</t>
  </si>
  <si>
    <t>2238 AS1</t>
  </si>
  <si>
    <t>0585/2025</t>
  </si>
  <si>
    <t>VKT CPL BRT 14 CL150 C958</t>
  </si>
  <si>
    <t>000021678</t>
  </si>
  <si>
    <t>114408-01</t>
  </si>
  <si>
    <t>2220 AS3</t>
  </si>
  <si>
    <t>RK CPL BRT 16" C958 150#</t>
  </si>
  <si>
    <t>000021675</t>
  </si>
  <si>
    <t>114881-02</t>
  </si>
  <si>
    <t>2227 AS1 e 2232 AS1</t>
  </si>
  <si>
    <t>0586/2025</t>
  </si>
  <si>
    <t>NE DISCO BRT 4" C958</t>
  </si>
  <si>
    <t>000021677</t>
  </si>
  <si>
    <t>115309-01</t>
  </si>
  <si>
    <t>2232 AS24 e 2232 AS25</t>
  </si>
  <si>
    <t>0587/2025</t>
  </si>
  <si>
    <t>2232 AS2 ao 2232 AS9</t>
  </si>
  <si>
    <t>2232 AS10 ao 2232 AS23 e 1739 AS7</t>
  </si>
  <si>
    <t>000021676</t>
  </si>
  <si>
    <t>115390-01</t>
  </si>
  <si>
    <t>115201-01</t>
  </si>
  <si>
    <t>VKT DISCO 12 CL 150 C958</t>
  </si>
  <si>
    <t>000021665</t>
  </si>
  <si>
    <t>114597-02</t>
  </si>
  <si>
    <t>2220 AS1 e 2220 AS2</t>
  </si>
  <si>
    <t>0584/2025</t>
  </si>
  <si>
    <t>ILHA GRANDE</t>
  </si>
  <si>
    <t>NF DC 20 IN BRT</t>
  </si>
  <si>
    <t>000025655</t>
  </si>
  <si>
    <t>114783-04</t>
  </si>
  <si>
    <t>20092501</t>
  </si>
  <si>
    <t>15368</t>
  </si>
  <si>
    <t>NE DC 12" CF8M BRT</t>
  </si>
  <si>
    <t>06</t>
  </si>
  <si>
    <t>000025678</t>
  </si>
  <si>
    <t>114783-01</t>
  </si>
  <si>
    <t>15393</t>
  </si>
  <si>
    <t>000025688</t>
  </si>
  <si>
    <t>115250-03</t>
  </si>
  <si>
    <t>15387</t>
  </si>
  <si>
    <t>15394</t>
  </si>
  <si>
    <t>NE DC 8" BRT CF8M</t>
  </si>
  <si>
    <t>05</t>
  </si>
  <si>
    <t>115250-04</t>
  </si>
  <si>
    <t>15388</t>
  </si>
  <si>
    <t>GMD</t>
  </si>
  <si>
    <t>BQ USI WD DC 12" PN10</t>
  </si>
  <si>
    <t>000008628</t>
  </si>
  <si>
    <t>114093-03</t>
  </si>
  <si>
    <t>07082501</t>
  </si>
  <si>
    <t>00994-001</t>
  </si>
  <si>
    <t>BQ USI WD DC 8" PN10</t>
  </si>
  <si>
    <t>114093-02</t>
  </si>
  <si>
    <t>00993-001</t>
  </si>
  <si>
    <t>RK CPW BRT 6" 150/300# CF8M</t>
  </si>
  <si>
    <t>000025680</t>
  </si>
  <si>
    <t>115002-01</t>
  </si>
  <si>
    <t>07101501</t>
  </si>
  <si>
    <t>15398</t>
  </si>
  <si>
    <t>15392</t>
  </si>
  <si>
    <t>031025A1</t>
  </si>
  <si>
    <t>114986-01</t>
  </si>
  <si>
    <t>000025682</t>
  </si>
  <si>
    <t>RK CPL BRT 10" WCB 150#</t>
  </si>
  <si>
    <t>NE CPW 6 IN BRT</t>
  </si>
  <si>
    <t>000025683</t>
  </si>
  <si>
    <t>115147-01</t>
  </si>
  <si>
    <t>07102501</t>
  </si>
  <si>
    <t>15399</t>
  </si>
  <si>
    <t>35</t>
  </si>
  <si>
    <t>000025658</t>
  </si>
  <si>
    <t>114804-01</t>
  </si>
  <si>
    <t>15362</t>
  </si>
  <si>
    <t>115554-06</t>
  </si>
  <si>
    <t>12</t>
  </si>
  <si>
    <t>115554-05</t>
  </si>
  <si>
    <t>000025687</t>
  </si>
  <si>
    <t>05092501</t>
  </si>
  <si>
    <t>15390</t>
  </si>
  <si>
    <t>000025654</t>
  </si>
  <si>
    <t>12082501</t>
  </si>
  <si>
    <t>15363</t>
  </si>
  <si>
    <t>000025657</t>
  </si>
  <si>
    <t>114842-01</t>
  </si>
  <si>
    <t>15365</t>
  </si>
  <si>
    <t>RK DISCO BRT 2,5 150/300# CF8M</t>
  </si>
  <si>
    <t>000025686</t>
  </si>
  <si>
    <t>115138-01</t>
  </si>
  <si>
    <t>15389</t>
  </si>
  <si>
    <t>BC USI RL2 CPW 14" WCB</t>
  </si>
  <si>
    <t>000005619</t>
  </si>
  <si>
    <t>114514-02</t>
  </si>
  <si>
    <t>13092501</t>
  </si>
  <si>
    <t>BQ USI WDW DC 22 FN PN10</t>
  </si>
  <si>
    <t>000005615</t>
  </si>
  <si>
    <t>113465-06</t>
  </si>
  <si>
    <t>C470, C472, C473 e C474</t>
  </si>
  <si>
    <t>BC USI RL2 CPW 10" 150PSI WCB</t>
  </si>
  <si>
    <t>113809-01</t>
  </si>
  <si>
    <t>110725A1</t>
  </si>
  <si>
    <t>BQ USI WD CPF 24" PN10 FN NBR</t>
  </si>
  <si>
    <t>000005609</t>
  </si>
  <si>
    <t>115308-01</t>
  </si>
  <si>
    <t>C505</t>
  </si>
  <si>
    <t>051108</t>
  </si>
  <si>
    <t>051103</t>
  </si>
  <si>
    <t>BQ USI WD CPF 20" FN NBR PN10</t>
  </si>
  <si>
    <t>000005614</t>
  </si>
  <si>
    <t>115339-23</t>
  </si>
  <si>
    <t>BN USI NE CPW 10" FN</t>
  </si>
  <si>
    <t>20</t>
  </si>
  <si>
    <t>1129985-01</t>
  </si>
  <si>
    <t>114489-03</t>
  </si>
  <si>
    <t>171/25, 203/25, 239/25 e 272/25</t>
  </si>
  <si>
    <t>051101</t>
  </si>
  <si>
    <t>114489-04</t>
  </si>
  <si>
    <t>115253-08</t>
  </si>
  <si>
    <t>203/25 e 239/25</t>
  </si>
  <si>
    <t>19</t>
  </si>
  <si>
    <t>112776-03</t>
  </si>
  <si>
    <t>153/25 e 176/25</t>
  </si>
  <si>
    <t>PLASTEBOR</t>
  </si>
  <si>
    <t>NE SEDE 6" EPDM T-150</t>
  </si>
  <si>
    <t>100</t>
  </si>
  <si>
    <t>000001346</t>
  </si>
  <si>
    <t>112255-03</t>
  </si>
  <si>
    <t>071125</t>
  </si>
  <si>
    <t>179/2025</t>
  </si>
  <si>
    <t>NE SEDE 4" EPDM T-150</t>
  </si>
  <si>
    <t>70</t>
  </si>
  <si>
    <t>130</t>
  </si>
  <si>
    <t>111579-03</t>
  </si>
  <si>
    <t>111579-04</t>
  </si>
  <si>
    <t>178/2025</t>
  </si>
  <si>
    <t>60</t>
  </si>
  <si>
    <t>115027-01</t>
  </si>
  <si>
    <t>177/2025</t>
  </si>
  <si>
    <t>68</t>
  </si>
  <si>
    <t>111609-07</t>
  </si>
  <si>
    <t>176/2025</t>
  </si>
  <si>
    <t>69</t>
  </si>
  <si>
    <t>JM SERVIÇOS</t>
  </si>
  <si>
    <t>BN USI NE HS 12" 410</t>
  </si>
  <si>
    <t>34</t>
  </si>
  <si>
    <t>000000219</t>
  </si>
  <si>
    <t>114471-08</t>
  </si>
  <si>
    <t>CA621</t>
  </si>
  <si>
    <t>ALISSON</t>
  </si>
  <si>
    <t>BN USI NP HS 12" IN 410</t>
  </si>
  <si>
    <t>25</t>
  </si>
  <si>
    <t>000000731</t>
  </si>
  <si>
    <t>114813-10</t>
  </si>
  <si>
    <t>BN USI NE HS 10" 410</t>
  </si>
  <si>
    <t>000000218</t>
  </si>
  <si>
    <t>114471-07</t>
  </si>
  <si>
    <t>CA619</t>
  </si>
  <si>
    <t>114512-05</t>
  </si>
  <si>
    <t>55</t>
  </si>
  <si>
    <t>114471-0-6</t>
  </si>
  <si>
    <t>BN USI NT HS 24 IN 410</t>
  </si>
  <si>
    <t>000000687</t>
  </si>
  <si>
    <t>000000689</t>
  </si>
  <si>
    <t>113835-04</t>
  </si>
  <si>
    <t>114488-02</t>
  </si>
  <si>
    <t>CA633</t>
  </si>
  <si>
    <t>2025-1227</t>
  </si>
  <si>
    <t>271/20254</t>
  </si>
  <si>
    <t>270/2025</t>
  </si>
  <si>
    <t>BC USI RL2 ANEL RET SEDE 14" 150 PSI 304</t>
  </si>
  <si>
    <t>000000708</t>
  </si>
  <si>
    <t>115202-06</t>
  </si>
  <si>
    <t>CBL093</t>
  </si>
  <si>
    <t>277/2025</t>
  </si>
  <si>
    <t>115202-07</t>
  </si>
  <si>
    <t>115202-08</t>
  </si>
  <si>
    <t>BN USI NT DISCO 18 CF8M 150#</t>
  </si>
  <si>
    <t>112397-03</t>
  </si>
  <si>
    <t>108716-17</t>
  </si>
  <si>
    <t>07052501</t>
  </si>
  <si>
    <t>FVP 24/25</t>
  </si>
  <si>
    <t>RL2 CPW BRT 18" 150PSI WCB</t>
  </si>
  <si>
    <t>000025656</t>
  </si>
  <si>
    <t>114664-02</t>
  </si>
  <si>
    <t>15370</t>
  </si>
  <si>
    <t>RL2 CPW BRT 16" 150PSI CF8M</t>
  </si>
  <si>
    <t>000025660</t>
  </si>
  <si>
    <t>114591-02</t>
  </si>
  <si>
    <t>15367</t>
  </si>
  <si>
    <t>NE DISCO 12" 250PSI CF8M</t>
  </si>
  <si>
    <t>000025679</t>
  </si>
  <si>
    <t>114972-01</t>
  </si>
  <si>
    <t>15397</t>
  </si>
  <si>
    <t>2025-1215</t>
  </si>
  <si>
    <t>RL2 DISCO BRT 24" 150PSI CF8M</t>
  </si>
  <si>
    <t>000025684</t>
  </si>
  <si>
    <t>114624-04</t>
  </si>
  <si>
    <t>RL2 CPW BRT 18 CF8</t>
  </si>
  <si>
    <t>000025681</t>
  </si>
  <si>
    <t>115664-01</t>
  </si>
  <si>
    <t>09092501</t>
  </si>
  <si>
    <t>15395</t>
  </si>
  <si>
    <t>114664-01</t>
  </si>
  <si>
    <t>2025-1231</t>
  </si>
  <si>
    <t>15369</t>
  </si>
  <si>
    <t>2025-1233</t>
  </si>
  <si>
    <t>RL2 CPW BRT 16 CF8</t>
  </si>
  <si>
    <t>000025685</t>
  </si>
  <si>
    <t>114591-01</t>
  </si>
  <si>
    <t>15391</t>
  </si>
  <si>
    <t>2025-1334</t>
  </si>
  <si>
    <t>RL2 CPW BRT 24" 150PSI CF8M</t>
  </si>
  <si>
    <t>000025732</t>
  </si>
  <si>
    <t>114624-01</t>
  </si>
  <si>
    <t>15484</t>
  </si>
  <si>
    <t>000025731</t>
  </si>
  <si>
    <t>15485</t>
  </si>
  <si>
    <t>000025740</t>
  </si>
  <si>
    <t>15490</t>
  </si>
  <si>
    <t xml:space="preserve">BN VUL NE SEDE 5" EPDM </t>
  </si>
  <si>
    <t>98</t>
  </si>
  <si>
    <t>000004747</t>
  </si>
  <si>
    <t>114746-01</t>
  </si>
  <si>
    <t>11123</t>
  </si>
  <si>
    <t>2174/25</t>
  </si>
  <si>
    <t>IM-0059</t>
  </si>
  <si>
    <t xml:space="preserve">BN VUL NE SEDE 6" EPDM-T150 </t>
  </si>
  <si>
    <t>51</t>
  </si>
  <si>
    <t>111536-06</t>
  </si>
  <si>
    <t>11617</t>
  </si>
  <si>
    <t>2175/25</t>
  </si>
  <si>
    <t>111536-07</t>
  </si>
  <si>
    <t xml:space="preserve">BN VUL NE SEDE 6" HYPALON </t>
  </si>
  <si>
    <t>6</t>
  </si>
  <si>
    <t>115513-01</t>
  </si>
  <si>
    <t>11512</t>
  </si>
  <si>
    <t>2171/25</t>
  </si>
  <si>
    <t>111530-07</t>
  </si>
  <si>
    <t>2173/25</t>
  </si>
  <si>
    <t>RL2 DISCO BRT 3 CF8</t>
  </si>
  <si>
    <t>114842-03</t>
  </si>
  <si>
    <t>15366</t>
  </si>
  <si>
    <t>2025-1235</t>
  </si>
  <si>
    <t>MS USINAGEM</t>
  </si>
  <si>
    <t>BN USI NE CPL 10 FN</t>
  </si>
  <si>
    <t>000006433</t>
  </si>
  <si>
    <t>113699-02</t>
  </si>
  <si>
    <t>290/25</t>
  </si>
  <si>
    <t>BN USI NE CPL 3 FN</t>
  </si>
  <si>
    <t>000006440</t>
  </si>
  <si>
    <t>115257-02</t>
  </si>
  <si>
    <t>46/24 e 174/25</t>
  </si>
  <si>
    <t>127/25</t>
  </si>
  <si>
    <t>115609-02</t>
  </si>
  <si>
    <t>000006438</t>
  </si>
  <si>
    <t>BN USI NE CPW 2" FN</t>
  </si>
  <si>
    <t>115609-01</t>
  </si>
  <si>
    <t>114513-03</t>
  </si>
  <si>
    <t>BN USI NE CPL 8 WCB DIN PN10</t>
  </si>
  <si>
    <t xml:space="preserve">BN USI NE CPL 8 WCB    </t>
  </si>
  <si>
    <t>114513-02</t>
  </si>
  <si>
    <t>BN USI NE CPW 10 FN DIN PN10</t>
  </si>
  <si>
    <t>115609-03</t>
  </si>
  <si>
    <t>115609-04</t>
  </si>
  <si>
    <t>115609-05</t>
  </si>
  <si>
    <t>115609-06</t>
  </si>
  <si>
    <t>115609-07</t>
  </si>
  <si>
    <t>115609-08</t>
  </si>
  <si>
    <t>115609-09</t>
  </si>
  <si>
    <t>272/25</t>
  </si>
  <si>
    <t>ETJ</t>
  </si>
  <si>
    <t>BN USI NF CPW 18 FN</t>
  </si>
  <si>
    <t>000002739</t>
  </si>
  <si>
    <t>110483-03</t>
  </si>
  <si>
    <t>50/25</t>
  </si>
  <si>
    <t>BN VUL NE SEDE 3" EPDM T-150</t>
  </si>
  <si>
    <t>32</t>
  </si>
  <si>
    <t>111535-07</t>
  </si>
  <si>
    <t>115572</t>
  </si>
  <si>
    <t>2176/25</t>
  </si>
  <si>
    <t>BN VUL NE SEDE 4" EPDM T-150</t>
  </si>
  <si>
    <t>111537-07</t>
  </si>
  <si>
    <t>619/2025</t>
  </si>
  <si>
    <t>RL DISCO BRT 4" PN10 CF8M</t>
  </si>
  <si>
    <t>000025741</t>
  </si>
  <si>
    <t>115180-01</t>
  </si>
  <si>
    <t>15491</t>
  </si>
  <si>
    <t>115003-01</t>
  </si>
  <si>
    <t xml:space="preserve">NE DC 12" CF8M BRT </t>
  </si>
  <si>
    <t>000025739</t>
  </si>
  <si>
    <t>15489</t>
  </si>
  <si>
    <t>RL DISCO BRT 14" PN10 CF8</t>
  </si>
  <si>
    <t>09</t>
  </si>
  <si>
    <t>000025734</t>
  </si>
  <si>
    <t>115119-01</t>
  </si>
  <si>
    <t>02102501</t>
  </si>
  <si>
    <t>15482</t>
  </si>
  <si>
    <t>NE DISCO BRT 8" 250PSI CF8M</t>
  </si>
  <si>
    <t>000025733</t>
  </si>
  <si>
    <t>114974-01</t>
  </si>
  <si>
    <t>15483</t>
  </si>
  <si>
    <t>USIMONTEC</t>
  </si>
  <si>
    <t>RK CPL BRT 12" 150# A995 6A</t>
  </si>
  <si>
    <t>000028060</t>
  </si>
  <si>
    <t>114325-01</t>
  </si>
  <si>
    <t>21862 LOTE-58610</t>
  </si>
  <si>
    <t>2025-1239</t>
  </si>
  <si>
    <t>53028</t>
  </si>
  <si>
    <t>114325-02</t>
  </si>
  <si>
    <t>21862 LOTE-58609</t>
  </si>
  <si>
    <t>53029</t>
  </si>
  <si>
    <t>RK DISCO BRT 12" 150# CF8M</t>
  </si>
  <si>
    <t>115633-01</t>
  </si>
  <si>
    <t>21908 LOTE-58957</t>
  </si>
  <si>
    <t>53030</t>
  </si>
  <si>
    <t>RK DISCO BRT 12" 150# A995 6A</t>
  </si>
  <si>
    <t>114325-08</t>
  </si>
  <si>
    <t>21862 LOTE-58703</t>
  </si>
  <si>
    <t>53026</t>
  </si>
  <si>
    <t>53027</t>
  </si>
  <si>
    <t>21862 LOTE-58702</t>
  </si>
  <si>
    <t>114325-07</t>
  </si>
  <si>
    <t>GALVANOTEC</t>
  </si>
  <si>
    <t>GALVANATEC</t>
  </si>
  <si>
    <t>BN REV NE DISCO 10" IN 150 PSI NQ</t>
  </si>
  <si>
    <t>2</t>
  </si>
  <si>
    <t>000002948</t>
  </si>
  <si>
    <t>115344-01</t>
  </si>
  <si>
    <t>115344-02</t>
  </si>
  <si>
    <t>27052501</t>
  </si>
  <si>
    <t>05062501</t>
  </si>
  <si>
    <t>146725/25</t>
  </si>
  <si>
    <t>1467/25</t>
  </si>
  <si>
    <t>SOLIMARC (POLMATEC)</t>
  </si>
  <si>
    <t>AM CR PRVA-150 F25/R80 POLMATEC</t>
  </si>
  <si>
    <t>000010921</t>
  </si>
  <si>
    <t>115094-01</t>
  </si>
  <si>
    <t>16766.01.01 á 16766.01.03</t>
  </si>
  <si>
    <t>005429/2025</t>
  </si>
  <si>
    <t>HEITEC USINAGEM</t>
  </si>
  <si>
    <t xml:space="preserve">BN USI NE DISCO 4"  CF8M 250 PSI </t>
  </si>
  <si>
    <t>000000436</t>
  </si>
  <si>
    <t>114473-01</t>
  </si>
  <si>
    <t>M390-25</t>
  </si>
  <si>
    <t>204/25</t>
  </si>
  <si>
    <t xml:space="preserve">BN USI NE DISCO 5"  CF8M 250 PSI </t>
  </si>
  <si>
    <t>000000438</t>
  </si>
  <si>
    <t>113852-01</t>
  </si>
  <si>
    <t>07032501, 11022501</t>
  </si>
  <si>
    <t>206/25</t>
  </si>
  <si>
    <t>NE SEDE 5" EPDM</t>
  </si>
  <si>
    <t xml:space="preserve">NE SEDE 5" EPDM </t>
  </si>
  <si>
    <t>000006441</t>
  </si>
  <si>
    <t>115585-01</t>
  </si>
  <si>
    <t>BN USI NP CPW 6 FN DIN PN10</t>
  </si>
  <si>
    <t>115609-18</t>
  </si>
  <si>
    <t>128/25 e 156/25</t>
  </si>
  <si>
    <t>CLEVER</t>
  </si>
  <si>
    <t>BN VUL NE SEDE 10 EPDM T-150</t>
  </si>
  <si>
    <t>23</t>
  </si>
  <si>
    <t>000012513</t>
  </si>
  <si>
    <t>111558-06</t>
  </si>
  <si>
    <t>111558-07</t>
  </si>
  <si>
    <t>47278</t>
  </si>
  <si>
    <t>6895/25</t>
  </si>
  <si>
    <t>BN VUL NE SEDE 6" NEOPRENE</t>
  </si>
  <si>
    <t>000012519</t>
  </si>
  <si>
    <t>115198-03</t>
  </si>
  <si>
    <t>6912/25</t>
  </si>
  <si>
    <t>11036</t>
  </si>
  <si>
    <t>115360-01</t>
  </si>
  <si>
    <t>2025-1240</t>
  </si>
  <si>
    <t>BN VUL NE SEDE 4" NEOPRENE</t>
  </si>
  <si>
    <t>115198-02</t>
  </si>
  <si>
    <t>6911/25</t>
  </si>
  <si>
    <t>BN VUL NE SEDE 8" EPDM T-150</t>
  </si>
  <si>
    <t>52</t>
  </si>
  <si>
    <t>111556-07</t>
  </si>
  <si>
    <t>6894/25</t>
  </si>
  <si>
    <t>47</t>
  </si>
  <si>
    <t>2025-1242</t>
  </si>
  <si>
    <t>111556-06</t>
  </si>
  <si>
    <t>6906/25</t>
  </si>
  <si>
    <t>WR3 SEDE 8" EPDM</t>
  </si>
  <si>
    <t>000012518</t>
  </si>
  <si>
    <t>115582-01</t>
  </si>
  <si>
    <t>115582-02</t>
  </si>
  <si>
    <t>481493</t>
  </si>
  <si>
    <t>6904/25</t>
  </si>
  <si>
    <t>WR3 SEDE 28" EPDM</t>
  </si>
  <si>
    <t>115582-07</t>
  </si>
  <si>
    <t>115582-08</t>
  </si>
  <si>
    <t>115582-09</t>
  </si>
  <si>
    <t>115582-10</t>
  </si>
  <si>
    <t>115582-11</t>
  </si>
  <si>
    <t>115582-12</t>
  </si>
  <si>
    <t>6905/25</t>
  </si>
  <si>
    <t>BN VUL NE SEDE 4 SBR</t>
  </si>
  <si>
    <t>114950-25</t>
  </si>
  <si>
    <t>04334</t>
  </si>
  <si>
    <t>6909/25</t>
  </si>
  <si>
    <t>BN VUL NE SEDE 2" BUNA-N</t>
  </si>
  <si>
    <t>000012516</t>
  </si>
  <si>
    <t>111540-08</t>
  </si>
  <si>
    <t>11187</t>
  </si>
  <si>
    <t>6901/25</t>
  </si>
  <si>
    <t>BN VUL NE SEDE 2" EPDM T-150</t>
  </si>
  <si>
    <t>111552-07</t>
  </si>
  <si>
    <t>6896/25</t>
  </si>
  <si>
    <t>BN VUL NE SEDE 4" GA-1</t>
  </si>
  <si>
    <t>6926</t>
  </si>
  <si>
    <t>115198-05</t>
  </si>
  <si>
    <t>115198-04</t>
  </si>
  <si>
    <t>6926/25</t>
  </si>
  <si>
    <t>BN VUL NE SEDE 12 EPDM T-150</t>
  </si>
  <si>
    <t>13</t>
  </si>
  <si>
    <t>6898/25</t>
  </si>
  <si>
    <t>BN VUL NE SEDE 6 SBR</t>
  </si>
  <si>
    <t>111598-06</t>
  </si>
  <si>
    <t>114950-28</t>
  </si>
  <si>
    <t>BN VUL NE SEDE 12 EPDM BRANCO</t>
  </si>
  <si>
    <t>115360-03</t>
  </si>
  <si>
    <t>12920</t>
  </si>
  <si>
    <t>6913/25</t>
  </si>
  <si>
    <t>111541-07</t>
  </si>
  <si>
    <t>00107337</t>
  </si>
  <si>
    <t>BN VUL NF SEDE 18 EPDM T-150</t>
  </si>
  <si>
    <t>111563-07</t>
  </si>
  <si>
    <t>6899/25</t>
  </si>
  <si>
    <t>311/25</t>
  </si>
  <si>
    <t>BN VUL NE SEDE 10 HYPALON</t>
  </si>
  <si>
    <t>115577-01</t>
  </si>
  <si>
    <t>13642</t>
  </si>
  <si>
    <t>6903/25</t>
  </si>
  <si>
    <t>BN VUL NE SEDE 4" VITON-B</t>
  </si>
  <si>
    <t>114367-04</t>
  </si>
  <si>
    <t>3599</t>
  </si>
  <si>
    <t>6907/25</t>
  </si>
  <si>
    <t>115029-03</t>
  </si>
  <si>
    <t>6910/25</t>
  </si>
  <si>
    <t>BN VUL NE SEDE 6" BUNA-N</t>
  </si>
  <si>
    <t>114950-10</t>
  </si>
  <si>
    <t>6908/25</t>
  </si>
  <si>
    <t>BN USI RL2 CPW  12" WCB 150 PSI</t>
  </si>
  <si>
    <t>000005627</t>
  </si>
  <si>
    <t>113732-05</t>
  </si>
  <si>
    <t>141120</t>
  </si>
  <si>
    <t>NE DISCO 6" CF8M 150 PSI</t>
  </si>
  <si>
    <t>84</t>
  </si>
  <si>
    <t>000012550</t>
  </si>
  <si>
    <t>111324-08</t>
  </si>
  <si>
    <t>M576/25</t>
  </si>
  <si>
    <t>2128/25</t>
  </si>
  <si>
    <t>BN RK USI DISCO 3" CF8M</t>
  </si>
  <si>
    <t>113992-07</t>
  </si>
  <si>
    <t>SEM CORRIDA</t>
  </si>
  <si>
    <t>051112</t>
  </si>
  <si>
    <t>TRI-001</t>
  </si>
  <si>
    <t>2025-1207</t>
  </si>
  <si>
    <t>113992-06</t>
  </si>
  <si>
    <t>BN USI RK CPL 2" C958</t>
  </si>
  <si>
    <t>114378-01</t>
  </si>
  <si>
    <t>2117 AS 1 e 2</t>
  </si>
  <si>
    <t>051107</t>
  </si>
  <si>
    <t xml:space="preserve">0 </t>
  </si>
  <si>
    <t>2025-1212</t>
  </si>
  <si>
    <t>BN USI CPF-C RK 30" 150# WCB</t>
  </si>
  <si>
    <t>114378-02</t>
  </si>
  <si>
    <t>5535</t>
  </si>
  <si>
    <t>051114</t>
  </si>
  <si>
    <t>BN USI RK DISCO 30" 150# WCB</t>
  </si>
  <si>
    <t>114378-03</t>
  </si>
  <si>
    <t>5355</t>
  </si>
  <si>
    <t>051102</t>
  </si>
  <si>
    <t xml:space="preserve">TURNPARTS </t>
  </si>
  <si>
    <t>000042787</t>
  </si>
  <si>
    <t>115298-04</t>
  </si>
  <si>
    <t>2025-1220</t>
  </si>
  <si>
    <t>115298-05</t>
  </si>
  <si>
    <t>239/25</t>
  </si>
  <si>
    <t>2025-1223</t>
  </si>
  <si>
    <t>BN USI RK CPW 6" 150/300# WCB</t>
  </si>
  <si>
    <t>000005616</t>
  </si>
  <si>
    <t>114312-02</t>
  </si>
  <si>
    <t>02082501</t>
  </si>
  <si>
    <t>2025-1228</t>
  </si>
  <si>
    <t>BN USI RK CPL 12" FIRE DS CF8M SWS REQ PB</t>
  </si>
  <si>
    <t>114326-06</t>
  </si>
  <si>
    <t>22072501</t>
  </si>
  <si>
    <t>2025-1246</t>
  </si>
  <si>
    <t>BN VUL NE SEDE 4 ELASTOHARD</t>
  </si>
  <si>
    <t>000012525</t>
  </si>
  <si>
    <t>111541-06</t>
  </si>
  <si>
    <t>42</t>
  </si>
  <si>
    <t>111559-07</t>
  </si>
  <si>
    <t xml:space="preserve">BN VUL NE SEDE 6" EPDM T-150 </t>
  </si>
  <si>
    <t>11555-07</t>
  </si>
  <si>
    <t>6897/25</t>
  </si>
  <si>
    <t>IM-0059/IM0023</t>
  </si>
  <si>
    <t>BN VUL NF SEDE 14" EPDM T-150 V</t>
  </si>
  <si>
    <t>111561-06</t>
  </si>
  <si>
    <t>6900/25</t>
  </si>
  <si>
    <t>111561-07</t>
  </si>
  <si>
    <t>ARPEX</t>
  </si>
  <si>
    <t>BN PINT NP CPL 8 FN PE (FURO LISOS)</t>
  </si>
  <si>
    <t>000010806</t>
  </si>
  <si>
    <t>115193-02</t>
  </si>
  <si>
    <t>232/25</t>
  </si>
  <si>
    <t>169/25</t>
  </si>
  <si>
    <t>BN PINT AM CR 14"- 16" PE</t>
  </si>
  <si>
    <t>000010805</t>
  </si>
  <si>
    <t>115753-01</t>
  </si>
  <si>
    <t>N/A</t>
  </si>
  <si>
    <t>170/25</t>
  </si>
  <si>
    <t>BQ ACOPL. DC/HASTE 24 FN PN10</t>
  </si>
  <si>
    <t>000005624</t>
  </si>
  <si>
    <t>115652-01</t>
  </si>
  <si>
    <t>C669</t>
  </si>
  <si>
    <t>141114</t>
  </si>
  <si>
    <t>BN USI RL2 DISCO 14" CF8</t>
  </si>
  <si>
    <t>000002736</t>
  </si>
  <si>
    <t>109662-12</t>
  </si>
  <si>
    <t>09042501, FVP64/25, FVP954/24</t>
  </si>
  <si>
    <t>615/2025</t>
  </si>
  <si>
    <t>000005625</t>
  </si>
  <si>
    <t>113465-07</t>
  </si>
  <si>
    <t>C473</t>
  </si>
  <si>
    <t>C473 e C474</t>
  </si>
  <si>
    <t>141117</t>
  </si>
  <si>
    <t>BN USI NE HS 2.1/2" 410</t>
  </si>
  <si>
    <t>56</t>
  </si>
  <si>
    <t>113699-18</t>
  </si>
  <si>
    <t>CA595</t>
  </si>
  <si>
    <t>BN MONT. DC/HASTE MS DN-24 PN25</t>
  </si>
  <si>
    <t>114847-02</t>
  </si>
  <si>
    <t>18062501</t>
  </si>
  <si>
    <t>141116</t>
  </si>
  <si>
    <t xml:space="preserve">ETJ </t>
  </si>
  <si>
    <t>BC USI RL2 CPW 8" CF8 150 PSI</t>
  </si>
  <si>
    <t>000002741</t>
  </si>
  <si>
    <t>111345-17</t>
  </si>
  <si>
    <t>80/25</t>
  </si>
  <si>
    <t>617/2025</t>
  </si>
  <si>
    <t>2025-1247</t>
  </si>
  <si>
    <t>RK PREME GAXETA (PONTE) BRT 20" CF8M</t>
  </si>
  <si>
    <t>000012257</t>
  </si>
  <si>
    <t>115061-01</t>
  </si>
  <si>
    <t>115275-01</t>
  </si>
  <si>
    <t>115275-02</t>
  </si>
  <si>
    <t>M610/25</t>
  </si>
  <si>
    <t>2266/25</t>
  </si>
  <si>
    <t xml:space="preserve">MARS </t>
  </si>
  <si>
    <t>BC USI RL2 DISCO 8" CF8 150 PSI</t>
  </si>
  <si>
    <t>113809-04</t>
  </si>
  <si>
    <t>05082501</t>
  </si>
  <si>
    <t>141109</t>
  </si>
  <si>
    <t>108064-28</t>
  </si>
  <si>
    <t>108001-11</t>
  </si>
  <si>
    <t>BC USI RL2 DISCO 8" CF8M 150 PSI</t>
  </si>
  <si>
    <t>114558-04</t>
  </si>
  <si>
    <t>RK CPL BRT 10" 150# CF8M</t>
  </si>
  <si>
    <t>000025777</t>
  </si>
  <si>
    <t>115358-01</t>
  </si>
  <si>
    <t>15552</t>
  </si>
  <si>
    <t>115358-03</t>
  </si>
  <si>
    <t>000025778</t>
  </si>
  <si>
    <t>115318-01</t>
  </si>
  <si>
    <t>15553</t>
  </si>
  <si>
    <t>15554</t>
  </si>
  <si>
    <t>RL2 CPW BRT 24" 150PSI WCB</t>
  </si>
  <si>
    <t>000025779</t>
  </si>
  <si>
    <t>115067-03</t>
  </si>
  <si>
    <t>06102501</t>
  </si>
  <si>
    <t>VKT DISCO BRT 18 CL 150 C958</t>
  </si>
  <si>
    <t>000021710</t>
  </si>
  <si>
    <t>114593-02</t>
  </si>
  <si>
    <t>2253 AS2, AS3 e 2246 AS4</t>
  </si>
  <si>
    <t>0606/2025</t>
  </si>
  <si>
    <t>RK CPL BRT 20" 150# C958</t>
  </si>
  <si>
    <t>000021708</t>
  </si>
  <si>
    <t>115271-01</t>
  </si>
  <si>
    <t>2253 AS1</t>
  </si>
  <si>
    <t>0604/2025</t>
  </si>
  <si>
    <t>RK CPL BRT 8" 150# ASME 150/300# C958</t>
  </si>
  <si>
    <t>000021709</t>
  </si>
  <si>
    <t>114114-01</t>
  </si>
  <si>
    <t>2246 AS2 e 2246 AS3</t>
  </si>
  <si>
    <t>0607/2025</t>
  </si>
  <si>
    <t>2246 AS1</t>
  </si>
  <si>
    <t>0605/2025</t>
  </si>
  <si>
    <t>BC USI RL2 CPW 8" 150PSI WCB</t>
  </si>
  <si>
    <t>000005622</t>
  </si>
  <si>
    <t>112179-01</t>
  </si>
  <si>
    <t>04042501, FVP 958/24 e FVP 68/25</t>
  </si>
  <si>
    <t>141102</t>
  </si>
  <si>
    <t>108064-47</t>
  </si>
  <si>
    <t>141104</t>
  </si>
  <si>
    <t>BC USI RL2 CPW 12" CF8</t>
  </si>
  <si>
    <t>14</t>
  </si>
  <si>
    <t>113732-04</t>
  </si>
  <si>
    <t>14072501</t>
  </si>
  <si>
    <t>141101</t>
  </si>
  <si>
    <t>BC USI RL2 CPW 8" 150PSI CF8M</t>
  </si>
  <si>
    <t>000005626</t>
  </si>
  <si>
    <t>112866-02</t>
  </si>
  <si>
    <t>FVP 82/25</t>
  </si>
  <si>
    <t>141103</t>
  </si>
  <si>
    <t>112177-03</t>
  </si>
  <si>
    <t>VKT ARS USI 14" CL 150 C958</t>
  </si>
  <si>
    <t>000021671</t>
  </si>
  <si>
    <t>114405-01</t>
  </si>
  <si>
    <t>2052AS</t>
  </si>
  <si>
    <t>0580/2025</t>
  </si>
  <si>
    <t>VKT ARS USI 12" CL 150 C958</t>
  </si>
  <si>
    <t>000021666</t>
  </si>
  <si>
    <t>114405-03</t>
  </si>
  <si>
    <t>VKT ARS USI 10" CL 150 C958</t>
  </si>
  <si>
    <t>114642-01</t>
  </si>
  <si>
    <t>2084AS</t>
  </si>
  <si>
    <t>0583/2025</t>
  </si>
  <si>
    <t>VKT ARS USI 20" CL 150 C958</t>
  </si>
  <si>
    <t>000021508</t>
  </si>
  <si>
    <t>113923-01</t>
  </si>
  <si>
    <t>0517/2025</t>
  </si>
  <si>
    <t>1887AS</t>
  </si>
  <si>
    <t>BC USI RL2 CPW 16" 150PSI CF8</t>
  </si>
  <si>
    <t>114514-01</t>
  </si>
  <si>
    <t>114489-01</t>
  </si>
  <si>
    <t>141105</t>
  </si>
  <si>
    <t>JM</t>
  </si>
  <si>
    <t>BN USI NE HASTE INF 4" 410</t>
  </si>
  <si>
    <t>11</t>
  </si>
  <si>
    <t>000000228</t>
  </si>
  <si>
    <t>114471-10</t>
  </si>
  <si>
    <t>CA635</t>
  </si>
  <si>
    <t>INT130</t>
  </si>
  <si>
    <t>45</t>
  </si>
  <si>
    <t>114512-04</t>
  </si>
  <si>
    <t>114471-09</t>
  </si>
  <si>
    <t>BN USI NE HASTE INF 2.1/2 " 410</t>
  </si>
  <si>
    <t>000000229</t>
  </si>
  <si>
    <t>114830-02</t>
  </si>
  <si>
    <t>CA614</t>
  </si>
  <si>
    <t>INT131</t>
  </si>
  <si>
    <t>BN USI NE HASTE INF 5-6" " 410</t>
  </si>
  <si>
    <t>235</t>
  </si>
  <si>
    <t>000000226</t>
  </si>
  <si>
    <t>114830-04</t>
  </si>
  <si>
    <t>CA123</t>
  </si>
  <si>
    <t>INT128</t>
  </si>
  <si>
    <t>BN USI NE HASTE INF 4 " 410</t>
  </si>
  <si>
    <t>150</t>
  </si>
  <si>
    <t>000000227</t>
  </si>
  <si>
    <t>114830-03</t>
  </si>
  <si>
    <t>INT129</t>
  </si>
  <si>
    <t>000021730</t>
  </si>
  <si>
    <t>000021726</t>
  </si>
  <si>
    <t>2284 AS3 ao 2284 AS6</t>
  </si>
  <si>
    <t>2284 AS2</t>
  </si>
  <si>
    <t>0613/2025</t>
  </si>
  <si>
    <t>0610/2025</t>
  </si>
  <si>
    <t>BN USI NE CPW 3" FN</t>
  </si>
  <si>
    <t>000000439</t>
  </si>
  <si>
    <t>114510-01</t>
  </si>
  <si>
    <t>211/25, 233/25</t>
  </si>
  <si>
    <t>207/25</t>
  </si>
  <si>
    <t>RL2 ARS BRT 20" 150PSI A-36 WCB</t>
  </si>
  <si>
    <t>000014050</t>
  </si>
  <si>
    <t>115663-07</t>
  </si>
  <si>
    <t>CFA140</t>
  </si>
  <si>
    <t>046967</t>
  </si>
  <si>
    <t>WR3 ARS BRT 3 316</t>
  </si>
  <si>
    <t>115632--01</t>
  </si>
  <si>
    <t>CBY071</t>
  </si>
  <si>
    <t>100.616</t>
  </si>
  <si>
    <t>PRONFINOX</t>
  </si>
  <si>
    <t>WR3 ARS BRT 4" PN10 316</t>
  </si>
  <si>
    <t>000043203</t>
  </si>
  <si>
    <t>115635-01</t>
  </si>
  <si>
    <t>CBY072</t>
  </si>
  <si>
    <t>38403</t>
  </si>
  <si>
    <t>OX-FER</t>
  </si>
  <si>
    <t>RK ARS BRT 14 150 A36 FSDS</t>
  </si>
  <si>
    <t>000117569</t>
  </si>
  <si>
    <t>115679-01</t>
  </si>
  <si>
    <t>CFA141</t>
  </si>
  <si>
    <t>RK DISCO BRT 20" 150# C958</t>
  </si>
  <si>
    <t>000021731</t>
  </si>
  <si>
    <t>115271-02</t>
  </si>
  <si>
    <t>2276 AS2 e 2284 AS7</t>
  </si>
  <si>
    <t>0614/2025</t>
  </si>
  <si>
    <t>EVELIN</t>
  </si>
  <si>
    <t>BN POL NE DISCO 12" CF8M 150 PSI</t>
  </si>
  <si>
    <t>000001489</t>
  </si>
  <si>
    <t>115428-02</t>
  </si>
  <si>
    <t>225052501</t>
  </si>
  <si>
    <t>IM-00319</t>
  </si>
  <si>
    <t>BN POL DISCO 8" CF8M 150 PSI</t>
  </si>
  <si>
    <t>000001487</t>
  </si>
  <si>
    <t>115112-02</t>
  </si>
  <si>
    <t>21052501</t>
  </si>
  <si>
    <t>115112-01</t>
  </si>
  <si>
    <t>11022501</t>
  </si>
  <si>
    <t>BRASIVEDA</t>
  </si>
  <si>
    <t>RK SEDE 16" 150# FSDS INTER-STEAM</t>
  </si>
  <si>
    <t>000000036</t>
  </si>
  <si>
    <t>112492-01</t>
  </si>
  <si>
    <t>36/11</t>
  </si>
  <si>
    <t>145</t>
  </si>
  <si>
    <t>000013273</t>
  </si>
  <si>
    <t>276-25, 287-25</t>
  </si>
  <si>
    <t>770/25</t>
  </si>
  <si>
    <t>COESTER</t>
  </si>
  <si>
    <t>AE COESTER CSM16 220VAC 3F</t>
  </si>
  <si>
    <t>000038697</t>
  </si>
  <si>
    <t>111273-13</t>
  </si>
  <si>
    <t>111273-14</t>
  </si>
  <si>
    <t>SÉRIE: 45781 TAG: LAZARO VM-1.1</t>
  </si>
  <si>
    <t>NCC 14.03092</t>
  </si>
  <si>
    <t>SÉRIE: 45770 TAG: S. FRANCISCO VM-01</t>
  </si>
  <si>
    <t>000005630</t>
  </si>
  <si>
    <t>C469, C472, C473 e C474</t>
  </si>
  <si>
    <t>BQ USI WD CPF 20 FN NBR PN16</t>
  </si>
  <si>
    <t>115339-25</t>
  </si>
  <si>
    <t>BN Usi RK HI ESP MONEL</t>
  </si>
  <si>
    <t>0000004713</t>
  </si>
  <si>
    <t>115140-14</t>
  </si>
  <si>
    <t>BE197</t>
  </si>
  <si>
    <t>741/25</t>
  </si>
  <si>
    <t>BQ USI WD CPF 20 FN NBR PN10</t>
  </si>
  <si>
    <t>115439-01</t>
  </si>
  <si>
    <t>115339-24</t>
  </si>
  <si>
    <t>WD CPF BRT 28" PN10 FN</t>
  </si>
  <si>
    <t>000000890</t>
  </si>
  <si>
    <t>115809-01</t>
  </si>
  <si>
    <t>C726</t>
  </si>
  <si>
    <t>WR3 DISCO 16" PN10-16 CF8M BRT</t>
  </si>
  <si>
    <t>000000894</t>
  </si>
  <si>
    <t>115593-01</t>
  </si>
  <si>
    <t>115593-02</t>
  </si>
  <si>
    <t>115593-03</t>
  </si>
  <si>
    <t>C710</t>
  </si>
  <si>
    <t>RK CPL BRT 8" 150# ASME 150/300 C958</t>
  </si>
  <si>
    <t>000021690</t>
  </si>
  <si>
    <t>2238 AS1 ao 2238 AS3</t>
  </si>
  <si>
    <t>0590/2025</t>
  </si>
  <si>
    <t>0588/2025</t>
  </si>
  <si>
    <t>BN USI NE HASTE INF 10" 410</t>
  </si>
  <si>
    <t>000000233</t>
  </si>
  <si>
    <t>115552-01</t>
  </si>
  <si>
    <t>INT133</t>
  </si>
  <si>
    <t>BN USI NE HASTE SUP 5-6" 410</t>
  </si>
  <si>
    <t>331</t>
  </si>
  <si>
    <t>000000232</t>
  </si>
  <si>
    <t>115552-09</t>
  </si>
  <si>
    <t>CA640</t>
  </si>
  <si>
    <t>INT132</t>
  </si>
  <si>
    <t>000010939</t>
  </si>
  <si>
    <t>115199-02</t>
  </si>
  <si>
    <t>16.777.02.01</t>
  </si>
  <si>
    <t>005447/2025</t>
  </si>
  <si>
    <t>AM CR POLM PRVA-110 (REL. 1:133,7) F16/R45 S1</t>
  </si>
  <si>
    <t>115199-01</t>
  </si>
  <si>
    <t>16.777.01.01 á 16.777.01.04</t>
  </si>
  <si>
    <t>5447/2025</t>
  </si>
  <si>
    <t>AM CR PRVA-90 F14/R35 POLM. S1</t>
  </si>
  <si>
    <t>000010940</t>
  </si>
  <si>
    <t>000010933</t>
  </si>
  <si>
    <t>115366-01</t>
  </si>
  <si>
    <t>16.790.01.01</t>
  </si>
  <si>
    <t>005441/2025</t>
  </si>
  <si>
    <t>AM CR PRVA-90 F16/R40 POLM. (ASSISTEC)</t>
  </si>
  <si>
    <t>115366-02</t>
  </si>
  <si>
    <t>16.790.02.01</t>
  </si>
  <si>
    <t>005442/2025</t>
  </si>
  <si>
    <t>AM CR POLM PRVA-90 (REL.1:80,08) F16/Q36 TC10</t>
  </si>
  <si>
    <t>115427-01</t>
  </si>
  <si>
    <t>16.801.01.01</t>
  </si>
  <si>
    <t>005448/2025</t>
  </si>
  <si>
    <t>NE DC 6 CF3M BRT</t>
  </si>
  <si>
    <t>000028110</t>
  </si>
  <si>
    <t>115416-01</t>
  </si>
  <si>
    <t>53179</t>
  </si>
  <si>
    <t>21898 LOTE: 58862</t>
  </si>
  <si>
    <t>115416-02</t>
  </si>
  <si>
    <t>115340-01</t>
  </si>
  <si>
    <t>53180</t>
  </si>
  <si>
    <t>115340-02</t>
  </si>
  <si>
    <t>114844-02</t>
  </si>
  <si>
    <t>114235-12</t>
  </si>
  <si>
    <t>114235-11</t>
  </si>
  <si>
    <t>114235-10</t>
  </si>
  <si>
    <t>114235-09</t>
  </si>
  <si>
    <t>21900 LOTE: 58851</t>
  </si>
  <si>
    <t>53171</t>
  </si>
  <si>
    <t>21900 LOTE: 58850</t>
  </si>
  <si>
    <t>53172</t>
  </si>
  <si>
    <t>53173</t>
  </si>
  <si>
    <t>53174</t>
  </si>
  <si>
    <t>53175</t>
  </si>
  <si>
    <t>21900 LOTE: 58849</t>
  </si>
  <si>
    <t>21900 LOTE: 58847</t>
  </si>
  <si>
    <t>21900 LOTE: 58848</t>
  </si>
  <si>
    <t>VKT ARS BRT 08 CL300 6A</t>
  </si>
  <si>
    <t>114845-01</t>
  </si>
  <si>
    <t>53170</t>
  </si>
  <si>
    <t>114844-01</t>
  </si>
  <si>
    <t>21900 LOTE: 58596</t>
  </si>
  <si>
    <t>21900 LOTE: 58846</t>
  </si>
  <si>
    <t>114325-05</t>
  </si>
  <si>
    <t>114325-06</t>
  </si>
  <si>
    <t>21900 LOTE: 58844</t>
  </si>
  <si>
    <t>21900 LOTE: 58845</t>
  </si>
  <si>
    <t>53176</t>
  </si>
  <si>
    <t>53178</t>
  </si>
  <si>
    <t>53177</t>
  </si>
  <si>
    <t>BC USI RL2 HASTE SUP 10-12" 410 150 PSI</t>
  </si>
  <si>
    <t>000000726</t>
  </si>
  <si>
    <t>114568-03</t>
  </si>
  <si>
    <t>CA629</t>
  </si>
  <si>
    <t>283/2025</t>
  </si>
  <si>
    <t>00</t>
  </si>
  <si>
    <t>2025-1254</t>
  </si>
  <si>
    <t>2025-1255</t>
  </si>
  <si>
    <t>BN USI NP HASTE SUP 4" IN 410</t>
  </si>
  <si>
    <t>36</t>
  </si>
  <si>
    <t>000000715</t>
  </si>
  <si>
    <t>114488-01</t>
  </si>
  <si>
    <t>CA624</t>
  </si>
  <si>
    <t>280/2025</t>
  </si>
  <si>
    <t>BN USI NE HI 2" 316 150/250 PSI</t>
  </si>
  <si>
    <t>000000735</t>
  </si>
  <si>
    <t>115249-10</t>
  </si>
  <si>
    <t>BY009</t>
  </si>
  <si>
    <t>735</t>
  </si>
  <si>
    <t>BN VUL NE DC 3 CF8 RV. EBT 150</t>
  </si>
  <si>
    <t>000012536</t>
  </si>
  <si>
    <t>114855-02</t>
  </si>
  <si>
    <t>0225</t>
  </si>
  <si>
    <t>037</t>
  </si>
  <si>
    <t>BN USI RK HASTE SUP 4" 150/300 17-4PH</t>
  </si>
  <si>
    <t>115139-03</t>
  </si>
  <si>
    <t>CP223</t>
  </si>
  <si>
    <t>BN USI RK HS 16" MONEL</t>
  </si>
  <si>
    <t>115139-07</t>
  </si>
  <si>
    <t>BE198</t>
  </si>
  <si>
    <t>BN USI RK KIT INF 8" 174-PH 150 PSI</t>
  </si>
  <si>
    <t>114813-15</t>
  </si>
  <si>
    <t>CP215</t>
  </si>
  <si>
    <t>BN USI HASTE INF 18-20" 410</t>
  </si>
  <si>
    <t>114813-07</t>
  </si>
  <si>
    <t>CA639</t>
  </si>
  <si>
    <t>BC USI RL2 HASTE INF 20" 410 150 PSI</t>
  </si>
  <si>
    <t>115249-06</t>
  </si>
  <si>
    <t>CA578</t>
  </si>
  <si>
    <t>BC USI RL2 HASTE SUP 16" 410 150 PSI</t>
  </si>
  <si>
    <t>115249-02</t>
  </si>
  <si>
    <t>VKT CPL BRT 16" 150# C958</t>
  </si>
  <si>
    <t>000021754</t>
  </si>
  <si>
    <t>000021727</t>
  </si>
  <si>
    <t>000021732</t>
  </si>
  <si>
    <t>115392-01</t>
  </si>
  <si>
    <t>2305 AS1</t>
  </si>
  <si>
    <t>2276 AS1 e 2269 AS1</t>
  </si>
  <si>
    <t>2284 AS1</t>
  </si>
  <si>
    <t>2025-1257</t>
  </si>
  <si>
    <t>0611/2025</t>
  </si>
  <si>
    <t>0620/2025</t>
  </si>
  <si>
    <t>0615/2025</t>
  </si>
  <si>
    <t>BN USI NF HASTE INF 14-16" 150 PSI 410</t>
  </si>
  <si>
    <t>18</t>
  </si>
  <si>
    <t>000000739</t>
  </si>
  <si>
    <t>115259-18</t>
  </si>
  <si>
    <t>CA581</t>
  </si>
  <si>
    <t>739</t>
  </si>
  <si>
    <t>VKT DISCO BRT 16" 150# C958</t>
  </si>
  <si>
    <t>115289-01</t>
  </si>
  <si>
    <t>2276 AS4</t>
  </si>
  <si>
    <t>0612/2025</t>
  </si>
  <si>
    <t>2307 AS3</t>
  </si>
  <si>
    <t>0621/2025</t>
  </si>
  <si>
    <t>2025-1258</t>
  </si>
  <si>
    <t>0616/2025</t>
  </si>
  <si>
    <t>2284 AS8 e 2276 AS3</t>
  </si>
  <si>
    <t>000021753</t>
  </si>
  <si>
    <t>RK DISCO BRT 12" 150# C958</t>
  </si>
  <si>
    <t>115596-04</t>
  </si>
  <si>
    <t>2307 AS1 e 2307 AS2</t>
  </si>
  <si>
    <t>2312 AS2</t>
  </si>
  <si>
    <t>0624/2025</t>
  </si>
  <si>
    <t>0622/2025</t>
  </si>
  <si>
    <t>NF DC 20 BR/AL C958 BRT 250#</t>
  </si>
  <si>
    <t>000021752</t>
  </si>
  <si>
    <t>115464-01</t>
  </si>
  <si>
    <t>115291-01</t>
  </si>
  <si>
    <t>2305 AS2</t>
  </si>
  <si>
    <t>2305 AS3</t>
  </si>
  <si>
    <t>0623/2025</t>
  </si>
  <si>
    <t>NE DISCO BRT 5" C958</t>
  </si>
  <si>
    <t>115596-03</t>
  </si>
  <si>
    <t>1439 AS85</t>
  </si>
  <si>
    <t>NE DISCO BRT 2.1/2" 150/250PSI C958</t>
  </si>
  <si>
    <t>000021756</t>
  </si>
  <si>
    <t>115596-02</t>
  </si>
  <si>
    <t>2034 AR26 ao 2034 AR31</t>
  </si>
  <si>
    <t>NE DISCO BRT 6" C958</t>
  </si>
  <si>
    <t>000021757</t>
  </si>
  <si>
    <t>115390-03</t>
  </si>
  <si>
    <t>1729 AS11</t>
  </si>
  <si>
    <t>NE DISCO BRT 8" 250PSI C958 SWS</t>
  </si>
  <si>
    <t>115604-02</t>
  </si>
  <si>
    <t>1739 AS6</t>
  </si>
  <si>
    <t>115390-02</t>
  </si>
  <si>
    <t>1439 AS80 ao 1439 AS84</t>
  </si>
  <si>
    <t>000012530</t>
  </si>
  <si>
    <t>115812-04</t>
  </si>
  <si>
    <t>6930/25</t>
  </si>
  <si>
    <t>2025-1259</t>
  </si>
  <si>
    <t>115869-02</t>
  </si>
  <si>
    <t>WR3 SEDE 24" EPDM</t>
  </si>
  <si>
    <t>115812-02</t>
  </si>
  <si>
    <t>WR3 SEDE 4" EPDM</t>
  </si>
  <si>
    <t>115641-02</t>
  </si>
  <si>
    <t>6929/25</t>
  </si>
  <si>
    <t>6928/25</t>
  </si>
  <si>
    <t>WR3 SEDE 3" EPDM</t>
  </si>
  <si>
    <t>115641-01</t>
  </si>
  <si>
    <t>6927/25</t>
  </si>
  <si>
    <t>WR3 SEDE 16" EPDM</t>
  </si>
  <si>
    <t>115869-01</t>
  </si>
  <si>
    <t>115582-03</t>
  </si>
  <si>
    <t>115582-04</t>
  </si>
  <si>
    <t>115582-05</t>
  </si>
  <si>
    <t>115582-06</t>
  </si>
  <si>
    <t>LFBC</t>
  </si>
  <si>
    <t>BR USI WR3 ARS 24 304 P/ SD PTFE</t>
  </si>
  <si>
    <t>000002501</t>
  </si>
  <si>
    <t>114307-07</t>
  </si>
  <si>
    <t>CBL101</t>
  </si>
  <si>
    <t xml:space="preserve">BN USI NE HASTE INF 8" 410 </t>
  </si>
  <si>
    <t>88</t>
  </si>
  <si>
    <t>114828-04</t>
  </si>
  <si>
    <t>718-25</t>
  </si>
  <si>
    <t>RK SEDE SOFT 12" FSDS I-STEAM</t>
  </si>
  <si>
    <t>000000058</t>
  </si>
  <si>
    <t>115583-01</t>
  </si>
  <si>
    <t>BN USI RK HASTE SUP 10" 17-4PH  150 PSI</t>
  </si>
  <si>
    <t>115140-13</t>
  </si>
  <si>
    <t>CP210</t>
  </si>
  <si>
    <t>717-25</t>
  </si>
  <si>
    <t xml:space="preserve">ARTUZO </t>
  </si>
  <si>
    <t>BN USI HASTE INF 5-6" 410</t>
  </si>
  <si>
    <t>114831-02</t>
  </si>
  <si>
    <t>719-25</t>
  </si>
  <si>
    <t>BN VUL NE SEDE 4" BUNA-N</t>
  </si>
  <si>
    <t>61</t>
  </si>
  <si>
    <t>000012534</t>
  </si>
  <si>
    <t>114950-04</t>
  </si>
  <si>
    <t>111187</t>
  </si>
  <si>
    <t>48</t>
  </si>
  <si>
    <t>BN VUL NE SEDE 4" SBR</t>
  </si>
  <si>
    <t>38</t>
  </si>
  <si>
    <t>114950-26</t>
  </si>
  <si>
    <t>114950-27</t>
  </si>
  <si>
    <t>BN VUL NE SEDE 6" SBR</t>
  </si>
  <si>
    <t>114950-29</t>
  </si>
  <si>
    <t>114950-30</t>
  </si>
  <si>
    <t>2025-1260</t>
  </si>
  <si>
    <t>2025-1261</t>
  </si>
  <si>
    <t>000005631</t>
  </si>
  <si>
    <t>1711/6</t>
  </si>
  <si>
    <t>1711/7</t>
  </si>
  <si>
    <t>BC USI RL2 DISCO 6" CF8 150 PSI</t>
  </si>
  <si>
    <t>112067-03</t>
  </si>
  <si>
    <t>112067-02</t>
  </si>
  <si>
    <t>113732-08</t>
  </si>
  <si>
    <t>1711/3</t>
  </si>
  <si>
    <t>NE DISCO 5" 250 PSI</t>
  </si>
  <si>
    <t>205</t>
  </si>
  <si>
    <t>000012580</t>
  </si>
  <si>
    <t>115953-01</t>
  </si>
  <si>
    <t>M610-25, M597-25</t>
  </si>
  <si>
    <t>2206-25, 2267-25</t>
  </si>
  <si>
    <t>29</t>
  </si>
  <si>
    <t>42278</t>
  </si>
  <si>
    <t>BN VUL NE SEDE 10 ELASTOHARD</t>
  </si>
  <si>
    <t>000012532</t>
  </si>
  <si>
    <t>115750-02</t>
  </si>
  <si>
    <t>115750-03</t>
  </si>
  <si>
    <t>114745-02</t>
  </si>
  <si>
    <t>313/25</t>
  </si>
  <si>
    <t>6925/25</t>
  </si>
  <si>
    <t>220</t>
  </si>
  <si>
    <t>000001367</t>
  </si>
  <si>
    <t>171125</t>
  </si>
  <si>
    <t>181/2025</t>
  </si>
  <si>
    <t>115027-04</t>
  </si>
  <si>
    <t>115027-05</t>
  </si>
  <si>
    <t>182/2025</t>
  </si>
  <si>
    <t>BN VUL NE SEDE 3 ELASTOHARD</t>
  </si>
  <si>
    <t>115198-01</t>
  </si>
  <si>
    <t>314/25</t>
  </si>
  <si>
    <t>2025-1271</t>
  </si>
  <si>
    <t>81</t>
  </si>
  <si>
    <t>000004768</t>
  </si>
  <si>
    <t>111538-07</t>
  </si>
  <si>
    <t>111538-08</t>
  </si>
  <si>
    <t>11788 e 11692</t>
  </si>
  <si>
    <t>11692 e 11785</t>
  </si>
  <si>
    <t>11710</t>
  </si>
  <si>
    <t>BN VUL NE SEDE 6" EPDM T-150</t>
  </si>
  <si>
    <t>111536-08</t>
  </si>
  <si>
    <t>11692</t>
  </si>
  <si>
    <t>111536-09</t>
  </si>
  <si>
    <t>BN VUL NE SEDE 8" SBR</t>
  </si>
  <si>
    <t>115851-03</t>
  </si>
  <si>
    <t>11843</t>
  </si>
  <si>
    <t>BN VUL NE SEDE 8" BUNA-N</t>
  </si>
  <si>
    <t>111533-08</t>
  </si>
  <si>
    <t>11817</t>
  </si>
  <si>
    <t>111533-09</t>
  </si>
  <si>
    <t>111533-10</t>
  </si>
  <si>
    <t>BN VUL NF SEDE 14 EPDM T-150</t>
  </si>
  <si>
    <t>111539-06</t>
  </si>
  <si>
    <t>11819 e 11831</t>
  </si>
  <si>
    <t>111539-07</t>
  </si>
  <si>
    <t>11831</t>
  </si>
  <si>
    <t>BN VUL NE SEDE 5 EPDM T-150</t>
  </si>
  <si>
    <t>115851-01</t>
  </si>
  <si>
    <t>115851-02</t>
  </si>
  <si>
    <t>11786</t>
  </si>
  <si>
    <t>111531-06</t>
  </si>
  <si>
    <t>11643</t>
  </si>
  <si>
    <t>120</t>
  </si>
  <si>
    <t>111529-06</t>
  </si>
  <si>
    <t>11643 e 11816</t>
  </si>
  <si>
    <t>BN VUL NE SEDE 4 EPDM T-150</t>
  </si>
  <si>
    <t>111537-08</t>
  </si>
  <si>
    <t>111537-09</t>
  </si>
  <si>
    <t>11785</t>
  </si>
  <si>
    <t>BN USI RK ARS 6" 316MM 150 PSI</t>
  </si>
  <si>
    <t>115249-13</t>
  </si>
  <si>
    <t>CBY065</t>
  </si>
  <si>
    <t>IN-0319</t>
  </si>
  <si>
    <t>WR3 ARS 28 AC BRT</t>
  </si>
  <si>
    <t>000054341</t>
  </si>
  <si>
    <t>115830-01</t>
  </si>
  <si>
    <t>CFA142</t>
  </si>
  <si>
    <t>054341</t>
  </si>
  <si>
    <t>WR3 ARS 14 AC BRT</t>
  </si>
  <si>
    <t>000054342</t>
  </si>
  <si>
    <t>115920-01</t>
  </si>
  <si>
    <t>CFA143</t>
  </si>
  <si>
    <t>CFA144</t>
  </si>
  <si>
    <t>054342</t>
  </si>
  <si>
    <t>WR3 ARS 6 PN10 AC SAE 1020 BRT</t>
  </si>
  <si>
    <t>115920-02</t>
  </si>
  <si>
    <t>WR3 ARS 16" PN10 SAE 1020 BRT</t>
  </si>
  <si>
    <t>000012515</t>
  </si>
  <si>
    <t>115871-01</t>
  </si>
  <si>
    <t>CFA145</t>
  </si>
  <si>
    <t>CFA146</t>
  </si>
  <si>
    <t>12515</t>
  </si>
  <si>
    <t>WR3 ARS BRT 8" PN10 SAE 1020</t>
  </si>
  <si>
    <t>115880-01</t>
  </si>
  <si>
    <t>12516</t>
  </si>
  <si>
    <t>000014077</t>
  </si>
  <si>
    <t>115625-01</t>
  </si>
  <si>
    <t>CBL105</t>
  </si>
  <si>
    <t>100.651</t>
  </si>
  <si>
    <t>RTT ARS BRT 30 150 304</t>
  </si>
  <si>
    <t>RL2 ARS BRT 20 150PSI A-36 WCB</t>
  </si>
  <si>
    <t>000014094</t>
  </si>
  <si>
    <t>115792-01</t>
  </si>
  <si>
    <t>100.691</t>
  </si>
  <si>
    <t>CFA147</t>
  </si>
  <si>
    <t>000014095</t>
  </si>
  <si>
    <t>115782-02</t>
  </si>
  <si>
    <t>CFA148</t>
  </si>
  <si>
    <t>100..690</t>
  </si>
  <si>
    <t>RL2 ARS BRT 16" 150PSI 304/CF8</t>
  </si>
  <si>
    <t>000014083</t>
  </si>
  <si>
    <t>115788-01</t>
  </si>
  <si>
    <t>CBL106</t>
  </si>
  <si>
    <t>100.670</t>
  </si>
  <si>
    <t>000014084</t>
  </si>
  <si>
    <t>100.674</t>
  </si>
  <si>
    <t>100.623</t>
  </si>
  <si>
    <t>RL2 ARS CHAPA 10" 150PSI 304</t>
  </si>
  <si>
    <t>115782-01</t>
  </si>
  <si>
    <t>CBL108</t>
  </si>
  <si>
    <t>CBL109</t>
  </si>
  <si>
    <t>RL2 ARS CHAPA 12" 150PSI 304</t>
  </si>
  <si>
    <t>RL2 ARS CHAPA 14" 150PSI 304</t>
  </si>
  <si>
    <t>115782-03</t>
  </si>
  <si>
    <t>CBL110</t>
  </si>
  <si>
    <t>0287/25</t>
  </si>
  <si>
    <t>BN VUL NE SEDE 4 HYPALON</t>
  </si>
  <si>
    <t>115877-01</t>
  </si>
  <si>
    <t>2025-1277</t>
  </si>
  <si>
    <t>BN USI NE DISCO 12" 250PSI CF8M</t>
  </si>
  <si>
    <t>000006458</t>
  </si>
  <si>
    <t>114267-07</t>
  </si>
  <si>
    <t>2025-1282</t>
  </si>
  <si>
    <t>RK SEDE SOFT 20" 150# RTFE (PTFV25)</t>
  </si>
  <si>
    <t>115408-01</t>
  </si>
  <si>
    <t>58-1/2025</t>
  </si>
  <si>
    <t>58-14/2025</t>
  </si>
  <si>
    <t>RK SEDE SOFT 20" RTFE (PTFV25) FSDS</t>
  </si>
  <si>
    <t>115621-01</t>
  </si>
  <si>
    <t>58-9/2025</t>
  </si>
  <si>
    <t>000000059</t>
  </si>
  <si>
    <t>115583-02</t>
  </si>
  <si>
    <t>100.674 R1</t>
  </si>
  <si>
    <t>PLASTERMO</t>
  </si>
  <si>
    <t>RK SEDE SOFT 20" PTFE</t>
  </si>
  <si>
    <t>000031554</t>
  </si>
  <si>
    <t>115748-02</t>
  </si>
  <si>
    <t>731/2025</t>
  </si>
  <si>
    <t>BC USI RL2 ARS 6" 150PSI 304</t>
  </si>
  <si>
    <t>000004735</t>
  </si>
  <si>
    <t>115251-04</t>
  </si>
  <si>
    <t>MADRIFLON</t>
  </si>
  <si>
    <t>RT SEDE 30" 100PSI INTER-STEAM V4</t>
  </si>
  <si>
    <t>000000015</t>
  </si>
  <si>
    <t>115587-01</t>
  </si>
  <si>
    <t>CBL079</t>
  </si>
  <si>
    <t>744-25</t>
  </si>
  <si>
    <t>BC USI RL2 ARS 8" 150PSI 304</t>
  </si>
  <si>
    <t>40</t>
  </si>
  <si>
    <t>000000240</t>
  </si>
  <si>
    <t>115262-01</t>
  </si>
  <si>
    <t>CBL098</t>
  </si>
  <si>
    <t>INT 135</t>
  </si>
  <si>
    <t>BN VUL NE SEDE 2 SBR</t>
  </si>
  <si>
    <t>115750-01</t>
  </si>
  <si>
    <t>RK PREME GAX. (PONTE) BRT 16</t>
  </si>
  <si>
    <t>000012575</t>
  </si>
  <si>
    <t>115300-01</t>
  </si>
  <si>
    <t>115300-02</t>
  </si>
  <si>
    <t>M616-25</t>
  </si>
  <si>
    <t>2336/25</t>
  </si>
  <si>
    <t>2025-1295</t>
  </si>
  <si>
    <t>BN VUL NE SEDE 10 EPDM BRANCO</t>
  </si>
  <si>
    <t>115360-02</t>
  </si>
  <si>
    <t>115360-04</t>
  </si>
  <si>
    <t>000012543</t>
  </si>
  <si>
    <t>116023-01</t>
  </si>
  <si>
    <t>115878-01</t>
  </si>
  <si>
    <t>115812-03</t>
  </si>
  <si>
    <t>115963-01</t>
  </si>
  <si>
    <t>6942/25</t>
  </si>
  <si>
    <t>6943/25</t>
  </si>
  <si>
    <t>000021769</t>
  </si>
  <si>
    <t>000021765</t>
  </si>
  <si>
    <t>2312 AS1, 2315 AS1 e 2321 AS1</t>
  </si>
  <si>
    <t>0625/2025</t>
  </si>
  <si>
    <t>RK CPL 12" C958 150#</t>
  </si>
  <si>
    <t>000021768</t>
  </si>
  <si>
    <t>115596-06</t>
  </si>
  <si>
    <t xml:space="preserve">2312 AS1 </t>
  </si>
  <si>
    <t>0637/2025</t>
  </si>
  <si>
    <t>RK CPL BRT 12" C958 150#</t>
  </si>
  <si>
    <t>000021796</t>
  </si>
  <si>
    <t>2335 AS1</t>
  </si>
  <si>
    <t>RK DISCO BRT 20 150# C958 SWS</t>
  </si>
  <si>
    <t>000021790</t>
  </si>
  <si>
    <t>115388-02</t>
  </si>
  <si>
    <t>2329 AS2</t>
  </si>
  <si>
    <t>RK CPL BRT 20" C958 150# MODEC</t>
  </si>
  <si>
    <t>115388-01</t>
  </si>
  <si>
    <t>2330 AS1</t>
  </si>
  <si>
    <t>BN USI NP CPL 8 FN</t>
  </si>
  <si>
    <t>000006463</t>
  </si>
  <si>
    <t>115609-20</t>
  </si>
  <si>
    <t>000006460</t>
  </si>
  <si>
    <t>115585-02</t>
  </si>
  <si>
    <t>274/25</t>
  </si>
  <si>
    <t>BN USI NE CPW 10 CF8M DIN PN10</t>
  </si>
  <si>
    <t>000006465</t>
  </si>
  <si>
    <t>115690-01</t>
  </si>
  <si>
    <t>C192 e C116</t>
  </si>
  <si>
    <t>BC USI RL2 DISCO 16" 150PSI CF8</t>
  </si>
  <si>
    <t>000005652</t>
  </si>
  <si>
    <t>112891-04</t>
  </si>
  <si>
    <t>02072501</t>
  </si>
  <si>
    <t>BN USI NE DISCO 4 CF3M 150PSI</t>
  </si>
  <si>
    <t>115382-01</t>
  </si>
  <si>
    <t>M580/25</t>
  </si>
  <si>
    <t>115257-05</t>
  </si>
  <si>
    <t>BN USI RK KIT HI 5 17-4PH</t>
  </si>
  <si>
    <t>114509-05</t>
  </si>
  <si>
    <t>CP233</t>
  </si>
  <si>
    <t>288/2025</t>
  </si>
  <si>
    <t>BC USI RL2 DISCO 10" PN10 CF8M</t>
  </si>
  <si>
    <t>109469-01</t>
  </si>
  <si>
    <t>000005645</t>
  </si>
  <si>
    <t>108604-48</t>
  </si>
  <si>
    <t>BC USI RL2 DISCO 10" PN10 CF8</t>
  </si>
  <si>
    <t>114489-02</t>
  </si>
  <si>
    <t>112067-04</t>
  </si>
  <si>
    <t>112836-01</t>
  </si>
  <si>
    <t>BQ USI WD DC 28" FN PN10</t>
  </si>
  <si>
    <t>115856-01</t>
  </si>
  <si>
    <t>59/2-2025</t>
  </si>
  <si>
    <t>15-1/2025</t>
  </si>
  <si>
    <t xml:space="preserve">HEITEC </t>
  </si>
  <si>
    <t>000000444</t>
  </si>
  <si>
    <t>116043-01</t>
  </si>
  <si>
    <t>210/25</t>
  </si>
  <si>
    <t>RK SEDE SOFT 24" 150# RTFE (PTFV25)</t>
  </si>
  <si>
    <t>000000016</t>
  </si>
  <si>
    <t>115746-01</t>
  </si>
  <si>
    <t>16-1/2025</t>
  </si>
  <si>
    <t>115746-02</t>
  </si>
  <si>
    <t>PD BC USI RL2 DISCO 10" WCB</t>
  </si>
  <si>
    <t>107274-21</t>
  </si>
  <si>
    <t>804/24</t>
  </si>
  <si>
    <t xml:space="preserve"> </t>
  </si>
  <si>
    <t>BN USI NP HS 12 IN 410</t>
  </si>
  <si>
    <t>000004743</t>
  </si>
  <si>
    <t>115543-11</t>
  </si>
  <si>
    <t>CA650</t>
  </si>
  <si>
    <t>752-25</t>
  </si>
  <si>
    <t>BN USI NP HS 8 IN 410</t>
  </si>
  <si>
    <t>115543-12</t>
  </si>
  <si>
    <t>748-25</t>
  </si>
  <si>
    <t>BN USI NP HS 5-6 IN 410</t>
  </si>
  <si>
    <t>16</t>
  </si>
  <si>
    <t>000000744</t>
  </si>
  <si>
    <t>115259-05</t>
  </si>
  <si>
    <t>115259-06</t>
  </si>
  <si>
    <t>CA646</t>
  </si>
  <si>
    <t>744</t>
  </si>
  <si>
    <t>2170/25</t>
  </si>
  <si>
    <t>2209/25</t>
  </si>
  <si>
    <t>2210/25</t>
  </si>
  <si>
    <t>2211/25</t>
  </si>
  <si>
    <t>2212/25</t>
  </si>
  <si>
    <t>2213/25</t>
  </si>
  <si>
    <t>2215/25</t>
  </si>
  <si>
    <t>2214/25</t>
  </si>
  <si>
    <t>2216/25</t>
  </si>
  <si>
    <t>2217/25</t>
  </si>
  <si>
    <t>2218/25</t>
  </si>
  <si>
    <t>00001382</t>
  </si>
  <si>
    <t>115027-02</t>
  </si>
  <si>
    <t>111609-08</t>
  </si>
  <si>
    <t>261125</t>
  </si>
  <si>
    <t>183/2025</t>
  </si>
  <si>
    <t>184/2025</t>
  </si>
  <si>
    <t>190</t>
  </si>
  <si>
    <t>111579-05</t>
  </si>
  <si>
    <t>185/2025</t>
  </si>
  <si>
    <t>115027-06</t>
  </si>
  <si>
    <t>RK TP INF BRT 14 A995 6A</t>
  </si>
  <si>
    <t>000028143</t>
  </si>
  <si>
    <t>115001-01</t>
  </si>
  <si>
    <t>CORRIDA:21920 LOTE: 58916</t>
  </si>
  <si>
    <t>53206</t>
  </si>
  <si>
    <t>115001-02</t>
  </si>
  <si>
    <t>53207</t>
  </si>
  <si>
    <t>115001-03</t>
  </si>
  <si>
    <t>53208</t>
  </si>
  <si>
    <t>115001-04</t>
  </si>
  <si>
    <t>115001-05</t>
  </si>
  <si>
    <t>115001-06</t>
  </si>
  <si>
    <t>115001-07</t>
  </si>
  <si>
    <t>CORRIDA:21920 LOTE: 58917</t>
  </si>
  <si>
    <t>53209</t>
  </si>
  <si>
    <t>53204</t>
  </si>
  <si>
    <t>53205</t>
  </si>
  <si>
    <t>CORRIDA:21920 LOTE: 58918</t>
  </si>
  <si>
    <t>53210</t>
  </si>
  <si>
    <t>RK ARS BRT 12 150 A995 FSDS</t>
  </si>
  <si>
    <t>000028144</t>
  </si>
  <si>
    <t>115017-01</t>
  </si>
  <si>
    <t>CORRIDA:21920 LOTE: 590</t>
  </si>
  <si>
    <t>53211</t>
  </si>
  <si>
    <t>115017-02</t>
  </si>
  <si>
    <t>115017-03</t>
  </si>
  <si>
    <t>115017-04</t>
  </si>
  <si>
    <t>115017-05</t>
  </si>
  <si>
    <t>53212</t>
  </si>
  <si>
    <t>53213</t>
  </si>
  <si>
    <t>53214</t>
  </si>
  <si>
    <t>53215</t>
  </si>
  <si>
    <t>NE CPL BRT 6 FN (MICROGRAFIA)</t>
  </si>
  <si>
    <t>000012753</t>
  </si>
  <si>
    <t>115595-04</t>
  </si>
  <si>
    <t>310/25</t>
  </si>
  <si>
    <t>115595-01</t>
  </si>
  <si>
    <r>
      <t>6200/</t>
    </r>
    <r>
      <rPr>
        <b/>
        <sz val="11"/>
        <color theme="1"/>
        <rFont val="Calibri"/>
        <family val="2"/>
        <scheme val="minor"/>
      </rPr>
      <t>5</t>
    </r>
  </si>
  <si>
    <t>NE CPL BRT 10" FN</t>
  </si>
  <si>
    <t>111844-08</t>
  </si>
  <si>
    <t>307/25</t>
  </si>
  <si>
    <t>111844-07</t>
  </si>
  <si>
    <t>6197/25</t>
  </si>
  <si>
    <t>115595-02</t>
  </si>
  <si>
    <t>6199/25</t>
  </si>
  <si>
    <t>NE CPL BRT 4" FN</t>
  </si>
  <si>
    <t>NE CPL BRT 5 FN (MICROGRAFIA)</t>
  </si>
  <si>
    <t>115595-03</t>
  </si>
  <si>
    <t>111840-07</t>
  </si>
  <si>
    <t>6196/25</t>
  </si>
  <si>
    <t>111840-08</t>
  </si>
  <si>
    <t>NE CPL BRT 2.1/2" FN</t>
  </si>
  <si>
    <t>111838-07</t>
  </si>
  <si>
    <t>6192/25</t>
  </si>
  <si>
    <t>111838-04</t>
  </si>
  <si>
    <t>NE CPL 2" FN BRT (MICROGRAFIA)</t>
  </si>
  <si>
    <t>115605-02</t>
  </si>
  <si>
    <t>115605-01</t>
  </si>
  <si>
    <t>6201/25</t>
  </si>
  <si>
    <t>Rk TAMPA INF  USI 20" C958 150 PSI</t>
  </si>
  <si>
    <t>000021759</t>
  </si>
  <si>
    <t>115271-03</t>
  </si>
  <si>
    <t>2312AS</t>
  </si>
  <si>
    <t>0619/2025</t>
  </si>
  <si>
    <t>RK ANEL DE RET SEDE USI 20" C958 150 PSI</t>
  </si>
  <si>
    <t>000021764</t>
  </si>
  <si>
    <t>115271-04</t>
  </si>
  <si>
    <t>0659/2025</t>
  </si>
  <si>
    <t>WR3 DISCO BRT 24" PN10/16 FN</t>
  </si>
  <si>
    <t>000000939</t>
  </si>
  <si>
    <t>115818-01</t>
  </si>
  <si>
    <t>115818-02</t>
  </si>
  <si>
    <t>C728</t>
  </si>
  <si>
    <t>7498/25</t>
  </si>
  <si>
    <t>000000945</t>
  </si>
  <si>
    <t>115722-02</t>
  </si>
  <si>
    <t>C723 e C727</t>
  </si>
  <si>
    <t>7497/25</t>
  </si>
  <si>
    <t xml:space="preserve">BN USI NE HASTE SUP 10" 316 </t>
  </si>
  <si>
    <t>115597-01</t>
  </si>
  <si>
    <t>BS022</t>
  </si>
  <si>
    <t xml:space="preserve">BN USI HASTE SUP 2.1/2" </t>
  </si>
  <si>
    <t>43</t>
  </si>
  <si>
    <t>115552-07</t>
  </si>
  <si>
    <t>000000235</t>
  </si>
  <si>
    <t>C6A35</t>
  </si>
  <si>
    <t>NT134</t>
  </si>
  <si>
    <t>115552-08</t>
  </si>
  <si>
    <t>NF CPL 20 BR/AL C958 BRT 150#</t>
  </si>
  <si>
    <t>000021795</t>
  </si>
  <si>
    <t>115596-05</t>
  </si>
  <si>
    <t>2343 AS1</t>
  </si>
  <si>
    <t>0649/2025</t>
  </si>
  <si>
    <t>0645/2025</t>
  </si>
  <si>
    <t>0646/2025</t>
  </si>
  <si>
    <t>0647/2025</t>
  </si>
  <si>
    <t>0589/2025</t>
  </si>
  <si>
    <t>0629/2025</t>
  </si>
  <si>
    <t>0626/2025</t>
  </si>
  <si>
    <t>0627/2025</t>
  </si>
  <si>
    <t>0628/2025</t>
  </si>
  <si>
    <t>0644/2025</t>
  </si>
  <si>
    <t>BN USI NE DISCO 8" CF8M 150 PSI</t>
  </si>
  <si>
    <t>115257-09</t>
  </si>
  <si>
    <t>BC USI RL2 HASTE INF 24" 150 PSI 410</t>
  </si>
  <si>
    <t>115261-04</t>
  </si>
  <si>
    <t>000000676</t>
  </si>
  <si>
    <t>CA590</t>
  </si>
  <si>
    <t>BN USI VKT HASTE 10" 150 PSI K500</t>
  </si>
  <si>
    <t>000000746</t>
  </si>
  <si>
    <t>114729-01</t>
  </si>
  <si>
    <t>BE193</t>
  </si>
  <si>
    <t>BN USI RK KIT HS 2.5" 17-4PH 150 PSI</t>
  </si>
  <si>
    <t>000000765</t>
  </si>
  <si>
    <t>114103-04</t>
  </si>
  <si>
    <t>CP236</t>
  </si>
  <si>
    <t>BN USI RK HASTE INF 5" 17-4PH</t>
  </si>
  <si>
    <t>000000757</t>
  </si>
  <si>
    <t>115202-12</t>
  </si>
  <si>
    <t>CP240</t>
  </si>
  <si>
    <t>NF DC 14 IN BRT</t>
  </si>
  <si>
    <t>000025886</t>
  </si>
  <si>
    <t>114783-03</t>
  </si>
  <si>
    <t>15752</t>
  </si>
  <si>
    <t>15744</t>
  </si>
  <si>
    <t>15102501</t>
  </si>
  <si>
    <t>115250-05</t>
  </si>
  <si>
    <t>000025875</t>
  </si>
  <si>
    <t>287/2025</t>
  </si>
  <si>
    <t>294/2025</t>
  </si>
  <si>
    <t>292/2025</t>
  </si>
  <si>
    <t>284/2025</t>
  </si>
  <si>
    <t>ARTRAT</t>
  </si>
  <si>
    <t>BN TRAT TERM NE HI 8" 410</t>
  </si>
  <si>
    <t>000004602</t>
  </si>
  <si>
    <t>115256-10</t>
  </si>
  <si>
    <t>CA560 e CA605</t>
  </si>
  <si>
    <t>19785</t>
  </si>
  <si>
    <t>IM0600</t>
  </si>
  <si>
    <t>115256-09</t>
  </si>
  <si>
    <t>115256-08</t>
  </si>
  <si>
    <t>CA586</t>
  </si>
  <si>
    <t>000004655</t>
  </si>
  <si>
    <t>115728-05</t>
  </si>
  <si>
    <t>CA586, CA589 e CA605</t>
  </si>
  <si>
    <t>19969</t>
  </si>
  <si>
    <t>000004654</t>
  </si>
  <si>
    <t>115934-06</t>
  </si>
  <si>
    <t>19964</t>
  </si>
  <si>
    <t>BN TRAT TERM NP HS 10 410</t>
  </si>
  <si>
    <t>115256-02</t>
  </si>
  <si>
    <t>115256-03</t>
  </si>
  <si>
    <t>115256-04</t>
  </si>
  <si>
    <t>19782</t>
  </si>
  <si>
    <t>BN TRAT TERM NP HS 8 410</t>
  </si>
  <si>
    <t>115256-01</t>
  </si>
  <si>
    <t>19781</t>
  </si>
  <si>
    <t>BN TRAT TERM NF HS 18-20" 410</t>
  </si>
  <si>
    <t>115256-06</t>
  </si>
  <si>
    <t>115256-07</t>
  </si>
  <si>
    <t>CA627</t>
  </si>
  <si>
    <t>19784</t>
  </si>
  <si>
    <t>BN TRAT TERM NP HS 5-6 410</t>
  </si>
  <si>
    <t>115728-10</t>
  </si>
  <si>
    <t>CA599</t>
  </si>
  <si>
    <t>115934-05</t>
  </si>
  <si>
    <t>19972</t>
  </si>
  <si>
    <t>19965</t>
  </si>
  <si>
    <t>BN USI RK CPL 4" WCB 150#</t>
  </si>
  <si>
    <t>115339-16</t>
  </si>
  <si>
    <t>85</t>
  </si>
  <si>
    <t>141112</t>
  </si>
  <si>
    <t>BN USI RK CPL 8" 150# ASME150 FSDS C958</t>
  </si>
  <si>
    <t>114092-01</t>
  </si>
  <si>
    <t>2117 AS 5 - 2117 AS 4 - 2117 AS 1 - 2117 AS 6 - 2132 AS 3</t>
  </si>
  <si>
    <t>051105</t>
  </si>
  <si>
    <t>BN USI NP HASTE INF 4" 410</t>
  </si>
  <si>
    <t>115543-09</t>
  </si>
  <si>
    <t>745-25</t>
  </si>
  <si>
    <t>BN USI NE HASTE INF 2.1/2" 410</t>
  </si>
  <si>
    <t>000000241</t>
  </si>
  <si>
    <t>115552-03</t>
  </si>
  <si>
    <t>INT137</t>
  </si>
  <si>
    <t>000000244</t>
  </si>
  <si>
    <t>115552-02</t>
  </si>
  <si>
    <t>CA645</t>
  </si>
  <si>
    <t>INT136</t>
  </si>
  <si>
    <t>BN USI NE HASTE INF 5-6" 410</t>
  </si>
  <si>
    <t>142</t>
  </si>
  <si>
    <t>000000242</t>
  </si>
  <si>
    <t>115552-06</t>
  </si>
  <si>
    <t>INT138</t>
  </si>
  <si>
    <t>182</t>
  </si>
  <si>
    <t>000000243</t>
  </si>
  <si>
    <t>115552-04</t>
  </si>
  <si>
    <t>INT139</t>
  </si>
  <si>
    <t xml:space="preserve">RK ARS USI 20 150 C958 FSDS SWS </t>
  </si>
  <si>
    <t>000021792</t>
  </si>
  <si>
    <t>115419-01</t>
  </si>
  <si>
    <t>0656/2025</t>
  </si>
  <si>
    <t>IM-0593-IM0506/1</t>
  </si>
  <si>
    <t>ARM</t>
  </si>
  <si>
    <t>BC USI RL2 HASTE 8" 410 150 PSI</t>
  </si>
  <si>
    <t>000000743</t>
  </si>
  <si>
    <t>115533-03</t>
  </si>
  <si>
    <t>BN USI NF HASTE SUP 14-16" 410 150 PSI</t>
  </si>
  <si>
    <t>115259-02</t>
  </si>
  <si>
    <t>0730 AS 9 - 0730 AS 2 - 2132 AS 4</t>
  </si>
  <si>
    <t>STEELFORTE</t>
  </si>
  <si>
    <t>BN USI RK TAMPA INF 12 150# FS CF8M SWS</t>
  </si>
  <si>
    <t>000015490</t>
  </si>
  <si>
    <t>114169-01</t>
  </si>
  <si>
    <t>RL-001-2025</t>
  </si>
  <si>
    <t>IM0593</t>
  </si>
  <si>
    <t>BN USI NE DISCO 12 FN 250PSI</t>
  </si>
  <si>
    <t>0000064277</t>
  </si>
  <si>
    <t>114990-01</t>
  </si>
  <si>
    <t>C636 - C501</t>
  </si>
  <si>
    <t>BN USI RK DISCO 6" 150/300# CF8M</t>
  </si>
  <si>
    <t>000005634</t>
  </si>
  <si>
    <t>114312-10</t>
  </si>
  <si>
    <t>171110</t>
  </si>
  <si>
    <t>BN USI RK DISCO 6" 150/300# WCB</t>
  </si>
  <si>
    <t>000005633</t>
  </si>
  <si>
    <t>114514-08</t>
  </si>
  <si>
    <t>171103</t>
  </si>
  <si>
    <t>BN USI RK CPW 14" 150# CF8M</t>
  </si>
  <si>
    <t>114558-10</t>
  </si>
  <si>
    <t>C362</t>
  </si>
  <si>
    <t>171101</t>
  </si>
  <si>
    <t>2025-1256</t>
  </si>
  <si>
    <t>000005623</t>
  </si>
  <si>
    <t>114613-02</t>
  </si>
  <si>
    <t>115728-11</t>
  </si>
  <si>
    <t>BN TRAT TERM NE HS 12" 410</t>
  </si>
  <si>
    <t>115728-09</t>
  </si>
  <si>
    <t>19971</t>
  </si>
  <si>
    <t>19973</t>
  </si>
  <si>
    <t>37</t>
  </si>
  <si>
    <t>115934-02</t>
  </si>
  <si>
    <t>CA559</t>
  </si>
  <si>
    <t>19962</t>
  </si>
  <si>
    <t>BN TRAT TERM NE HS 8" 410</t>
  </si>
  <si>
    <t>30</t>
  </si>
  <si>
    <t>115934-01</t>
  </si>
  <si>
    <t>CA601, CA614 e CA640</t>
  </si>
  <si>
    <t>115728-03</t>
  </si>
  <si>
    <t>19961</t>
  </si>
  <si>
    <t>19968</t>
  </si>
  <si>
    <t>BN TRAT TERM NP HS 12 410</t>
  </si>
  <si>
    <t>115728-12</t>
  </si>
  <si>
    <t>115728-13</t>
  </si>
  <si>
    <t>115728-14</t>
  </si>
  <si>
    <t xml:space="preserve">CA601 </t>
  </si>
  <si>
    <t>19974</t>
  </si>
  <si>
    <t>BN TRAT TERM NP HI 8 410</t>
  </si>
  <si>
    <t>31</t>
  </si>
  <si>
    <t>115934-03</t>
  </si>
  <si>
    <t>115934-04</t>
  </si>
  <si>
    <t>19963</t>
  </si>
  <si>
    <t>BN TRAT TERM NE HS 10" 410</t>
  </si>
  <si>
    <t>115728-06</t>
  </si>
  <si>
    <t>115728-07</t>
  </si>
  <si>
    <t>115728-08</t>
  </si>
  <si>
    <t>19970</t>
  </si>
  <si>
    <t>BN TRAT TERM NT HS 24 410</t>
  </si>
  <si>
    <t>115728-15</t>
  </si>
  <si>
    <t>115728-16</t>
  </si>
  <si>
    <t>19975</t>
  </si>
  <si>
    <t>BN USI RK CPL 2 C958</t>
  </si>
  <si>
    <t>2025-1232</t>
  </si>
  <si>
    <t>BN USI RK DISCO 6" A995 6A</t>
  </si>
  <si>
    <t>115452-02</t>
  </si>
  <si>
    <t>985191</t>
  </si>
  <si>
    <t>BN USI RK DISC 6 150/300 CE3MN</t>
  </si>
  <si>
    <t>115452-01</t>
  </si>
  <si>
    <t>985661</t>
  </si>
  <si>
    <t>BN USI RK DISCO 12" C958 M24</t>
  </si>
  <si>
    <t>000005640</t>
  </si>
  <si>
    <t>113851-03</t>
  </si>
  <si>
    <t>1809 AS 1 e 2</t>
  </si>
  <si>
    <t>113851-04</t>
  </si>
  <si>
    <t>1818 AS 2</t>
  </si>
  <si>
    <t>BN USI RKW CORPO 150/300# WCB</t>
  </si>
  <si>
    <t>115339-15</t>
  </si>
  <si>
    <t>C106</t>
  </si>
  <si>
    <t>BC USI RL2 ANEL RET 20" 304 CF8 150 PSI</t>
  </si>
  <si>
    <t>000004725</t>
  </si>
  <si>
    <t>115251-06</t>
  </si>
  <si>
    <t>CBL094</t>
  </si>
  <si>
    <t>737-25</t>
  </si>
  <si>
    <t>BC USI RL2 ANEL RET SEDE 12" 304 150 PSI</t>
  </si>
  <si>
    <t>000000661</t>
  </si>
  <si>
    <t>114509-01</t>
  </si>
  <si>
    <t>CBL089</t>
  </si>
  <si>
    <t>267/2025</t>
  </si>
  <si>
    <t>RK ARS USI 12" C958 150 PSI</t>
  </si>
  <si>
    <t>000021803</t>
  </si>
  <si>
    <t>115496-01</t>
  </si>
  <si>
    <t>0658/2025</t>
  </si>
  <si>
    <t>BN PINT NE CPW 4 5752 NBR 7675 PN10 FN PE C/</t>
  </si>
  <si>
    <t>000010767</t>
  </si>
  <si>
    <t>114876-02</t>
  </si>
  <si>
    <t>220/25</t>
  </si>
  <si>
    <t>162/25</t>
  </si>
  <si>
    <t>BJ PINT ESP PRV50 F07/Q14</t>
  </si>
  <si>
    <t>114876-01</t>
  </si>
  <si>
    <t>BQ PE WD CPF 12" PN10 FN</t>
  </si>
  <si>
    <t>000010764</t>
  </si>
  <si>
    <t>113023-02</t>
  </si>
  <si>
    <t>FG 155/25</t>
  </si>
  <si>
    <t>163/25</t>
  </si>
  <si>
    <t>BN USI RK CPL 14 FIRE DS C958</t>
  </si>
  <si>
    <t>000005590</t>
  </si>
  <si>
    <t>114092-02</t>
  </si>
  <si>
    <t>0784 AR 1</t>
  </si>
  <si>
    <t>241013</t>
  </si>
  <si>
    <t>2025-1196</t>
  </si>
  <si>
    <t>171114</t>
  </si>
  <si>
    <t>171107</t>
  </si>
  <si>
    <t>171106</t>
  </si>
  <si>
    <t>171105</t>
  </si>
  <si>
    <t>WD CPF BRT 20" PN10 FN</t>
  </si>
  <si>
    <t>000000794</t>
  </si>
  <si>
    <t>7421/25</t>
  </si>
  <si>
    <t>000000896</t>
  </si>
  <si>
    <t>7521/25</t>
  </si>
  <si>
    <t>BR USI WR3 ANEL SEDE CORPO 24" CF8/304</t>
  </si>
  <si>
    <t>000002473</t>
  </si>
  <si>
    <t>113141-03</t>
  </si>
  <si>
    <t>MS4 DC BRT 24 IN PN25</t>
  </si>
  <si>
    <t>000025871</t>
  </si>
  <si>
    <t>115287-01</t>
  </si>
  <si>
    <t>15734</t>
  </si>
  <si>
    <t>000025356</t>
  </si>
  <si>
    <t>115606-01</t>
  </si>
  <si>
    <t>FG318/25</t>
  </si>
  <si>
    <t>115606-02</t>
  </si>
  <si>
    <t>FG185/25</t>
  </si>
  <si>
    <t>WR3 DISCO BRT 20" PN10 FN</t>
  </si>
  <si>
    <t>000025348</t>
  </si>
  <si>
    <t>115589/01</t>
  </si>
  <si>
    <t>BN USI RK DISCO 8" 150# CF8</t>
  </si>
  <si>
    <t>114349-02</t>
  </si>
  <si>
    <t>8826</t>
  </si>
  <si>
    <t>171115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</si>
</sst>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3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0" fontId="20" fillId="38" borderId="0" xfId="0" applyFont="1" applyFill="1"/>
    <xf numFmtId="49" fontId="0" fillId="33" borderId="11" xfId="42" applyNumberFormat="1" applyFont="1" applyFill="1" applyBorder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microsoft.com/office/2022/10/relationships/richValueRel" Target="richData/richValueRel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3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C&#211;PIARO-PR-051_Relat&#243;rio_Di&#225;rio_de_Recebimento.xlsx" TargetMode="External"/><Relationship Id="rId1" Type="http://schemas.openxmlformats.org/officeDocument/2006/relationships/externalLinkPath" Target="file:///C:\Users\aantonio\Desktop\Aluir%20o\C&#211;PIARO-PR-051_Relat&#243;rio_Di&#225;rio_de_Recebiment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%20-%20BACK-UP.xlsx" TargetMode="External"/><Relationship Id="rId1" Type="http://schemas.openxmlformats.org/officeDocument/2006/relationships/externalLinkPath" Target="file:///C:\Users\aantonio\Desktop\Aluir%20o\RO-PR-051_Relat&#243;rio_Di&#225;rio_de_Recebimento%20-%20BACK-UP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UIR%20(%20CQ%20)/C&#211;PIARO-PR-051_Relat&#243;rio_Di&#225;rio_de_Recebimento.xlsx" TargetMode="External"/><Relationship Id="rId2" Type="http://schemas.openxmlformats.org/officeDocument/2006/relationships/externalLinkPath" Target="file:///G:\ALUIR%20(%20CQ%20)\C&#211;PIARO-PR-051_Relat&#243;rio_Di&#225;rio_de_Recebimento.xlsx" TargetMode="External"/><Relationship Id="rId1" Type="http://schemas.openxmlformats.org/officeDocument/2006/relationships/externalLinkPath" Target="/ALUIR%20(%20CQ%20)/C&#211;PIARO-PR-051_Relat&#243;rio_Di&#225;rio_de_Recebiment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.xlsx" TargetMode="External"/><Relationship Id="rId1" Type="http://schemas.openxmlformats.org/officeDocument/2006/relationships/externalLinkPath" Target="file:///C:\Users\aantonio\Desktop\Aluir%20o\RO-PR-051_Relat&#243;rio_Di&#225;rio_de_Recebiment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RO-PR-051%20-%20Registro%20Di&#225;rio%20de%20Recebimento%20-%20RDR\2025\RO-PR-051_Relat&#243;rio_Di&#225;rio_de_Recebimento%20(M&#202;S%2009).xlsx" TargetMode="External"/><Relationship Id="rId1" Type="http://schemas.openxmlformats.org/officeDocument/2006/relationships/externalLinkPath" Target="RO-PR-051_Relat&#243;rio_Di&#225;rio_de_Recebimento%20(M&#202;S%200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304</v>
          </cell>
          <cell r="B37" t="str">
            <v>EE-GI-001-074</v>
          </cell>
        </row>
        <row r="38">
          <cell r="A38" t="str">
            <v>CHAPA 316</v>
          </cell>
          <cell r="B38" t="str">
            <v>EE-GI-001-073</v>
          </cell>
        </row>
        <row r="39">
          <cell r="A39" t="str">
            <v>CHAPA A36</v>
          </cell>
          <cell r="B39" t="str">
            <v>EE-GI-001-071</v>
          </cell>
        </row>
        <row r="40">
          <cell r="A40" t="str">
            <v>CHAPA SAE 1020</v>
          </cell>
          <cell r="B40" t="str">
            <v>EE-GI-001-072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B1467"/>
  <sheetViews>
    <sheetView showGridLines="0" tabSelected="1" zoomScale="82" zoomScaleNormal="82" zoomScaleSheetLayoutView="100" workbookViewId="0">
      <pane ySplit="6" topLeftCell="A541" activePane="bottomLeft" state="frozen"/>
      <selection pane="bottomLeft" activeCell="AA547" sqref="AA547"/>
    </sheetView>
  </sheetViews>
  <sheetFormatPr defaultColWidth="9.140625" defaultRowHeight="15" x14ac:dyDescent="0.25"/>
  <cols>
    <col min="1" max="1" width="11.140625" style="1" customWidth="1"/>
    <col min="2" max="2" width="27.28515625" style="2" bestFit="1" customWidth="1"/>
    <col min="3" max="3" width="48.42578125" style="3" bestFit="1" customWidth="1"/>
    <col min="4" max="4" width="6.7109375" style="3" customWidth="1"/>
    <col min="5" max="5" width="21" style="3" customWidth="1"/>
    <col min="6" max="6" width="10.85546875" style="1" bestFit="1" customWidth="1"/>
    <col min="7" max="7" width="43.5703125" style="1" bestFit="1" customWidth="1"/>
    <col min="8" max="8" width="31.28515625" style="1" bestFit="1" customWidth="1"/>
    <col min="9" max="9" width="19.42578125" style="1" bestFit="1" customWidth="1"/>
    <col min="10" max="10" width="19.85546875" style="1" bestFit="1" customWidth="1"/>
    <col min="11" max="11" width="17.28515625" style="14" customWidth="1"/>
    <col min="12" max="12" width="16.7109375" style="14" bestFit="1" customWidth="1"/>
    <col min="13" max="13" width="6.7109375" style="14" customWidth="1"/>
    <col min="14" max="22" width="6.7109375" style="1" customWidth="1"/>
    <col min="23" max="23" width="7.5703125" style="4" bestFit="1" customWidth="1"/>
    <col min="24" max="24" width="6.28515625" style="1" bestFit="1" customWidth="1"/>
    <col min="25" max="25" width="10.5703125" style="1" customWidth="1"/>
    <col min="26" max="26" width="14.5703125" style="1" bestFit="1" customWidth="1"/>
    <col min="27" max="16384" width="9.140625" style="1"/>
  </cols>
  <sheetData>
    <row r="1" spans="1:26" ht="10.15" customHeight="1" x14ac:dyDescent="0.25">
      <c r="A1" s="48" t="e" vm="1">
        <v>#VALUE!</v>
      </c>
      <c r="B1" s="49"/>
      <c r="C1" s="55" t="s">
        <v>9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7"/>
      <c r="Y1" s="44" t="s">
        <v>11</v>
      </c>
      <c r="Z1" s="45"/>
    </row>
    <row r="2" spans="1:26" ht="10.15" customHeight="1" x14ac:dyDescent="0.25">
      <c r="A2" s="50"/>
      <c r="B2" s="51"/>
      <c r="C2" s="58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60"/>
      <c r="Y2" s="46"/>
      <c r="Z2" s="47"/>
    </row>
    <row r="3" spans="1:26" ht="10.15" customHeight="1" x14ac:dyDescent="0.25">
      <c r="A3" s="50"/>
      <c r="B3" s="51"/>
      <c r="C3" s="52" t="s">
        <v>262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46" t="s">
        <v>79</v>
      </c>
      <c r="Z3" s="47"/>
    </row>
    <row r="4" spans="1:26" ht="10.15" customHeight="1" thickBot="1" x14ac:dyDescent="0.3">
      <c r="A4" s="50"/>
      <c r="B4" s="51"/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46"/>
      <c r="Z4" s="47"/>
    </row>
    <row r="5" spans="1:26" ht="19.899999999999999" customHeight="1" thickTop="1" x14ac:dyDescent="0.25">
      <c r="A5" s="41" t="s">
        <v>84</v>
      </c>
      <c r="B5" s="42"/>
      <c r="C5" s="42"/>
      <c r="D5" s="42"/>
      <c r="E5" s="42"/>
      <c r="F5" s="42"/>
      <c r="G5" s="42"/>
      <c r="H5" s="43"/>
      <c r="I5" s="38" t="s">
        <v>85</v>
      </c>
      <c r="J5" s="39"/>
      <c r="K5" s="40"/>
      <c r="L5" s="21" t="s">
        <v>86</v>
      </c>
      <c r="M5" s="38" t="s">
        <v>87</v>
      </c>
      <c r="N5" s="39"/>
      <c r="O5" s="39"/>
      <c r="P5" s="39"/>
      <c r="Q5" s="39"/>
      <c r="R5" s="39"/>
      <c r="S5" s="39"/>
      <c r="T5" s="39"/>
      <c r="U5" s="39"/>
      <c r="V5" s="40"/>
      <c r="W5" s="38" t="s">
        <v>77</v>
      </c>
      <c r="X5" s="39"/>
      <c r="Y5" s="40"/>
      <c r="Z5" s="21" t="s">
        <v>4</v>
      </c>
    </row>
    <row r="6" spans="1:26" s="5" customFormat="1" ht="89.45" customHeight="1" x14ac:dyDescent="0.25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ht="19.899999999999999" customHeight="1" x14ac:dyDescent="0.25">
      <c r="A7" s="6">
        <v>45964</v>
      </c>
      <c r="B7" s="7" t="s">
        <v>272</v>
      </c>
      <c r="C7" s="8" t="s">
        <v>273</v>
      </c>
      <c r="D7" s="8" t="s">
        <v>265</v>
      </c>
      <c r="E7" s="8" t="s">
        <v>274</v>
      </c>
      <c r="F7" s="9" t="s">
        <v>275</v>
      </c>
      <c r="G7" s="9" t="s">
        <v>276</v>
      </c>
      <c r="H7" s="9" t="s">
        <v>277</v>
      </c>
      <c r="I7" s="9" t="s">
        <v>64</v>
      </c>
      <c r="J7" s="10" t="s">
        <v>186</v>
      </c>
      <c r="K7" s="15" t="str">
        <f>VLOOKUP(J7,DADOS!$A$3:$B$105,2,FALSE)</f>
        <v>EE-GI-001-008</v>
      </c>
      <c r="L7" s="15" t="s">
        <v>278</v>
      </c>
      <c r="M7" s="18" t="b">
        <v>1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0</v>
      </c>
      <c r="W7" s="11" t="s">
        <v>14</v>
      </c>
      <c r="X7" s="12" t="s">
        <v>265</v>
      </c>
      <c r="Y7" s="12" t="s">
        <v>279</v>
      </c>
      <c r="Z7" s="12" t="s">
        <v>280</v>
      </c>
    </row>
    <row r="8" spans="1:26" ht="19.899999999999999" customHeight="1" x14ac:dyDescent="0.25">
      <c r="A8" s="6">
        <v>45964</v>
      </c>
      <c r="B8" s="7" t="s">
        <v>272</v>
      </c>
      <c r="C8" s="8" t="s">
        <v>281</v>
      </c>
      <c r="D8" s="8" t="s">
        <v>265</v>
      </c>
      <c r="E8" s="8" t="s">
        <v>283</v>
      </c>
      <c r="F8" s="8" t="s">
        <v>284</v>
      </c>
      <c r="G8" s="9" t="s">
        <v>276</v>
      </c>
      <c r="H8" s="9" t="s">
        <v>285</v>
      </c>
      <c r="I8" s="9" t="s">
        <v>64</v>
      </c>
      <c r="J8" s="10" t="s">
        <v>186</v>
      </c>
      <c r="K8" s="15" t="str">
        <f>VLOOKUP(J8,DADOS!$A$3:$B$105,2,FALSE)</f>
        <v>EE-GI-001-008</v>
      </c>
      <c r="L8" s="15" t="s">
        <v>278</v>
      </c>
      <c r="M8" s="18" t="b">
        <v>1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0</v>
      </c>
      <c r="W8" s="11" t="s">
        <v>265</v>
      </c>
      <c r="X8" s="12" t="s">
        <v>14</v>
      </c>
      <c r="Y8" s="12" t="s">
        <v>14</v>
      </c>
      <c r="Z8" s="13" t="s">
        <v>280</v>
      </c>
    </row>
    <row r="9" spans="1:26" ht="19.899999999999999" customHeight="1" x14ac:dyDescent="0.25">
      <c r="A9" s="6">
        <v>45964</v>
      </c>
      <c r="B9" s="7" t="s">
        <v>272</v>
      </c>
      <c r="C9" s="8" t="s">
        <v>286</v>
      </c>
      <c r="D9" s="8" t="s">
        <v>265</v>
      </c>
      <c r="E9" s="8" t="s">
        <v>282</v>
      </c>
      <c r="F9" s="8" t="s">
        <v>287</v>
      </c>
      <c r="G9" s="9" t="s">
        <v>288</v>
      </c>
      <c r="H9" s="9" t="s">
        <v>289</v>
      </c>
      <c r="I9" s="9" t="s">
        <v>70</v>
      </c>
      <c r="J9" s="10" t="s">
        <v>186</v>
      </c>
      <c r="K9" s="15" t="str">
        <f>VLOOKUP(J9,DADOS!$A$3:$B$105,2,FALSE)</f>
        <v>EE-GI-001-008</v>
      </c>
      <c r="L9" s="15" t="s">
        <v>278</v>
      </c>
      <c r="M9" s="18" t="b">
        <v>1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17" t="b">
        <v>0</v>
      </c>
      <c r="W9" s="11" t="s">
        <v>265</v>
      </c>
      <c r="X9" s="12" t="s">
        <v>14</v>
      </c>
      <c r="Y9" s="12" t="s">
        <v>14</v>
      </c>
      <c r="Z9" s="13" t="s">
        <v>280</v>
      </c>
    </row>
    <row r="10" spans="1:26" ht="19.899999999999999" customHeight="1" x14ac:dyDescent="0.25">
      <c r="A10" s="6">
        <v>45964</v>
      </c>
      <c r="B10" s="7" t="s">
        <v>263</v>
      </c>
      <c r="C10" s="8" t="s">
        <v>264</v>
      </c>
      <c r="D10" s="8" t="s">
        <v>265</v>
      </c>
      <c r="E10" s="8" t="s">
        <v>266</v>
      </c>
      <c r="F10" s="9" t="s">
        <v>267</v>
      </c>
      <c r="G10" s="9" t="s">
        <v>268</v>
      </c>
      <c r="H10" s="9" t="s">
        <v>269</v>
      </c>
      <c r="I10" s="9" t="s">
        <v>67</v>
      </c>
      <c r="J10" s="10" t="s">
        <v>186</v>
      </c>
      <c r="K10" s="15" t="str">
        <f>VLOOKUP(J10,DADOS!$A$3:$B$105,2,FALSE)</f>
        <v>EE-GI-001-008</v>
      </c>
      <c r="L10" s="15" t="s">
        <v>270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265</v>
      </c>
      <c r="X10" s="12" t="s">
        <v>14</v>
      </c>
      <c r="Y10" s="12" t="s">
        <v>14</v>
      </c>
      <c r="Z10" s="13" t="s">
        <v>271</v>
      </c>
    </row>
    <row r="11" spans="1:26" ht="19.899999999999999" customHeight="1" x14ac:dyDescent="0.25">
      <c r="A11" s="6">
        <v>45964</v>
      </c>
      <c r="B11" s="7" t="s">
        <v>459</v>
      </c>
      <c r="C11" s="8" t="s">
        <v>460</v>
      </c>
      <c r="D11" s="8" t="s">
        <v>461</v>
      </c>
      <c r="E11" s="8" t="s">
        <v>462</v>
      </c>
      <c r="F11" s="9" t="s">
        <v>463</v>
      </c>
      <c r="G11" s="9" t="s">
        <v>464</v>
      </c>
      <c r="H11" s="9" t="s">
        <v>465</v>
      </c>
      <c r="I11" s="9" t="s">
        <v>69</v>
      </c>
      <c r="J11" s="10" t="s">
        <v>258</v>
      </c>
      <c r="K11" s="15" t="str">
        <f>VLOOKUP(J11,DADOS!$A$3:$B$105,2,FALSE)</f>
        <v>EE-GI-001-071</v>
      </c>
      <c r="L11" s="15" t="s">
        <v>304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0</v>
      </c>
      <c r="W11" s="11" t="s">
        <v>461</v>
      </c>
      <c r="X11" s="12" t="s">
        <v>14</v>
      </c>
      <c r="Y11" s="12" t="s">
        <v>14</v>
      </c>
      <c r="Z11" s="13" t="s">
        <v>280</v>
      </c>
    </row>
    <row r="12" spans="1:26" ht="19.899999999999999" customHeight="1" x14ac:dyDescent="0.25">
      <c r="A12" s="6">
        <v>45964</v>
      </c>
      <c r="B12" s="7" t="s">
        <v>626</v>
      </c>
      <c r="C12" s="8" t="s">
        <v>637</v>
      </c>
      <c r="D12" s="8" t="s">
        <v>527</v>
      </c>
      <c r="E12" s="8" t="s">
        <v>638</v>
      </c>
      <c r="F12" s="9" t="s">
        <v>639</v>
      </c>
      <c r="G12" s="9" t="s">
        <v>640</v>
      </c>
      <c r="H12" s="34"/>
      <c r="I12" s="9" t="s">
        <v>66</v>
      </c>
      <c r="J12" s="10" t="s">
        <v>174</v>
      </c>
      <c r="K12" s="15" t="str">
        <f>VLOOKUP(J12,DADOS!$A$3:$B$105,2,FALSE)</f>
        <v>EE-GI-001-007</v>
      </c>
      <c r="L12" s="15" t="s">
        <v>304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1</v>
      </c>
      <c r="S12" s="17" t="b">
        <v>0</v>
      </c>
      <c r="T12" s="17" t="b">
        <v>0</v>
      </c>
      <c r="U12" s="17" t="b">
        <v>0</v>
      </c>
      <c r="V12" s="17" t="b">
        <v>1</v>
      </c>
      <c r="W12" s="11" t="s">
        <v>527</v>
      </c>
      <c r="X12" s="12" t="s">
        <v>14</v>
      </c>
      <c r="Y12" s="12" t="s">
        <v>14</v>
      </c>
      <c r="Z12" s="13" t="s">
        <v>280</v>
      </c>
    </row>
    <row r="13" spans="1:26" ht="19.899999999999999" customHeight="1" x14ac:dyDescent="0.25">
      <c r="A13" s="6">
        <v>45964</v>
      </c>
      <c r="B13" s="7" t="s">
        <v>626</v>
      </c>
      <c r="C13" s="8" t="s">
        <v>637</v>
      </c>
      <c r="D13" s="8" t="s">
        <v>352</v>
      </c>
      <c r="E13" s="8" t="s">
        <v>638</v>
      </c>
      <c r="F13" s="9" t="s">
        <v>641</v>
      </c>
      <c r="G13" s="9" t="s">
        <v>640</v>
      </c>
      <c r="H13" s="34"/>
      <c r="I13" s="9" t="s">
        <v>66</v>
      </c>
      <c r="J13" s="10" t="s">
        <v>174</v>
      </c>
      <c r="K13" s="15" t="str">
        <f>VLOOKUP(J13,DADOS!$A$3:$B$105,2,FALSE)</f>
        <v>EE-GI-001-007</v>
      </c>
      <c r="L13" s="15" t="s">
        <v>304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1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352</v>
      </c>
      <c r="X13" s="12" t="s">
        <v>14</v>
      </c>
      <c r="Y13" s="12" t="s">
        <v>14</v>
      </c>
      <c r="Z13" s="13" t="s">
        <v>280</v>
      </c>
    </row>
    <row r="14" spans="1:26" ht="19.899999999999999" customHeight="1" x14ac:dyDescent="0.25">
      <c r="A14" s="6">
        <v>45964</v>
      </c>
      <c r="B14" s="7" t="s">
        <v>626</v>
      </c>
      <c r="C14" s="8" t="s">
        <v>637</v>
      </c>
      <c r="D14" s="8" t="s">
        <v>642</v>
      </c>
      <c r="E14" s="8" t="s">
        <v>638</v>
      </c>
      <c r="F14" s="9" t="s">
        <v>643</v>
      </c>
      <c r="G14" s="9" t="s">
        <v>640</v>
      </c>
      <c r="H14" s="34"/>
      <c r="I14" s="9" t="s">
        <v>66</v>
      </c>
      <c r="J14" s="10" t="s">
        <v>174</v>
      </c>
      <c r="K14" s="15" t="str">
        <f>VLOOKUP(J14,DADOS!$A$3:$B$105,2,FALSE)</f>
        <v>EE-GI-001-007</v>
      </c>
      <c r="L14" s="15" t="s">
        <v>304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1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642</v>
      </c>
      <c r="X14" s="12" t="s">
        <v>14</v>
      </c>
      <c r="Y14" s="12" t="s">
        <v>14</v>
      </c>
      <c r="Z14" s="13" t="s">
        <v>280</v>
      </c>
    </row>
    <row r="15" spans="1:26" ht="19.899999999999999" customHeight="1" x14ac:dyDescent="0.25">
      <c r="A15" s="6">
        <v>45964</v>
      </c>
      <c r="B15" s="7" t="s">
        <v>626</v>
      </c>
      <c r="C15" s="8" t="s">
        <v>627</v>
      </c>
      <c r="D15" s="8" t="s">
        <v>628</v>
      </c>
      <c r="E15" s="8" t="s">
        <v>629</v>
      </c>
      <c r="F15" s="9" t="s">
        <v>630</v>
      </c>
      <c r="G15" s="9" t="s">
        <v>631</v>
      </c>
      <c r="H15" s="34"/>
      <c r="I15" s="9" t="s">
        <v>66</v>
      </c>
      <c r="J15" s="10" t="s">
        <v>174</v>
      </c>
      <c r="K15" s="15" t="str">
        <f>VLOOKUP(J15,DADOS!$A$3:$B$105,2,FALSE)</f>
        <v>EE-GI-001-007</v>
      </c>
      <c r="L15" s="15" t="s">
        <v>304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1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628</v>
      </c>
      <c r="X15" s="12" t="s">
        <v>14</v>
      </c>
      <c r="Y15" s="12" t="s">
        <v>14</v>
      </c>
      <c r="Z15" s="13" t="s">
        <v>280</v>
      </c>
    </row>
    <row r="16" spans="1:26" ht="19.899999999999999" customHeight="1" x14ac:dyDescent="0.25">
      <c r="A16" s="6">
        <v>45965</v>
      </c>
      <c r="B16" s="7" t="s">
        <v>632</v>
      </c>
      <c r="C16" s="8" t="s">
        <v>633</v>
      </c>
      <c r="D16" s="8" t="s">
        <v>634</v>
      </c>
      <c r="E16" s="8" t="s">
        <v>635</v>
      </c>
      <c r="F16" s="9" t="s">
        <v>636</v>
      </c>
      <c r="G16" s="9" t="s">
        <v>631</v>
      </c>
      <c r="H16" s="34"/>
      <c r="I16" s="9" t="s">
        <v>67</v>
      </c>
      <c r="J16" s="10" t="s">
        <v>174</v>
      </c>
      <c r="K16" s="15" t="str">
        <f>VLOOKUP(J16,DADOS!$A$3:$B$105,2,FALSE)</f>
        <v>EE-GI-001-007</v>
      </c>
      <c r="L16" s="15" t="s">
        <v>304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1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634</v>
      </c>
      <c r="X16" s="12" t="s">
        <v>14</v>
      </c>
      <c r="Y16" s="12" t="s">
        <v>14</v>
      </c>
      <c r="Z16" s="13" t="s">
        <v>280</v>
      </c>
    </row>
    <row r="17" spans="1:26" ht="19.899999999999999" customHeight="1" x14ac:dyDescent="0.25">
      <c r="A17" s="6">
        <v>45965</v>
      </c>
      <c r="B17" s="7" t="s">
        <v>272</v>
      </c>
      <c r="C17" s="8" t="s">
        <v>281</v>
      </c>
      <c r="D17" s="8" t="s">
        <v>290</v>
      </c>
      <c r="E17" s="8" t="s">
        <v>291</v>
      </c>
      <c r="F17" s="8" t="s">
        <v>292</v>
      </c>
      <c r="G17" s="9" t="s">
        <v>293</v>
      </c>
      <c r="H17" s="9" t="s">
        <v>294</v>
      </c>
      <c r="I17" s="9" t="s">
        <v>64</v>
      </c>
      <c r="J17" s="10" t="s">
        <v>186</v>
      </c>
      <c r="K17" s="15" t="str">
        <f>VLOOKUP(J17,DADOS!$A$3:$B$105,2,FALSE)</f>
        <v>EE-GI-001-008</v>
      </c>
      <c r="L17" s="15" t="s">
        <v>278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0</v>
      </c>
      <c r="W17" s="11" t="s">
        <v>14</v>
      </c>
      <c r="X17" s="12" t="s">
        <v>290</v>
      </c>
      <c r="Y17" s="12" t="s">
        <v>295</v>
      </c>
      <c r="Z17" s="12" t="s">
        <v>280</v>
      </c>
    </row>
    <row r="18" spans="1:26" ht="19.899999999999999" customHeight="1" x14ac:dyDescent="0.25">
      <c r="A18" s="6">
        <v>45965</v>
      </c>
      <c r="B18" s="7" t="s">
        <v>296</v>
      </c>
      <c r="C18" s="8" t="s">
        <v>1423</v>
      </c>
      <c r="D18" s="8" t="s">
        <v>1424</v>
      </c>
      <c r="E18" s="8" t="s">
        <v>300</v>
      </c>
      <c r="F18" s="8" t="s">
        <v>1425</v>
      </c>
      <c r="G18" s="9" t="s">
        <v>1126</v>
      </c>
      <c r="H18" s="9" t="s">
        <v>1426</v>
      </c>
      <c r="I18" s="9" t="s">
        <v>66</v>
      </c>
      <c r="J18" s="10" t="s">
        <v>174</v>
      </c>
      <c r="K18" s="15" t="str">
        <f>VLOOKUP(J18,DADOS!$A$3:$B$105,2,FALSE)</f>
        <v>EE-GI-001-007</v>
      </c>
      <c r="L18" s="15" t="s">
        <v>321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1424</v>
      </c>
      <c r="X18" s="12" t="s">
        <v>14</v>
      </c>
      <c r="Y18" s="12" t="s">
        <v>14</v>
      </c>
      <c r="Z18" s="13" t="s">
        <v>322</v>
      </c>
    </row>
    <row r="19" spans="1:26" ht="19.899999999999999" customHeight="1" x14ac:dyDescent="0.25">
      <c r="A19" s="6">
        <v>45965</v>
      </c>
      <c r="B19" s="7" t="s">
        <v>296</v>
      </c>
      <c r="C19" s="8" t="s">
        <v>1430</v>
      </c>
      <c r="D19" s="8" t="s">
        <v>265</v>
      </c>
      <c r="E19" s="8" t="s">
        <v>300</v>
      </c>
      <c r="F19" s="8" t="s">
        <v>1431</v>
      </c>
      <c r="G19" s="9" t="s">
        <v>1432</v>
      </c>
      <c r="H19" s="9" t="s">
        <v>1433</v>
      </c>
      <c r="I19" s="9" t="s">
        <v>69</v>
      </c>
      <c r="J19" s="10" t="s">
        <v>176</v>
      </c>
      <c r="K19" s="15" t="str">
        <f>VLOOKUP(J19,DADOS!$A$3:$B$105,2,FALSE)</f>
        <v>EE-GI-001-011</v>
      </c>
      <c r="L19" s="15" t="s">
        <v>408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265</v>
      </c>
      <c r="X19" s="12" t="s">
        <v>14</v>
      </c>
      <c r="Y19" s="12" t="s">
        <v>14</v>
      </c>
      <c r="Z19" s="13" t="s">
        <v>322</v>
      </c>
    </row>
    <row r="20" spans="1:26" ht="19.899999999999999" customHeight="1" x14ac:dyDescent="0.25">
      <c r="A20" s="6">
        <v>45965</v>
      </c>
      <c r="B20" s="7" t="s">
        <v>296</v>
      </c>
      <c r="C20" s="8" t="s">
        <v>297</v>
      </c>
      <c r="D20" s="8" t="s">
        <v>298</v>
      </c>
      <c r="E20" s="8" t="s">
        <v>300</v>
      </c>
      <c r="F20" s="9" t="s">
        <v>301</v>
      </c>
      <c r="G20" s="9" t="s">
        <v>303</v>
      </c>
      <c r="H20" s="9" t="s">
        <v>393</v>
      </c>
      <c r="I20" s="9" t="s">
        <v>66</v>
      </c>
      <c r="J20" s="10" t="s">
        <v>180</v>
      </c>
      <c r="K20" s="15" t="str">
        <f>VLOOKUP(J20,DADOS!$A$3:$B$105,2,FALSE)</f>
        <v>EE-GI-001-021</v>
      </c>
      <c r="L20" s="15" t="s">
        <v>304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14</v>
      </c>
      <c r="X20" s="12" t="s">
        <v>298</v>
      </c>
      <c r="Y20" s="12" t="s">
        <v>305</v>
      </c>
      <c r="Z20" s="12" t="s">
        <v>280</v>
      </c>
    </row>
    <row r="21" spans="1:26" ht="19.899999999999999" customHeight="1" x14ac:dyDescent="0.25">
      <c r="A21" s="6">
        <v>45965</v>
      </c>
      <c r="B21" s="7" t="s">
        <v>296</v>
      </c>
      <c r="C21" s="8" t="s">
        <v>299</v>
      </c>
      <c r="D21" s="8" t="s">
        <v>298</v>
      </c>
      <c r="E21" s="8" t="s">
        <v>300</v>
      </c>
      <c r="F21" s="9" t="s">
        <v>302</v>
      </c>
      <c r="G21" s="9" t="s">
        <v>303</v>
      </c>
      <c r="H21" s="9" t="s">
        <v>392</v>
      </c>
      <c r="I21" s="9" t="s">
        <v>66</v>
      </c>
      <c r="J21" s="10" t="s">
        <v>180</v>
      </c>
      <c r="K21" s="15" t="str">
        <f>VLOOKUP(J21,DADOS!$A$3:$B$105,2,FALSE)</f>
        <v>EE-GI-001-021</v>
      </c>
      <c r="L21" s="15" t="s">
        <v>304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14</v>
      </c>
      <c r="X21" s="12" t="s">
        <v>298</v>
      </c>
      <c r="Y21" s="12" t="s">
        <v>306</v>
      </c>
      <c r="Z21" s="12" t="s">
        <v>280</v>
      </c>
    </row>
    <row r="22" spans="1:26" ht="19.899999999999999" customHeight="1" x14ac:dyDescent="0.25">
      <c r="A22" s="6">
        <v>45965</v>
      </c>
      <c r="B22" s="7" t="s">
        <v>307</v>
      </c>
      <c r="C22" s="8" t="s">
        <v>308</v>
      </c>
      <c r="D22" s="8" t="s">
        <v>309</v>
      </c>
      <c r="E22" s="8" t="s">
        <v>310</v>
      </c>
      <c r="F22" s="9" t="s">
        <v>311</v>
      </c>
      <c r="G22" s="9" t="s">
        <v>312</v>
      </c>
      <c r="H22" s="9" t="s">
        <v>313</v>
      </c>
      <c r="I22" s="9" t="s">
        <v>97</v>
      </c>
      <c r="J22" s="10" t="s">
        <v>185</v>
      </c>
      <c r="K22" s="15" t="str">
        <f>VLOOKUP(J22,DADOS!$A$3:$B$105,2,FALSE)</f>
        <v>EE-GI-001-031</v>
      </c>
      <c r="L22" s="15" t="s">
        <v>278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0</v>
      </c>
      <c r="W22" s="11" t="s">
        <v>309</v>
      </c>
      <c r="X22" s="12" t="s">
        <v>14</v>
      </c>
      <c r="Y22" s="12" t="s">
        <v>14</v>
      </c>
      <c r="Z22" s="13" t="s">
        <v>280</v>
      </c>
    </row>
    <row r="23" spans="1:26" ht="19.899999999999999" customHeight="1" x14ac:dyDescent="0.25">
      <c r="A23" s="6">
        <v>45965</v>
      </c>
      <c r="B23" s="7" t="s">
        <v>314</v>
      </c>
      <c r="C23" s="8" t="s">
        <v>315</v>
      </c>
      <c r="D23" s="8" t="s">
        <v>316</v>
      </c>
      <c r="E23" s="8" t="s">
        <v>317</v>
      </c>
      <c r="F23" s="9" t="s">
        <v>318</v>
      </c>
      <c r="G23" s="9" t="s">
        <v>319</v>
      </c>
      <c r="H23" s="9" t="s">
        <v>320</v>
      </c>
      <c r="I23" s="9" t="s">
        <v>66</v>
      </c>
      <c r="J23" s="10" t="s">
        <v>186</v>
      </c>
      <c r="K23" s="15" t="str">
        <f>VLOOKUP(J23,DADOS!$A$3:$B$105,2,FALSE)</f>
        <v>EE-GI-001-008</v>
      </c>
      <c r="L23" s="15" t="s">
        <v>321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0</v>
      </c>
      <c r="U23" s="17" t="b">
        <v>0</v>
      </c>
      <c r="V23" s="17" t="b">
        <v>0</v>
      </c>
      <c r="W23" s="11" t="s">
        <v>316</v>
      </c>
      <c r="X23" s="12" t="s">
        <v>14</v>
      </c>
      <c r="Y23" s="12" t="s">
        <v>14</v>
      </c>
      <c r="Z23" s="13" t="s">
        <v>322</v>
      </c>
    </row>
    <row r="24" spans="1:26" ht="19.899999999999999" customHeight="1" x14ac:dyDescent="0.25">
      <c r="A24" s="6">
        <v>45965</v>
      </c>
      <c r="B24" s="7" t="s">
        <v>314</v>
      </c>
      <c r="C24" s="8" t="s">
        <v>315</v>
      </c>
      <c r="D24" s="8" t="s">
        <v>323</v>
      </c>
      <c r="E24" s="8" t="s">
        <v>317</v>
      </c>
      <c r="F24" s="9" t="s">
        <v>324</v>
      </c>
      <c r="G24" s="9" t="s">
        <v>319</v>
      </c>
      <c r="H24" s="9" t="s">
        <v>320</v>
      </c>
      <c r="I24" s="9" t="s">
        <v>66</v>
      </c>
      <c r="J24" s="10" t="s">
        <v>186</v>
      </c>
      <c r="K24" s="15" t="str">
        <f>VLOOKUP(J24,DADOS!$A$3:$B$105,2,FALSE)</f>
        <v>EE-GI-001-008</v>
      </c>
      <c r="L24" s="15" t="s">
        <v>321</v>
      </c>
      <c r="M24" s="18" t="b">
        <v>1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0</v>
      </c>
      <c r="W24" s="11" t="s">
        <v>323</v>
      </c>
      <c r="X24" s="12" t="s">
        <v>14</v>
      </c>
      <c r="Y24" s="12" t="s">
        <v>14</v>
      </c>
      <c r="Z24" s="13" t="s">
        <v>322</v>
      </c>
    </row>
    <row r="25" spans="1:26" ht="19.899999999999999" customHeight="1" x14ac:dyDescent="0.25">
      <c r="A25" s="6">
        <v>45965</v>
      </c>
      <c r="B25" s="7" t="s">
        <v>314</v>
      </c>
      <c r="C25" s="8" t="s">
        <v>315</v>
      </c>
      <c r="D25" s="8" t="s">
        <v>316</v>
      </c>
      <c r="E25" s="8" t="s">
        <v>317</v>
      </c>
      <c r="F25" s="9" t="s">
        <v>325</v>
      </c>
      <c r="G25" s="9" t="s">
        <v>319</v>
      </c>
      <c r="H25" s="9" t="s">
        <v>320</v>
      </c>
      <c r="I25" s="9" t="s">
        <v>66</v>
      </c>
      <c r="J25" s="10" t="s">
        <v>186</v>
      </c>
      <c r="K25" s="15" t="str">
        <f>VLOOKUP(J25,DADOS!$A$3:$B$105,2,FALSE)</f>
        <v>EE-GI-001-008</v>
      </c>
      <c r="L25" s="15" t="s">
        <v>321</v>
      </c>
      <c r="M25" s="18" t="b">
        <v>1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0</v>
      </c>
      <c r="W25" s="11" t="s">
        <v>316</v>
      </c>
      <c r="X25" s="12" t="s">
        <v>14</v>
      </c>
      <c r="Y25" s="12" t="s">
        <v>14</v>
      </c>
      <c r="Z25" s="13" t="s">
        <v>322</v>
      </c>
    </row>
    <row r="26" spans="1:26" ht="19.899999999999999" customHeight="1" x14ac:dyDescent="0.25">
      <c r="A26" s="6">
        <v>45965</v>
      </c>
      <c r="B26" s="7" t="s">
        <v>402</v>
      </c>
      <c r="C26" s="8" t="s">
        <v>2051</v>
      </c>
      <c r="D26" s="8" t="s">
        <v>352</v>
      </c>
      <c r="E26" s="8" t="s">
        <v>2052</v>
      </c>
      <c r="F26" s="9" t="s">
        <v>2053</v>
      </c>
      <c r="G26" s="9" t="s">
        <v>2054</v>
      </c>
      <c r="H26" s="9" t="s">
        <v>2055</v>
      </c>
      <c r="I26" s="9" t="s">
        <v>69</v>
      </c>
      <c r="J26" s="10" t="s">
        <v>17</v>
      </c>
      <c r="K26" s="15" t="str">
        <f>VLOOKUP(J26,DADOS!$A$3:$B$105,2,FALSE)</f>
        <v>EE-GI-001-001</v>
      </c>
      <c r="L26" s="15" t="s">
        <v>941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0</v>
      </c>
      <c r="S26" s="17" t="b">
        <v>0</v>
      </c>
      <c r="T26" s="17" t="b">
        <v>1</v>
      </c>
      <c r="U26" s="17" t="b">
        <v>1</v>
      </c>
      <c r="V26" s="17" t="b">
        <v>1</v>
      </c>
      <c r="W26" s="11" t="s">
        <v>948</v>
      </c>
      <c r="X26" s="12" t="s">
        <v>352</v>
      </c>
      <c r="Y26" s="12" t="s">
        <v>2056</v>
      </c>
      <c r="Z26" s="12" t="s">
        <v>271</v>
      </c>
    </row>
    <row r="27" spans="1:26" ht="19.899999999999999" customHeight="1" x14ac:dyDescent="0.25">
      <c r="A27" s="6">
        <v>45965</v>
      </c>
      <c r="B27" s="7" t="s">
        <v>1434</v>
      </c>
      <c r="C27" s="8" t="s">
        <v>1435</v>
      </c>
      <c r="D27" s="8" t="s">
        <v>1129</v>
      </c>
      <c r="E27" s="8" t="s">
        <v>300</v>
      </c>
      <c r="F27" s="9" t="s">
        <v>1436</v>
      </c>
      <c r="G27" s="9" t="s">
        <v>1126</v>
      </c>
      <c r="H27" s="37" t="s">
        <v>1437</v>
      </c>
      <c r="I27" s="9" t="s">
        <v>66</v>
      </c>
      <c r="J27" s="10" t="s">
        <v>174</v>
      </c>
      <c r="K27" s="15" t="str">
        <f>VLOOKUP(J27,DADOS!$A$3:$B$105,2,FALSE)</f>
        <v>EE-GI-001-007</v>
      </c>
      <c r="L27" s="15" t="s">
        <v>321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0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1129</v>
      </c>
      <c r="X27" s="12" t="s">
        <v>14</v>
      </c>
      <c r="Y27" s="12" t="s">
        <v>14</v>
      </c>
      <c r="Z27" s="13" t="s">
        <v>322</v>
      </c>
    </row>
    <row r="28" spans="1:26" ht="19.899999999999999" customHeight="1" x14ac:dyDescent="0.25">
      <c r="A28" s="6">
        <v>45966</v>
      </c>
      <c r="B28" s="7" t="s">
        <v>326</v>
      </c>
      <c r="C28" s="8" t="s">
        <v>333</v>
      </c>
      <c r="D28" s="8" t="s">
        <v>327</v>
      </c>
      <c r="E28" s="8" t="s">
        <v>328</v>
      </c>
      <c r="F28" s="9" t="s">
        <v>329</v>
      </c>
      <c r="G28" s="9" t="s">
        <v>330</v>
      </c>
      <c r="H28" s="9" t="s">
        <v>331</v>
      </c>
      <c r="I28" s="9" t="s">
        <v>64</v>
      </c>
      <c r="J28" s="10" t="s">
        <v>186</v>
      </c>
      <c r="K28" s="15" t="str">
        <f>VLOOKUP(J28,DADOS!$A$3:$B$105,2,FALSE)</f>
        <v>EE-GI-001-008</v>
      </c>
      <c r="L28" s="15" t="s">
        <v>278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0</v>
      </c>
      <c r="S28" s="17" t="b">
        <v>0</v>
      </c>
      <c r="T28" s="17" t="b">
        <v>0</v>
      </c>
      <c r="U28" s="17" t="b">
        <v>0</v>
      </c>
      <c r="V28" s="17" t="b">
        <v>0</v>
      </c>
      <c r="W28" s="11" t="s">
        <v>327</v>
      </c>
      <c r="X28" s="12" t="s">
        <v>14</v>
      </c>
      <c r="Y28" s="12" t="s">
        <v>14</v>
      </c>
      <c r="Z28" s="13" t="s">
        <v>280</v>
      </c>
    </row>
    <row r="29" spans="1:26" ht="19.899999999999999" customHeight="1" x14ac:dyDescent="0.25">
      <c r="A29" s="6">
        <v>45966</v>
      </c>
      <c r="B29" s="7" t="s">
        <v>326</v>
      </c>
      <c r="C29" s="8" t="s">
        <v>334</v>
      </c>
      <c r="D29" s="8" t="s">
        <v>265</v>
      </c>
      <c r="E29" s="8" t="s">
        <v>335</v>
      </c>
      <c r="F29" s="9" t="s">
        <v>336</v>
      </c>
      <c r="G29" s="9" t="s">
        <v>337</v>
      </c>
      <c r="H29" s="9" t="s">
        <v>338</v>
      </c>
      <c r="I29" s="9" t="s">
        <v>64</v>
      </c>
      <c r="J29" s="10" t="s">
        <v>186</v>
      </c>
      <c r="K29" s="15" t="str">
        <f>VLOOKUP(J29,DADOS!$A$3:$B$105,2,FALSE)</f>
        <v>EE-GI-001-008</v>
      </c>
      <c r="L29" s="15" t="s">
        <v>332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0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265</v>
      </c>
      <c r="X29" s="12" t="s">
        <v>14</v>
      </c>
      <c r="Y29" s="12" t="s">
        <v>14</v>
      </c>
      <c r="Z29" s="13" t="s">
        <v>280</v>
      </c>
    </row>
    <row r="30" spans="1:26" ht="19.899999999999999" customHeight="1" x14ac:dyDescent="0.25">
      <c r="A30" s="6">
        <v>45966</v>
      </c>
      <c r="B30" s="7" t="s">
        <v>339</v>
      </c>
      <c r="C30" s="8" t="s">
        <v>340</v>
      </c>
      <c r="D30" s="8" t="s">
        <v>341</v>
      </c>
      <c r="E30" s="8" t="s">
        <v>342</v>
      </c>
      <c r="F30" s="9" t="s">
        <v>343</v>
      </c>
      <c r="G30" s="9" t="s">
        <v>344</v>
      </c>
      <c r="H30" s="9" t="s">
        <v>345</v>
      </c>
      <c r="I30" s="9" t="s">
        <v>66</v>
      </c>
      <c r="J30" s="10" t="s">
        <v>15</v>
      </c>
      <c r="K30" s="15" t="str">
        <f>VLOOKUP(J30,DADOS!$A$3:$B$105,2,FALSE)</f>
        <v>EE-GI-001-002</v>
      </c>
      <c r="L30" s="15" t="s">
        <v>321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0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341</v>
      </c>
      <c r="X30" s="12" t="s">
        <v>14</v>
      </c>
      <c r="Y30" s="12" t="s">
        <v>14</v>
      </c>
      <c r="Z30" s="13" t="s">
        <v>322</v>
      </c>
    </row>
    <row r="31" spans="1:26" ht="19.899999999999999" customHeight="1" x14ac:dyDescent="0.25">
      <c r="A31" s="6">
        <v>45966</v>
      </c>
      <c r="B31" s="7" t="s">
        <v>346</v>
      </c>
      <c r="C31" s="8" t="s">
        <v>347</v>
      </c>
      <c r="D31" s="8" t="s">
        <v>265</v>
      </c>
      <c r="E31" s="8" t="s">
        <v>348</v>
      </c>
      <c r="F31" s="9" t="s">
        <v>349</v>
      </c>
      <c r="G31" s="9" t="s">
        <v>351</v>
      </c>
      <c r="H31" s="9" t="s">
        <v>350</v>
      </c>
      <c r="I31" s="9" t="s">
        <v>68</v>
      </c>
      <c r="J31" s="10" t="s">
        <v>186</v>
      </c>
      <c r="K31" s="15" t="str">
        <f>VLOOKUP(J31,DADOS!$A$3:$B$105,2,FALSE)</f>
        <v>EE-GI-001-008</v>
      </c>
      <c r="L31" s="15" t="s">
        <v>278</v>
      </c>
      <c r="M31" s="18" t="b">
        <v>1</v>
      </c>
      <c r="N31" s="17" t="b">
        <v>1</v>
      </c>
      <c r="O31" s="17" t="b">
        <v>1</v>
      </c>
      <c r="P31" s="17" t="b">
        <v>1</v>
      </c>
      <c r="Q31" s="17" t="b">
        <v>0</v>
      </c>
      <c r="R31" s="17" t="b">
        <v>0</v>
      </c>
      <c r="S31" s="17" t="b">
        <v>0</v>
      </c>
      <c r="T31" s="17" t="b">
        <v>0</v>
      </c>
      <c r="U31" s="17" t="b">
        <v>0</v>
      </c>
      <c r="V31" s="17" t="b">
        <v>0</v>
      </c>
      <c r="W31" s="11" t="s">
        <v>265</v>
      </c>
      <c r="X31" s="12" t="s">
        <v>14</v>
      </c>
      <c r="Y31" s="12" t="s">
        <v>14</v>
      </c>
      <c r="Z31" s="13" t="s">
        <v>280</v>
      </c>
    </row>
    <row r="32" spans="1:26" ht="19.899999999999999" customHeight="1" x14ac:dyDescent="0.25">
      <c r="A32" s="6">
        <v>45966</v>
      </c>
      <c r="B32" s="7" t="s">
        <v>346</v>
      </c>
      <c r="C32" s="8" t="s">
        <v>353</v>
      </c>
      <c r="D32" s="8" t="s">
        <v>352</v>
      </c>
      <c r="E32" s="8" t="s">
        <v>348</v>
      </c>
      <c r="F32" s="9" t="s">
        <v>354</v>
      </c>
      <c r="G32" s="9" t="s">
        <v>351</v>
      </c>
      <c r="H32" s="9" t="s">
        <v>364</v>
      </c>
      <c r="I32" s="9" t="s">
        <v>68</v>
      </c>
      <c r="J32" s="10" t="s">
        <v>186</v>
      </c>
      <c r="K32" s="15" t="str">
        <f>VLOOKUP(J32,DADOS!$A$3:$B$105,2,FALSE)</f>
        <v>EE-GI-001-008</v>
      </c>
      <c r="L32" s="15" t="s">
        <v>278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0</v>
      </c>
      <c r="W32" s="11" t="s">
        <v>352</v>
      </c>
      <c r="X32" s="12" t="s">
        <v>14</v>
      </c>
      <c r="Y32" s="12" t="s">
        <v>14</v>
      </c>
      <c r="Z32" s="13" t="s">
        <v>280</v>
      </c>
    </row>
    <row r="33" spans="1:26" ht="19.899999999999999" customHeight="1" x14ac:dyDescent="0.25">
      <c r="A33" s="6">
        <v>45966</v>
      </c>
      <c r="B33" s="7" t="s">
        <v>346</v>
      </c>
      <c r="C33" s="8" t="s">
        <v>355</v>
      </c>
      <c r="D33" s="8" t="s">
        <v>352</v>
      </c>
      <c r="E33" s="8" t="s">
        <v>348</v>
      </c>
      <c r="F33" s="9" t="s">
        <v>356</v>
      </c>
      <c r="G33" s="9" t="s">
        <v>357</v>
      </c>
      <c r="H33" s="9" t="s">
        <v>365</v>
      </c>
      <c r="I33" s="9" t="s">
        <v>64</v>
      </c>
      <c r="J33" s="10" t="s">
        <v>186</v>
      </c>
      <c r="K33" s="15" t="str">
        <f>VLOOKUP(J33,DADOS!$A$3:$B$105,2,FALSE)</f>
        <v>EE-GI-001-008</v>
      </c>
      <c r="L33" s="15" t="s">
        <v>332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0</v>
      </c>
      <c r="W33" s="11" t="s">
        <v>352</v>
      </c>
      <c r="X33" s="12" t="s">
        <v>14</v>
      </c>
      <c r="Y33" s="12" t="s">
        <v>14</v>
      </c>
      <c r="Z33" s="13" t="s">
        <v>280</v>
      </c>
    </row>
    <row r="34" spans="1:26" ht="19.899999999999999" customHeight="1" x14ac:dyDescent="0.25">
      <c r="A34" s="6">
        <v>45966</v>
      </c>
      <c r="B34" s="7" t="s">
        <v>346</v>
      </c>
      <c r="C34" s="8" t="s">
        <v>358</v>
      </c>
      <c r="D34" s="8" t="s">
        <v>265</v>
      </c>
      <c r="E34" s="8" t="s">
        <v>348</v>
      </c>
      <c r="F34" s="9" t="s">
        <v>359</v>
      </c>
      <c r="G34" s="9" t="s">
        <v>360</v>
      </c>
      <c r="H34" s="9" t="s">
        <v>367</v>
      </c>
      <c r="I34" s="9" t="s">
        <v>70</v>
      </c>
      <c r="J34" s="10" t="s">
        <v>186</v>
      </c>
      <c r="K34" s="15" t="str">
        <f>VLOOKUP(J34,DADOS!$A$3:$B$105,2,FALSE)</f>
        <v>EE-GI-001-008</v>
      </c>
      <c r="L34" s="15" t="s">
        <v>332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0</v>
      </c>
      <c r="W34" s="11" t="s">
        <v>265</v>
      </c>
      <c r="X34" s="12" t="s">
        <v>14</v>
      </c>
      <c r="Y34" s="12" t="s">
        <v>14</v>
      </c>
      <c r="Z34" s="13" t="s">
        <v>280</v>
      </c>
    </row>
    <row r="35" spans="1:26" ht="19.899999999999999" customHeight="1" x14ac:dyDescent="0.25">
      <c r="A35" s="6">
        <v>45966</v>
      </c>
      <c r="B35" s="7" t="s">
        <v>346</v>
      </c>
      <c r="C35" s="8" t="s">
        <v>361</v>
      </c>
      <c r="D35" s="8" t="s">
        <v>265</v>
      </c>
      <c r="E35" s="8" t="s">
        <v>348</v>
      </c>
      <c r="F35" s="9" t="s">
        <v>362</v>
      </c>
      <c r="G35" s="9" t="s">
        <v>363</v>
      </c>
      <c r="H35" s="9" t="s">
        <v>366</v>
      </c>
      <c r="I35" s="9" t="s">
        <v>91</v>
      </c>
      <c r="J35" s="10" t="s">
        <v>186</v>
      </c>
      <c r="K35" s="15" t="str">
        <f>VLOOKUP(J35,DADOS!$A$3:$B$105,2,FALSE)</f>
        <v>EE-GI-001-008</v>
      </c>
      <c r="L35" s="15" t="s">
        <v>304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0</v>
      </c>
      <c r="W35" s="11" t="s">
        <v>265</v>
      </c>
      <c r="X35" s="12" t="s">
        <v>14</v>
      </c>
      <c r="Y35" s="12" t="s">
        <v>14</v>
      </c>
      <c r="Z35" s="13" t="s">
        <v>280</v>
      </c>
    </row>
    <row r="36" spans="1:26" ht="19.899999999999999" customHeight="1" x14ac:dyDescent="0.25">
      <c r="A36" s="6">
        <v>45966</v>
      </c>
      <c r="B36" s="7" t="s">
        <v>346</v>
      </c>
      <c r="C36" s="8" t="s">
        <v>368</v>
      </c>
      <c r="D36" s="8" t="s">
        <v>352</v>
      </c>
      <c r="E36" s="8" t="s">
        <v>348</v>
      </c>
      <c r="F36" s="9" t="s">
        <v>369</v>
      </c>
      <c r="G36" s="9" t="s">
        <v>371</v>
      </c>
      <c r="H36" s="9" t="s">
        <v>372</v>
      </c>
      <c r="I36" s="9" t="s">
        <v>66</v>
      </c>
      <c r="J36" s="10" t="s">
        <v>186</v>
      </c>
      <c r="K36" s="15" t="str">
        <f>VLOOKUP(J36,DADOS!$A$3:$B$105,2,FALSE)</f>
        <v>EE-GI-001-008</v>
      </c>
      <c r="L36" s="15" t="s">
        <v>332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0</v>
      </c>
      <c r="W36" s="11" t="s">
        <v>352</v>
      </c>
      <c r="X36" s="12" t="s">
        <v>14</v>
      </c>
      <c r="Y36" s="12" t="s">
        <v>14</v>
      </c>
      <c r="Z36" s="13" t="s">
        <v>280</v>
      </c>
    </row>
    <row r="37" spans="1:26" ht="19.899999999999999" customHeight="1" x14ac:dyDescent="0.25">
      <c r="A37" s="6">
        <v>45966</v>
      </c>
      <c r="B37" s="7" t="s">
        <v>346</v>
      </c>
      <c r="C37" s="8" t="s">
        <v>368</v>
      </c>
      <c r="D37" s="8" t="s">
        <v>352</v>
      </c>
      <c r="E37" s="8" t="s">
        <v>348</v>
      </c>
      <c r="F37" s="9" t="s">
        <v>370</v>
      </c>
      <c r="G37" s="9" t="s">
        <v>371</v>
      </c>
      <c r="H37" s="9" t="s">
        <v>372</v>
      </c>
      <c r="I37" s="9" t="s">
        <v>66</v>
      </c>
      <c r="J37" s="10" t="s">
        <v>186</v>
      </c>
      <c r="K37" s="15" t="str">
        <f>VLOOKUP(J37,DADOS!$A$3:$B$105,2,FALSE)</f>
        <v>EE-GI-001-008</v>
      </c>
      <c r="L37" s="15" t="s">
        <v>332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0</v>
      </c>
      <c r="W37" s="11" t="s">
        <v>352</v>
      </c>
      <c r="X37" s="12" t="s">
        <v>14</v>
      </c>
      <c r="Y37" s="12" t="s">
        <v>14</v>
      </c>
      <c r="Z37" s="13" t="s">
        <v>280</v>
      </c>
    </row>
    <row r="38" spans="1:26" ht="19.899999999999999" customHeight="1" x14ac:dyDescent="0.25">
      <c r="A38" s="6">
        <v>45966</v>
      </c>
      <c r="B38" s="7" t="s">
        <v>346</v>
      </c>
      <c r="C38" s="8" t="s">
        <v>373</v>
      </c>
      <c r="D38" s="8" t="s">
        <v>290</v>
      </c>
      <c r="E38" s="8" t="s">
        <v>348</v>
      </c>
      <c r="F38" s="9" t="s">
        <v>374</v>
      </c>
      <c r="G38" s="9" t="s">
        <v>375</v>
      </c>
      <c r="H38" s="9" t="s">
        <v>376</v>
      </c>
      <c r="I38" s="9" t="s">
        <v>66</v>
      </c>
      <c r="J38" s="10" t="s">
        <v>186</v>
      </c>
      <c r="K38" s="15" t="str">
        <f>VLOOKUP(J38,DADOS!$A$3:$B$105,2,FALSE)</f>
        <v>EE-GI-001-008</v>
      </c>
      <c r="L38" s="15" t="s">
        <v>332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0</v>
      </c>
      <c r="W38" s="11" t="s">
        <v>290</v>
      </c>
      <c r="X38" s="12" t="s">
        <v>14</v>
      </c>
      <c r="Y38" s="12" t="s">
        <v>14</v>
      </c>
      <c r="Z38" s="13" t="s">
        <v>280</v>
      </c>
    </row>
    <row r="39" spans="1:26" ht="19.899999999999999" customHeight="1" x14ac:dyDescent="0.25">
      <c r="A39" s="6">
        <v>45966</v>
      </c>
      <c r="B39" s="7" t="s">
        <v>346</v>
      </c>
      <c r="C39" s="8" t="s">
        <v>373</v>
      </c>
      <c r="D39" s="8" t="s">
        <v>265</v>
      </c>
      <c r="E39" s="8" t="s">
        <v>348</v>
      </c>
      <c r="F39" s="9" t="s">
        <v>377</v>
      </c>
      <c r="G39" s="9" t="s">
        <v>375</v>
      </c>
      <c r="H39" s="9" t="s">
        <v>376</v>
      </c>
      <c r="I39" s="9" t="s">
        <v>66</v>
      </c>
      <c r="J39" s="10" t="s">
        <v>186</v>
      </c>
      <c r="K39" s="15" t="str">
        <f>VLOOKUP(J39,DADOS!$A$3:$B$105,2,FALSE)</f>
        <v>EE-GI-001-008</v>
      </c>
      <c r="L39" s="15" t="s">
        <v>332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0</v>
      </c>
      <c r="W39" s="11" t="s">
        <v>265</v>
      </c>
      <c r="X39" s="12" t="s">
        <v>14</v>
      </c>
      <c r="Y39" s="12" t="s">
        <v>14</v>
      </c>
      <c r="Z39" s="13" t="s">
        <v>280</v>
      </c>
    </row>
    <row r="40" spans="1:26" ht="19.899999999999999" customHeight="1" x14ac:dyDescent="0.25">
      <c r="A40" s="6">
        <v>45966</v>
      </c>
      <c r="B40" s="7" t="s">
        <v>346</v>
      </c>
      <c r="C40" s="8" t="s">
        <v>378</v>
      </c>
      <c r="D40" s="8" t="s">
        <v>352</v>
      </c>
      <c r="E40" s="8" t="s">
        <v>348</v>
      </c>
      <c r="F40" s="9" t="s">
        <v>379</v>
      </c>
      <c r="G40" s="9" t="s">
        <v>380</v>
      </c>
      <c r="H40" s="9" t="s">
        <v>381</v>
      </c>
      <c r="I40" s="9" t="s">
        <v>66</v>
      </c>
      <c r="J40" s="10" t="s">
        <v>186</v>
      </c>
      <c r="K40" s="15" t="str">
        <f>VLOOKUP(J40,DADOS!$A$3:$B$105,2,FALSE)</f>
        <v>EE-GI-001-008</v>
      </c>
      <c r="L40" s="15" t="s">
        <v>304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0</v>
      </c>
      <c r="W40" s="11" t="s">
        <v>352</v>
      </c>
      <c r="X40" s="12" t="s">
        <v>14</v>
      </c>
      <c r="Y40" s="12" t="s">
        <v>14</v>
      </c>
      <c r="Z40" s="13" t="s">
        <v>280</v>
      </c>
    </row>
    <row r="41" spans="1:26" ht="19.899999999999999" customHeight="1" x14ac:dyDescent="0.25">
      <c r="A41" s="6">
        <v>45966</v>
      </c>
      <c r="B41" s="7" t="s">
        <v>346</v>
      </c>
      <c r="C41" s="8" t="s">
        <v>378</v>
      </c>
      <c r="D41" s="8" t="s">
        <v>327</v>
      </c>
      <c r="E41" s="8" t="s">
        <v>348</v>
      </c>
      <c r="F41" s="9" t="s">
        <v>382</v>
      </c>
      <c r="G41" s="9" t="s">
        <v>380</v>
      </c>
      <c r="H41" s="9" t="s">
        <v>381</v>
      </c>
      <c r="I41" s="9" t="s">
        <v>66</v>
      </c>
      <c r="J41" s="10" t="s">
        <v>186</v>
      </c>
      <c r="K41" s="15" t="str">
        <f>VLOOKUP(J41,DADOS!$A$3:$B$105,2,FALSE)</f>
        <v>EE-GI-001-008</v>
      </c>
      <c r="L41" s="15" t="s">
        <v>304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0</v>
      </c>
      <c r="W41" s="11" t="s">
        <v>327</v>
      </c>
      <c r="X41" s="12" t="s">
        <v>14</v>
      </c>
      <c r="Y41" s="12" t="s">
        <v>14</v>
      </c>
      <c r="Z41" s="13" t="s">
        <v>280</v>
      </c>
    </row>
    <row r="42" spans="1:26" ht="19.899999999999999" customHeight="1" x14ac:dyDescent="0.25">
      <c r="A42" s="6">
        <v>45966</v>
      </c>
      <c r="B42" s="7" t="s">
        <v>346</v>
      </c>
      <c r="C42" s="8" t="s">
        <v>383</v>
      </c>
      <c r="D42" s="8" t="s">
        <v>384</v>
      </c>
      <c r="E42" s="8" t="s">
        <v>348</v>
      </c>
      <c r="F42" s="9" t="s">
        <v>386</v>
      </c>
      <c r="G42" s="9" t="s">
        <v>388</v>
      </c>
      <c r="H42" s="9" t="s">
        <v>389</v>
      </c>
      <c r="I42" s="9" t="s">
        <v>66</v>
      </c>
      <c r="J42" s="10" t="s">
        <v>186</v>
      </c>
      <c r="K42" s="15" t="str">
        <f>VLOOKUP(J42,DADOS!$A$3:$B$105,2,FALSE)</f>
        <v>EE-GI-001-008</v>
      </c>
      <c r="L42" s="15" t="s">
        <v>332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0</v>
      </c>
      <c r="W42" s="11" t="s">
        <v>384</v>
      </c>
      <c r="X42" s="12" t="s">
        <v>14</v>
      </c>
      <c r="Y42" s="12" t="s">
        <v>14</v>
      </c>
      <c r="Z42" s="13" t="s">
        <v>280</v>
      </c>
    </row>
    <row r="43" spans="1:26" ht="19.899999999999999" customHeight="1" x14ac:dyDescent="0.25">
      <c r="A43" s="6">
        <v>45966</v>
      </c>
      <c r="B43" s="7" t="s">
        <v>307</v>
      </c>
      <c r="C43" s="8" t="s">
        <v>1104</v>
      </c>
      <c r="D43" s="8" t="s">
        <v>352</v>
      </c>
      <c r="E43" s="8" t="s">
        <v>1105</v>
      </c>
      <c r="F43" s="9" t="s">
        <v>1106</v>
      </c>
      <c r="G43" s="9" t="s">
        <v>1108</v>
      </c>
      <c r="H43" s="9" t="s">
        <v>1107</v>
      </c>
      <c r="I43" s="9" t="s">
        <v>97</v>
      </c>
      <c r="J43" s="10" t="s">
        <v>210</v>
      </c>
      <c r="K43" s="15" t="str">
        <f>VLOOKUP(J43,DADOS!$A$3:$B$105,2,FALSE)</f>
        <v>EE-GI-021-008</v>
      </c>
      <c r="L43" s="15" t="s">
        <v>321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1</v>
      </c>
      <c r="W43" s="11" t="s">
        <v>352</v>
      </c>
      <c r="X43" s="12" t="s">
        <v>14</v>
      </c>
      <c r="Y43" s="12" t="s">
        <v>14</v>
      </c>
      <c r="Z43" s="13" t="s">
        <v>322</v>
      </c>
    </row>
    <row r="44" spans="1:26" ht="19.899999999999999" customHeight="1" x14ac:dyDescent="0.25">
      <c r="A44" s="6">
        <v>45966</v>
      </c>
      <c r="B44" s="7" t="s">
        <v>307</v>
      </c>
      <c r="C44" s="8" t="s">
        <v>1100</v>
      </c>
      <c r="D44" s="8" t="s">
        <v>309</v>
      </c>
      <c r="E44" s="8" t="s">
        <v>507</v>
      </c>
      <c r="F44" s="9" t="s">
        <v>1101</v>
      </c>
      <c r="G44" s="9" t="s">
        <v>1102</v>
      </c>
      <c r="H44" s="9" t="s">
        <v>1103</v>
      </c>
      <c r="I44" s="9" t="s">
        <v>97</v>
      </c>
      <c r="J44" s="10" t="s">
        <v>185</v>
      </c>
      <c r="K44" s="15" t="str">
        <f>VLOOKUP(J44,DADOS!$A$3:$B$105,2,FALSE)</f>
        <v>EE-GI-001-031</v>
      </c>
      <c r="L44" s="15" t="s">
        <v>321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1</v>
      </c>
      <c r="W44" s="11" t="s">
        <v>309</v>
      </c>
      <c r="X44" s="12" t="s">
        <v>14</v>
      </c>
      <c r="Y44" s="12" t="s">
        <v>14</v>
      </c>
      <c r="Z44" s="13" t="s">
        <v>322</v>
      </c>
    </row>
    <row r="45" spans="1:26" ht="19.899999999999999" customHeight="1" x14ac:dyDescent="0.25">
      <c r="A45" s="6">
        <v>45966</v>
      </c>
      <c r="B45" s="7" t="s">
        <v>307</v>
      </c>
      <c r="C45" s="8" t="s">
        <v>1097</v>
      </c>
      <c r="D45" s="8" t="s">
        <v>265</v>
      </c>
      <c r="E45" s="8" t="s">
        <v>1098</v>
      </c>
      <c r="F45" s="9" t="s">
        <v>1099</v>
      </c>
      <c r="G45" s="9" t="s">
        <v>1095</v>
      </c>
      <c r="H45" s="9" t="s">
        <v>1096</v>
      </c>
      <c r="I45" s="9" t="s">
        <v>97</v>
      </c>
      <c r="J45" s="10" t="s">
        <v>185</v>
      </c>
      <c r="K45" s="15" t="str">
        <f>VLOOKUP(J45,DADOS!$A$3:$B$105,2,FALSE)</f>
        <v>EE-GI-001-031</v>
      </c>
      <c r="L45" s="15" t="s">
        <v>321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1</v>
      </c>
      <c r="W45" s="11" t="s">
        <v>265</v>
      </c>
      <c r="X45" s="12" t="s">
        <v>14</v>
      </c>
      <c r="Y45" s="12" t="s">
        <v>14</v>
      </c>
      <c r="Z45" s="13" t="s">
        <v>322</v>
      </c>
    </row>
    <row r="46" spans="1:26" ht="19.899999999999999" customHeight="1" x14ac:dyDescent="0.25">
      <c r="A46" s="6">
        <v>45966</v>
      </c>
      <c r="B46" s="7" t="s">
        <v>307</v>
      </c>
      <c r="C46" s="8" t="s">
        <v>1092</v>
      </c>
      <c r="D46" s="8" t="s">
        <v>473</v>
      </c>
      <c r="E46" s="8" t="s">
        <v>1093</v>
      </c>
      <c r="F46" s="9" t="s">
        <v>1094</v>
      </c>
      <c r="G46" s="9" t="s">
        <v>1095</v>
      </c>
      <c r="H46" s="9" t="s">
        <v>1096</v>
      </c>
      <c r="I46" s="9" t="s">
        <v>97</v>
      </c>
      <c r="J46" s="10" t="s">
        <v>185</v>
      </c>
      <c r="K46" s="15" t="str">
        <f>VLOOKUP(J46,DADOS!$A$3:$B$105,2,FALSE)</f>
        <v>EE-GI-001-031</v>
      </c>
      <c r="L46" s="15" t="s">
        <v>321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1</v>
      </c>
      <c r="W46" s="11" t="s">
        <v>473</v>
      </c>
      <c r="X46" s="12" t="s">
        <v>14</v>
      </c>
      <c r="Y46" s="12" t="s">
        <v>14</v>
      </c>
      <c r="Z46" s="13" t="s">
        <v>322</v>
      </c>
    </row>
    <row r="47" spans="1:26" ht="19.899999999999999" customHeight="1" x14ac:dyDescent="0.25">
      <c r="A47" s="6">
        <v>45966</v>
      </c>
      <c r="B47" s="7" t="s">
        <v>402</v>
      </c>
      <c r="C47" s="8" t="s">
        <v>415</v>
      </c>
      <c r="D47" s="8" t="s">
        <v>419</v>
      </c>
      <c r="E47" s="8" t="s">
        <v>416</v>
      </c>
      <c r="F47" s="9" t="s">
        <v>420</v>
      </c>
      <c r="G47" s="9" t="s">
        <v>418</v>
      </c>
      <c r="H47" s="9" t="s">
        <v>590</v>
      </c>
      <c r="I47" s="9" t="s">
        <v>66</v>
      </c>
      <c r="J47" s="10" t="s">
        <v>186</v>
      </c>
      <c r="K47" s="15" t="str">
        <f>VLOOKUP(J47,DADOS!$A$3:$B$105,2,FALSE)</f>
        <v>EE-GI-001-008</v>
      </c>
      <c r="L47" s="15" t="s">
        <v>408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419</v>
      </c>
      <c r="X47" s="12" t="s">
        <v>14</v>
      </c>
      <c r="Y47" s="12" t="s">
        <v>14</v>
      </c>
      <c r="Z47" s="13" t="s">
        <v>322</v>
      </c>
    </row>
    <row r="48" spans="1:26" ht="19.899999999999999" customHeight="1" x14ac:dyDescent="0.25">
      <c r="A48" s="6">
        <v>45966</v>
      </c>
      <c r="B48" s="7" t="s">
        <v>402</v>
      </c>
      <c r="C48" s="8" t="s">
        <v>415</v>
      </c>
      <c r="D48" s="8" t="s">
        <v>603</v>
      </c>
      <c r="E48" s="8" t="s">
        <v>416</v>
      </c>
      <c r="F48" s="9" t="s">
        <v>604</v>
      </c>
      <c r="G48" s="9" t="s">
        <v>605</v>
      </c>
      <c r="H48" s="9" t="s">
        <v>590</v>
      </c>
      <c r="I48" s="9" t="s">
        <v>66</v>
      </c>
      <c r="J48" s="10" t="s">
        <v>186</v>
      </c>
      <c r="K48" s="15" t="str">
        <f>VLOOKUP(J48,DADOS!$A$3:$B$105,2,FALSE)</f>
        <v>EE-GI-001-008</v>
      </c>
      <c r="L48" s="15" t="s">
        <v>332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603</v>
      </c>
      <c r="X48" s="12" t="s">
        <v>14</v>
      </c>
      <c r="Y48" s="12" t="s">
        <v>14</v>
      </c>
      <c r="Z48" s="13" t="s">
        <v>280</v>
      </c>
    </row>
    <row r="49" spans="1:26" ht="19.899999999999999" customHeight="1" x14ac:dyDescent="0.25">
      <c r="A49" s="6">
        <v>45966</v>
      </c>
      <c r="B49" s="7" t="s">
        <v>402</v>
      </c>
      <c r="C49" s="8" t="s">
        <v>585</v>
      </c>
      <c r="D49" s="8" t="s">
        <v>352</v>
      </c>
      <c r="E49" s="8" t="s">
        <v>586</v>
      </c>
      <c r="F49" s="9" t="s">
        <v>587</v>
      </c>
      <c r="G49" s="9" t="s">
        <v>588</v>
      </c>
      <c r="H49" s="9" t="s">
        <v>589</v>
      </c>
      <c r="I49" s="9" t="s">
        <v>64</v>
      </c>
      <c r="J49" s="10" t="s">
        <v>186</v>
      </c>
      <c r="K49" s="15" t="str">
        <f>VLOOKUP(J49,DADOS!$A$3:$B$105,2,FALSE)</f>
        <v>EE-GI-001-008</v>
      </c>
      <c r="L49" s="15" t="s">
        <v>278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1</v>
      </c>
      <c r="U49" s="17" t="b">
        <v>1</v>
      </c>
      <c r="V49" s="17" t="b">
        <v>1</v>
      </c>
      <c r="W49" s="11" t="s">
        <v>352</v>
      </c>
      <c r="X49" s="12" t="s">
        <v>14</v>
      </c>
      <c r="Y49" s="12" t="s">
        <v>14</v>
      </c>
      <c r="Z49" s="13" t="s">
        <v>280</v>
      </c>
    </row>
    <row r="50" spans="1:26" ht="19.899999999999999" customHeight="1" x14ac:dyDescent="0.25">
      <c r="A50" s="6">
        <v>45966</v>
      </c>
      <c r="B50" s="7" t="s">
        <v>402</v>
      </c>
      <c r="C50" s="8" t="s">
        <v>594</v>
      </c>
      <c r="D50" s="8" t="s">
        <v>595</v>
      </c>
      <c r="E50" s="8" t="s">
        <v>416</v>
      </c>
      <c r="F50" s="9" t="s">
        <v>596</v>
      </c>
      <c r="G50" s="9" t="s">
        <v>598</v>
      </c>
      <c r="H50" s="9" t="s">
        <v>599</v>
      </c>
      <c r="I50" s="9" t="s">
        <v>66</v>
      </c>
      <c r="J50" s="10" t="s">
        <v>186</v>
      </c>
      <c r="K50" s="15" t="str">
        <f>VLOOKUP(J50,DADOS!$A$3:$B$105,2,FALSE)</f>
        <v>EE-GI-001-008</v>
      </c>
      <c r="L50" s="15" t="s">
        <v>332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595</v>
      </c>
      <c r="X50" s="12" t="s">
        <v>14</v>
      </c>
      <c r="Y50" s="12" t="s">
        <v>14</v>
      </c>
      <c r="Z50" s="13" t="s">
        <v>280</v>
      </c>
    </row>
    <row r="51" spans="1:26" ht="19.899999999999999" customHeight="1" x14ac:dyDescent="0.25">
      <c r="A51" s="6">
        <v>45966</v>
      </c>
      <c r="B51" s="7" t="s">
        <v>402</v>
      </c>
      <c r="C51" s="8" t="s">
        <v>594</v>
      </c>
      <c r="D51" s="8" t="s">
        <v>309</v>
      </c>
      <c r="E51" s="8" t="s">
        <v>416</v>
      </c>
      <c r="F51" s="9" t="s">
        <v>597</v>
      </c>
      <c r="G51" s="9" t="s">
        <v>418</v>
      </c>
      <c r="H51" s="9" t="s">
        <v>599</v>
      </c>
      <c r="I51" s="9" t="s">
        <v>66</v>
      </c>
      <c r="J51" s="10" t="s">
        <v>186</v>
      </c>
      <c r="K51" s="15" t="str">
        <f>VLOOKUP(J51,DADOS!$A$3:$B$105,2,FALSE)</f>
        <v>EE-GI-001-008</v>
      </c>
      <c r="L51" s="15" t="s">
        <v>332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309</v>
      </c>
      <c r="X51" s="12" t="s">
        <v>14</v>
      </c>
      <c r="Y51" s="12" t="s">
        <v>14</v>
      </c>
      <c r="Z51" s="13" t="s">
        <v>280</v>
      </c>
    </row>
    <row r="52" spans="1:26" ht="19.899999999999999" customHeight="1" x14ac:dyDescent="0.25">
      <c r="A52" s="6">
        <v>45966</v>
      </c>
      <c r="B52" s="7" t="s">
        <v>346</v>
      </c>
      <c r="C52" s="8" t="s">
        <v>383</v>
      </c>
      <c r="D52" s="8" t="s">
        <v>385</v>
      </c>
      <c r="E52" s="8" t="s">
        <v>348</v>
      </c>
      <c r="F52" s="9" t="s">
        <v>387</v>
      </c>
      <c r="G52" s="9" t="s">
        <v>391</v>
      </c>
      <c r="H52" s="9" t="s">
        <v>390</v>
      </c>
      <c r="I52" s="9" t="s">
        <v>66</v>
      </c>
      <c r="J52" s="10" t="s">
        <v>186</v>
      </c>
      <c r="K52" s="15" t="str">
        <f>VLOOKUP(J52,DADOS!$A$3:$B$105,2,FALSE)</f>
        <v>EE-GI-001-008</v>
      </c>
      <c r="L52" s="15" t="s">
        <v>332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0</v>
      </c>
      <c r="W52" s="11" t="s">
        <v>385</v>
      </c>
      <c r="X52" s="12" t="s">
        <v>14</v>
      </c>
      <c r="Y52" s="12" t="s">
        <v>14</v>
      </c>
      <c r="Z52" s="13" t="s">
        <v>280</v>
      </c>
    </row>
    <row r="53" spans="1:26" ht="19.899999999999999" customHeight="1" x14ac:dyDescent="0.25">
      <c r="A53" s="6">
        <v>45966</v>
      </c>
      <c r="B53" s="7" t="s">
        <v>428</v>
      </c>
      <c r="C53" s="8" t="s">
        <v>438</v>
      </c>
      <c r="D53" s="8" t="s">
        <v>352</v>
      </c>
      <c r="E53" s="8" t="s">
        <v>439</v>
      </c>
      <c r="F53" s="9" t="s">
        <v>440</v>
      </c>
      <c r="G53" s="9" t="s">
        <v>444</v>
      </c>
      <c r="H53" s="9" t="s">
        <v>445</v>
      </c>
      <c r="I53" s="9" t="s">
        <v>70</v>
      </c>
      <c r="J53" s="10" t="s">
        <v>254</v>
      </c>
      <c r="K53" s="15" t="str">
        <f>VLOOKUP(J53,DADOS!$A$3:$B$105,2,FALSE)</f>
        <v>EE-GI-001-073</v>
      </c>
      <c r="L53" s="15" t="s">
        <v>332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1</v>
      </c>
      <c r="S53" s="17" t="b">
        <v>0</v>
      </c>
      <c r="T53" s="17" t="b">
        <v>0</v>
      </c>
      <c r="U53" s="17" t="b">
        <v>0</v>
      </c>
      <c r="V53" s="17" t="b">
        <v>0</v>
      </c>
      <c r="W53" s="11" t="s">
        <v>352</v>
      </c>
      <c r="X53" s="12" t="s">
        <v>14</v>
      </c>
      <c r="Y53" s="12" t="s">
        <v>14</v>
      </c>
      <c r="Z53" s="13" t="s">
        <v>280</v>
      </c>
    </row>
    <row r="54" spans="1:26" ht="19.899999999999999" customHeight="1" x14ac:dyDescent="0.25">
      <c r="A54" s="6">
        <v>45966</v>
      </c>
      <c r="B54" s="7" t="s">
        <v>428</v>
      </c>
      <c r="C54" s="8" t="s">
        <v>438</v>
      </c>
      <c r="D54" s="8" t="s">
        <v>352</v>
      </c>
      <c r="E54" s="8" t="s">
        <v>439</v>
      </c>
      <c r="F54" s="9" t="s">
        <v>441</v>
      </c>
      <c r="G54" s="9" t="s">
        <v>444</v>
      </c>
      <c r="H54" s="9" t="s">
        <v>445</v>
      </c>
      <c r="I54" s="9" t="s">
        <v>70</v>
      </c>
      <c r="J54" s="10" t="s">
        <v>254</v>
      </c>
      <c r="K54" s="15" t="str">
        <f>VLOOKUP(J54,DADOS!$A$3:$B$105,2,FALSE)</f>
        <v>EE-GI-001-073</v>
      </c>
      <c r="L54" s="15" t="s">
        <v>332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1</v>
      </c>
      <c r="S54" s="17" t="b">
        <v>0</v>
      </c>
      <c r="T54" s="17" t="b">
        <v>0</v>
      </c>
      <c r="U54" s="17" t="b">
        <v>0</v>
      </c>
      <c r="V54" s="17" t="b">
        <v>0</v>
      </c>
      <c r="W54" s="11" t="s">
        <v>352</v>
      </c>
      <c r="X54" s="12" t="s">
        <v>14</v>
      </c>
      <c r="Y54" s="12" t="s">
        <v>14</v>
      </c>
      <c r="Z54" s="13" t="s">
        <v>280</v>
      </c>
    </row>
    <row r="55" spans="1:26" ht="19.899999999999999" customHeight="1" x14ac:dyDescent="0.25">
      <c r="A55" s="6">
        <v>45966</v>
      </c>
      <c r="B55" s="7" t="s">
        <v>428</v>
      </c>
      <c r="C55" s="8" t="s">
        <v>438</v>
      </c>
      <c r="D55" s="8" t="s">
        <v>352</v>
      </c>
      <c r="E55" s="8" t="s">
        <v>439</v>
      </c>
      <c r="F55" s="9" t="s">
        <v>442</v>
      </c>
      <c r="G55" s="9" t="s">
        <v>444</v>
      </c>
      <c r="H55" s="9" t="s">
        <v>445</v>
      </c>
      <c r="I55" s="9" t="s">
        <v>70</v>
      </c>
      <c r="J55" s="10" t="s">
        <v>254</v>
      </c>
      <c r="K55" s="15" t="str">
        <f>VLOOKUP(J55,DADOS!$A$3:$B$105,2,FALSE)</f>
        <v>EE-GI-001-073</v>
      </c>
      <c r="L55" s="15" t="s">
        <v>332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1</v>
      </c>
      <c r="S55" s="17" t="b">
        <v>0</v>
      </c>
      <c r="T55" s="17" t="b">
        <v>0</v>
      </c>
      <c r="U55" s="17" t="b">
        <v>0</v>
      </c>
      <c r="V55" s="17" t="b">
        <v>0</v>
      </c>
      <c r="W55" s="11" t="s">
        <v>352</v>
      </c>
      <c r="X55" s="12" t="s">
        <v>14</v>
      </c>
      <c r="Y55" s="12" t="s">
        <v>14</v>
      </c>
      <c r="Z55" s="13" t="s">
        <v>280</v>
      </c>
    </row>
    <row r="56" spans="1:26" ht="19.899999999999999" customHeight="1" x14ac:dyDescent="0.25">
      <c r="A56" s="6">
        <v>45966</v>
      </c>
      <c r="B56" s="7" t="s">
        <v>428</v>
      </c>
      <c r="C56" s="8" t="s">
        <v>438</v>
      </c>
      <c r="D56" s="8" t="s">
        <v>352</v>
      </c>
      <c r="E56" s="8" t="s">
        <v>439</v>
      </c>
      <c r="F56" s="9" t="s">
        <v>443</v>
      </c>
      <c r="G56" s="9" t="s">
        <v>444</v>
      </c>
      <c r="H56" s="9" t="s">
        <v>445</v>
      </c>
      <c r="I56" s="9" t="s">
        <v>70</v>
      </c>
      <c r="J56" s="10" t="s">
        <v>254</v>
      </c>
      <c r="K56" s="15" t="str">
        <f>VLOOKUP(J56,DADOS!$A$3:$B$105,2,FALSE)</f>
        <v>EE-GI-001-073</v>
      </c>
      <c r="L56" s="15" t="s">
        <v>332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1</v>
      </c>
      <c r="S56" s="17" t="b">
        <v>0</v>
      </c>
      <c r="T56" s="17" t="b">
        <v>0</v>
      </c>
      <c r="U56" s="17" t="b">
        <v>0</v>
      </c>
      <c r="V56" s="17" t="b">
        <v>0</v>
      </c>
      <c r="W56" s="11" t="s">
        <v>352</v>
      </c>
      <c r="X56" s="12" t="s">
        <v>14</v>
      </c>
      <c r="Y56" s="12" t="s">
        <v>14</v>
      </c>
      <c r="Z56" s="13" t="s">
        <v>280</v>
      </c>
    </row>
    <row r="57" spans="1:26" ht="19.899999999999999" customHeight="1" x14ac:dyDescent="0.25">
      <c r="A57" s="6">
        <v>45966</v>
      </c>
      <c r="B57" s="7" t="s">
        <v>428</v>
      </c>
      <c r="C57" s="8" t="s">
        <v>446</v>
      </c>
      <c r="D57" s="8" t="s">
        <v>352</v>
      </c>
      <c r="E57" s="8" t="s">
        <v>447</v>
      </c>
      <c r="F57" s="9" t="s">
        <v>448</v>
      </c>
      <c r="G57" s="9" t="s">
        <v>449</v>
      </c>
      <c r="H57" s="9" t="s">
        <v>479</v>
      </c>
      <c r="I57" s="9" t="s">
        <v>65</v>
      </c>
      <c r="J57" s="10" t="s">
        <v>255</v>
      </c>
      <c r="K57" s="15" t="str">
        <f>VLOOKUP(J57,DADOS!$A$3:$B$105,2,FALSE)</f>
        <v>EE-GI-001-074</v>
      </c>
      <c r="L57" s="15" t="s">
        <v>278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1</v>
      </c>
      <c r="S57" s="17" t="b">
        <v>0</v>
      </c>
      <c r="T57" s="17" t="b">
        <v>0</v>
      </c>
      <c r="U57" s="17" t="b">
        <v>0</v>
      </c>
      <c r="V57" s="17" t="b">
        <v>0</v>
      </c>
      <c r="W57" s="11" t="s">
        <v>352</v>
      </c>
      <c r="X57" s="12" t="s">
        <v>14</v>
      </c>
      <c r="Y57" s="12" t="s">
        <v>14</v>
      </c>
      <c r="Z57" s="13" t="s">
        <v>280</v>
      </c>
    </row>
    <row r="58" spans="1:26" ht="19.899999999999999" customHeight="1" x14ac:dyDescent="0.25">
      <c r="A58" s="6">
        <v>45966</v>
      </c>
      <c r="B58" s="7" t="s">
        <v>428</v>
      </c>
      <c r="C58" s="8" t="s">
        <v>450</v>
      </c>
      <c r="D58" s="8" t="s">
        <v>453</v>
      </c>
      <c r="E58" s="8" t="s">
        <v>451</v>
      </c>
      <c r="F58" s="9" t="s">
        <v>452</v>
      </c>
      <c r="G58" s="9" t="s">
        <v>454</v>
      </c>
      <c r="H58" s="9" t="s">
        <v>1571</v>
      </c>
      <c r="I58" s="9" t="s">
        <v>65</v>
      </c>
      <c r="J58" s="10" t="s">
        <v>255</v>
      </c>
      <c r="K58" s="15" t="str">
        <f>VLOOKUP(J58,DADOS!$A$3:$B$105,2,FALSE)</f>
        <v>EE-GI-001-074</v>
      </c>
      <c r="L58" s="15" t="s">
        <v>304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1</v>
      </c>
      <c r="S58" s="17" t="b">
        <v>0</v>
      </c>
      <c r="T58" s="17" t="b">
        <v>0</v>
      </c>
      <c r="U58" s="17" t="b">
        <v>0</v>
      </c>
      <c r="V58" s="17" t="b">
        <v>0</v>
      </c>
      <c r="W58" s="11" t="s">
        <v>453</v>
      </c>
      <c r="X58" s="12" t="s">
        <v>14</v>
      </c>
      <c r="Y58" s="12" t="s">
        <v>14</v>
      </c>
      <c r="Z58" s="13" t="s">
        <v>280</v>
      </c>
    </row>
    <row r="59" spans="1:26" ht="19.899999999999999" customHeight="1" x14ac:dyDescent="0.25">
      <c r="A59" s="6">
        <v>45966</v>
      </c>
      <c r="B59" s="7" t="s">
        <v>428</v>
      </c>
      <c r="C59" s="8" t="s">
        <v>456</v>
      </c>
      <c r="D59" s="8" t="s">
        <v>309</v>
      </c>
      <c r="E59" s="8" t="s">
        <v>457</v>
      </c>
      <c r="F59" s="9" t="s">
        <v>458</v>
      </c>
      <c r="G59" s="9" t="s">
        <v>455</v>
      </c>
      <c r="H59" s="9" t="s">
        <v>480</v>
      </c>
      <c r="I59" s="9" t="s">
        <v>65</v>
      </c>
      <c r="J59" s="10" t="s">
        <v>255</v>
      </c>
      <c r="K59" s="15" t="str">
        <f>VLOOKUP(J59,DADOS!$A$3:$B$105,2,FALSE)</f>
        <v>EE-GI-001-074</v>
      </c>
      <c r="L59" s="15" t="s">
        <v>304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1</v>
      </c>
      <c r="S59" s="17" t="b">
        <v>0</v>
      </c>
      <c r="T59" s="17" t="b">
        <v>0</v>
      </c>
      <c r="U59" s="17" t="b">
        <v>0</v>
      </c>
      <c r="V59" s="17" t="b">
        <v>0</v>
      </c>
      <c r="W59" s="11" t="s">
        <v>352</v>
      </c>
      <c r="X59" s="12" t="s">
        <v>14</v>
      </c>
      <c r="Y59" s="12" t="s">
        <v>14</v>
      </c>
      <c r="Z59" s="13" t="s">
        <v>280</v>
      </c>
    </row>
    <row r="60" spans="1:26" ht="19.899999999999999" customHeight="1" x14ac:dyDescent="0.25">
      <c r="A60" s="6">
        <v>45966</v>
      </c>
      <c r="B60" s="7" t="s">
        <v>466</v>
      </c>
      <c r="C60" s="8" t="s">
        <v>467</v>
      </c>
      <c r="D60" s="8" t="s">
        <v>309</v>
      </c>
      <c r="E60" s="8" t="s">
        <v>468</v>
      </c>
      <c r="F60" s="9" t="s">
        <v>469</v>
      </c>
      <c r="G60" s="9" t="s">
        <v>470</v>
      </c>
      <c r="H60" s="9" t="s">
        <v>481</v>
      </c>
      <c r="I60" s="9" t="s">
        <v>69</v>
      </c>
      <c r="J60" s="10" t="s">
        <v>259</v>
      </c>
      <c r="K60" s="15" t="str">
        <f>VLOOKUP(J60,DADOS!$A$3:$B$105,2,FALSE)</f>
        <v>EE-GI-001-072</v>
      </c>
      <c r="L60" s="15" t="s">
        <v>304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0</v>
      </c>
      <c r="W60" s="11" t="s">
        <v>309</v>
      </c>
      <c r="X60" s="12" t="s">
        <v>14</v>
      </c>
      <c r="Y60" s="12" t="s">
        <v>14</v>
      </c>
      <c r="Z60" s="13" t="s">
        <v>280</v>
      </c>
    </row>
    <row r="61" spans="1:26" ht="19.899999999999999" customHeight="1" x14ac:dyDescent="0.25">
      <c r="A61" s="6">
        <v>45966</v>
      </c>
      <c r="B61" s="7" t="s">
        <v>471</v>
      </c>
      <c r="C61" s="8" t="s">
        <v>472</v>
      </c>
      <c r="D61" s="8" t="s">
        <v>473</v>
      </c>
      <c r="E61" s="8" t="s">
        <v>474</v>
      </c>
      <c r="F61" s="9" t="s">
        <v>475</v>
      </c>
      <c r="G61" s="9" t="s">
        <v>476</v>
      </c>
      <c r="H61" s="9" t="s">
        <v>477</v>
      </c>
      <c r="I61" s="9" t="s">
        <v>70</v>
      </c>
      <c r="J61" s="10" t="s">
        <v>259</v>
      </c>
      <c r="K61" s="15" t="str">
        <f>VLOOKUP(J61,DADOS!$A$3:$B$105,2,FALSE)</f>
        <v>EE-GI-001-072</v>
      </c>
      <c r="L61" s="15" t="s">
        <v>332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0</v>
      </c>
      <c r="W61" s="11" t="s">
        <v>473</v>
      </c>
      <c r="X61" s="12" t="s">
        <v>14</v>
      </c>
      <c r="Y61" s="12" t="s">
        <v>14</v>
      </c>
      <c r="Z61" s="13" t="s">
        <v>280</v>
      </c>
    </row>
    <row r="62" spans="1:26" ht="19.899999999999999" customHeight="1" x14ac:dyDescent="0.25">
      <c r="A62" s="6">
        <v>45966</v>
      </c>
      <c r="B62" s="7" t="s">
        <v>402</v>
      </c>
      <c r="C62" s="8" t="s">
        <v>950</v>
      </c>
      <c r="D62" s="8" t="s">
        <v>352</v>
      </c>
      <c r="E62" s="8" t="s">
        <v>586</v>
      </c>
      <c r="F62" s="9" t="s">
        <v>951</v>
      </c>
      <c r="G62" s="9" t="s">
        <v>952</v>
      </c>
      <c r="H62" s="9" t="s">
        <v>953</v>
      </c>
      <c r="I62" s="9" t="s">
        <v>69</v>
      </c>
      <c r="J62" s="10" t="s">
        <v>17</v>
      </c>
      <c r="K62" s="15" t="str">
        <f>VLOOKUP(J62,[1]DADOS!$A$3:$B$105,2,FALSE)</f>
        <v>EE-GI-001-001</v>
      </c>
      <c r="L62" s="15" t="s">
        <v>941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0</v>
      </c>
      <c r="S62" s="17" t="b">
        <v>0</v>
      </c>
      <c r="T62" s="17" t="b">
        <v>1</v>
      </c>
      <c r="U62" s="17" t="b">
        <v>1</v>
      </c>
      <c r="V62" s="17" t="b">
        <v>1</v>
      </c>
      <c r="W62" s="11" t="s">
        <v>352</v>
      </c>
      <c r="X62" s="12" t="s">
        <v>14</v>
      </c>
      <c r="Y62" s="12" t="s">
        <v>14</v>
      </c>
      <c r="Z62" s="9" t="s">
        <v>271</v>
      </c>
    </row>
    <row r="63" spans="1:26" ht="19.899999999999999" customHeight="1" x14ac:dyDescent="0.25">
      <c r="A63" s="6">
        <v>45966</v>
      </c>
      <c r="B63" s="7" t="s">
        <v>402</v>
      </c>
      <c r="C63" s="8" t="s">
        <v>954</v>
      </c>
      <c r="D63" s="8" t="s">
        <v>352</v>
      </c>
      <c r="E63" s="8" t="s">
        <v>404</v>
      </c>
      <c r="F63" s="9" t="s">
        <v>955</v>
      </c>
      <c r="G63" s="9" t="s">
        <v>956</v>
      </c>
      <c r="H63" s="9" t="s">
        <v>957</v>
      </c>
      <c r="I63" s="9" t="s">
        <v>69</v>
      </c>
      <c r="J63" s="10" t="s">
        <v>17</v>
      </c>
      <c r="K63" s="15" t="str">
        <f>VLOOKUP(J63,[1]DADOS!$A$3:$B$105,2,FALSE)</f>
        <v>EE-GI-001-001</v>
      </c>
      <c r="L63" s="15" t="s">
        <v>941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0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352</v>
      </c>
      <c r="X63" s="12" t="s">
        <v>14</v>
      </c>
      <c r="Y63" s="12" t="s">
        <v>14</v>
      </c>
      <c r="Z63" s="9" t="s">
        <v>271</v>
      </c>
    </row>
    <row r="64" spans="1:26" ht="19.899999999999999" customHeight="1" x14ac:dyDescent="0.25">
      <c r="A64" s="6">
        <v>45966</v>
      </c>
      <c r="B64" s="7" t="s">
        <v>263</v>
      </c>
      <c r="C64" s="8" t="s">
        <v>2039</v>
      </c>
      <c r="D64" s="8" t="s">
        <v>290</v>
      </c>
      <c r="E64" s="8" t="s">
        <v>2040</v>
      </c>
      <c r="F64" s="9" t="s">
        <v>2041</v>
      </c>
      <c r="G64" s="9" t="s">
        <v>2042</v>
      </c>
      <c r="H64" s="9" t="s">
        <v>2043</v>
      </c>
      <c r="I64" s="9" t="s">
        <v>66</v>
      </c>
      <c r="J64" s="10" t="s">
        <v>187</v>
      </c>
      <c r="K64" s="15" t="str">
        <f>VLOOKUP(J64,[2]DADOS!$A$3:$B$105,2,FALSE)</f>
        <v>EE-GI-001-034</v>
      </c>
      <c r="L64" s="15" t="s">
        <v>270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0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290</v>
      </c>
      <c r="X64" s="12" t="s">
        <v>14</v>
      </c>
      <c r="Y64" s="12" t="s">
        <v>14</v>
      </c>
      <c r="Z64" s="13" t="s">
        <v>271</v>
      </c>
    </row>
    <row r="65" spans="1:26" ht="19.899999999999999" customHeight="1" x14ac:dyDescent="0.25">
      <c r="A65" s="6">
        <v>45966</v>
      </c>
      <c r="B65" s="7" t="s">
        <v>263</v>
      </c>
      <c r="C65" s="8" t="s">
        <v>2044</v>
      </c>
      <c r="D65" s="8" t="s">
        <v>290</v>
      </c>
      <c r="E65" s="8" t="s">
        <v>2040</v>
      </c>
      <c r="F65" s="9" t="s">
        <v>2045</v>
      </c>
      <c r="G65" s="9" t="s">
        <v>14</v>
      </c>
      <c r="H65" s="9" t="s">
        <v>2043</v>
      </c>
      <c r="I65" s="9" t="s">
        <v>14</v>
      </c>
      <c r="J65" s="10" t="s">
        <v>14</v>
      </c>
      <c r="K65" s="15" t="e">
        <f>VLOOKUP(J65,[2]DADOS!$A$3:$B$105,2,FALSE)</f>
        <v>#N/A</v>
      </c>
      <c r="L65" s="15" t="s">
        <v>270</v>
      </c>
      <c r="M65" s="18" t="b">
        <v>1</v>
      </c>
      <c r="N65" s="17" t="b">
        <v>1</v>
      </c>
      <c r="O65" s="17" t="b">
        <v>0</v>
      </c>
      <c r="P65" s="17" t="b">
        <v>1</v>
      </c>
      <c r="Q65" s="17" t="b">
        <v>0</v>
      </c>
      <c r="R65" s="17" t="b">
        <v>0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290</v>
      </c>
      <c r="X65" s="12" t="s">
        <v>14</v>
      </c>
      <c r="Y65" s="12" t="s">
        <v>14</v>
      </c>
      <c r="Z65" s="13" t="s">
        <v>271</v>
      </c>
    </row>
    <row r="66" spans="1:26" ht="19.899999999999999" customHeight="1" x14ac:dyDescent="0.25">
      <c r="A66" s="6">
        <v>45966</v>
      </c>
      <c r="B66" s="7" t="s">
        <v>987</v>
      </c>
      <c r="C66" s="8" t="s">
        <v>2046</v>
      </c>
      <c r="D66" s="8" t="s">
        <v>265</v>
      </c>
      <c r="E66" s="8" t="s">
        <v>2047</v>
      </c>
      <c r="F66" s="9" t="s">
        <v>2048</v>
      </c>
      <c r="G66" s="9" t="s">
        <v>2049</v>
      </c>
      <c r="H66" s="9" t="s">
        <v>2050</v>
      </c>
      <c r="I66" s="9" t="s">
        <v>64</v>
      </c>
      <c r="J66" s="10" t="s">
        <v>186</v>
      </c>
      <c r="K66" s="15" t="str">
        <f>VLOOKUP(J66,[2]DADOS!$A$3:$B$105,2,FALSE)</f>
        <v>EE-GI-001-008</v>
      </c>
      <c r="L66" s="15" t="s">
        <v>270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0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265</v>
      </c>
      <c r="X66" s="12" t="s">
        <v>14</v>
      </c>
      <c r="Y66" s="12" t="s">
        <v>14</v>
      </c>
      <c r="Z66" s="13" t="s">
        <v>271</v>
      </c>
    </row>
    <row r="67" spans="1:26" ht="19.899999999999999" customHeight="1" x14ac:dyDescent="0.25">
      <c r="A67" s="6">
        <v>45966</v>
      </c>
      <c r="B67" s="7" t="s">
        <v>272</v>
      </c>
      <c r="C67" s="8" t="s">
        <v>2061</v>
      </c>
      <c r="D67" s="8" t="s">
        <v>290</v>
      </c>
      <c r="E67" s="8" t="s">
        <v>2062</v>
      </c>
      <c r="F67" s="9" t="s">
        <v>292</v>
      </c>
      <c r="G67" s="9" t="s">
        <v>293</v>
      </c>
      <c r="H67" s="9" t="s">
        <v>2063</v>
      </c>
      <c r="I67" s="9" t="s">
        <v>64</v>
      </c>
      <c r="J67" s="10" t="s">
        <v>186</v>
      </c>
      <c r="K67" s="15" t="str">
        <f>VLOOKUP(J67,DADOS!$A$3:$B$105,2,FALSE)</f>
        <v>EE-GI-001-008</v>
      </c>
      <c r="L67" s="15" t="s">
        <v>278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0</v>
      </c>
      <c r="S67" s="17" t="b">
        <v>0</v>
      </c>
      <c r="T67" s="17" t="b">
        <v>0</v>
      </c>
      <c r="U67" s="17" t="b">
        <v>0</v>
      </c>
      <c r="V67" s="17" t="b">
        <v>0</v>
      </c>
      <c r="W67" s="11" t="s">
        <v>290</v>
      </c>
      <c r="X67" s="12" t="s">
        <v>14</v>
      </c>
      <c r="Y67" s="12" t="s">
        <v>14</v>
      </c>
      <c r="Z67" s="13" t="s">
        <v>280</v>
      </c>
    </row>
    <row r="68" spans="1:26" ht="19.899999999999999" customHeight="1" x14ac:dyDescent="0.25">
      <c r="A68" s="6">
        <v>45967</v>
      </c>
      <c r="B68" s="7" t="s">
        <v>394</v>
      </c>
      <c r="C68" s="8" t="s">
        <v>395</v>
      </c>
      <c r="D68" s="8" t="s">
        <v>396</v>
      </c>
      <c r="E68" s="8" t="s">
        <v>397</v>
      </c>
      <c r="F68" s="9" t="s">
        <v>398</v>
      </c>
      <c r="G68" s="9" t="s">
        <v>400</v>
      </c>
      <c r="H68" s="9" t="s">
        <v>1718</v>
      </c>
      <c r="I68" s="9" t="s">
        <v>66</v>
      </c>
      <c r="J68" s="10" t="s">
        <v>233</v>
      </c>
      <c r="K68" s="15" t="str">
        <f>VLOOKUP(J68,DADOS!$A$3:$B$105,2,FALSE)</f>
        <v>EE-GI-221-031</v>
      </c>
      <c r="L68" s="15" t="s">
        <v>401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1</v>
      </c>
      <c r="R68" s="17" t="b">
        <v>0</v>
      </c>
      <c r="S68" s="17" t="b">
        <v>0</v>
      </c>
      <c r="T68" s="17" t="b">
        <v>0</v>
      </c>
      <c r="U68" s="17" t="b">
        <v>0</v>
      </c>
      <c r="V68" s="17" t="b">
        <v>0</v>
      </c>
      <c r="W68" s="11" t="s">
        <v>396</v>
      </c>
      <c r="X68" s="12" t="s">
        <v>14</v>
      </c>
      <c r="Y68" s="12" t="s">
        <v>14</v>
      </c>
      <c r="Z68" s="13" t="s">
        <v>280</v>
      </c>
    </row>
    <row r="69" spans="1:26" ht="19.899999999999999" customHeight="1" x14ac:dyDescent="0.25">
      <c r="A69" s="6">
        <v>45967</v>
      </c>
      <c r="B69" s="7" t="s">
        <v>394</v>
      </c>
      <c r="C69" s="8" t="s">
        <v>395</v>
      </c>
      <c r="D69" s="8" t="s">
        <v>309</v>
      </c>
      <c r="E69" s="8" t="s">
        <v>397</v>
      </c>
      <c r="F69" s="9" t="s">
        <v>399</v>
      </c>
      <c r="G69" s="9" t="s">
        <v>400</v>
      </c>
      <c r="H69" s="9" t="s">
        <v>1718</v>
      </c>
      <c r="I69" s="9" t="s">
        <v>66</v>
      </c>
      <c r="J69" s="10" t="s">
        <v>233</v>
      </c>
      <c r="K69" s="15" t="str">
        <f>VLOOKUP(J69,DADOS!$A$3:$B$105,2,FALSE)</f>
        <v>EE-GI-221-031</v>
      </c>
      <c r="L69" s="15" t="s">
        <v>401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1</v>
      </c>
      <c r="R69" s="17" t="b">
        <v>0</v>
      </c>
      <c r="S69" s="17" t="b">
        <v>0</v>
      </c>
      <c r="T69" s="17" t="b">
        <v>0</v>
      </c>
      <c r="U69" s="17" t="b">
        <v>0</v>
      </c>
      <c r="V69" s="17" t="b">
        <v>0</v>
      </c>
      <c r="W69" s="11" t="s">
        <v>309</v>
      </c>
      <c r="X69" s="12" t="s">
        <v>14</v>
      </c>
      <c r="Y69" s="12" t="s">
        <v>14</v>
      </c>
      <c r="Z69" s="13" t="s">
        <v>280</v>
      </c>
    </row>
    <row r="70" spans="1:26" ht="19.899999999999999" customHeight="1" x14ac:dyDescent="0.25">
      <c r="A70" s="6">
        <v>45967</v>
      </c>
      <c r="B70" s="7" t="s">
        <v>402</v>
      </c>
      <c r="C70" s="8" t="s">
        <v>421</v>
      </c>
      <c r="D70" s="8" t="s">
        <v>298</v>
      </c>
      <c r="E70" s="8" t="s">
        <v>422</v>
      </c>
      <c r="F70" s="9" t="s">
        <v>423</v>
      </c>
      <c r="G70" s="9" t="s">
        <v>424</v>
      </c>
      <c r="H70" s="9" t="s">
        <v>407</v>
      </c>
      <c r="I70" s="9" t="s">
        <v>66</v>
      </c>
      <c r="J70" s="10" t="s">
        <v>186</v>
      </c>
      <c r="K70" s="15" t="str">
        <f>VLOOKUP(J70,DADOS!$A$3:$B$105,2,FALSE)</f>
        <v>EE-GI-001-008</v>
      </c>
      <c r="L70" s="15" t="s">
        <v>321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1</v>
      </c>
      <c r="R70" s="17" t="b">
        <v>0</v>
      </c>
      <c r="S70" s="17" t="b">
        <v>0</v>
      </c>
      <c r="T70" s="17" t="b">
        <v>0</v>
      </c>
      <c r="U70" s="17" t="b">
        <v>0</v>
      </c>
      <c r="V70" s="17" t="b">
        <v>0</v>
      </c>
      <c r="W70" s="11" t="s">
        <v>426</v>
      </c>
      <c r="X70" s="12" t="s">
        <v>298</v>
      </c>
      <c r="Y70" s="12" t="s">
        <v>427</v>
      </c>
      <c r="Z70" s="13" t="s">
        <v>322</v>
      </c>
    </row>
    <row r="71" spans="1:26" ht="19.899999999999999" customHeight="1" x14ac:dyDescent="0.25">
      <c r="A71" s="6">
        <v>45967</v>
      </c>
      <c r="B71" s="7" t="s">
        <v>428</v>
      </c>
      <c r="C71" s="8" t="s">
        <v>429</v>
      </c>
      <c r="D71" s="8" t="s">
        <v>352</v>
      </c>
      <c r="E71" s="8" t="s">
        <v>430</v>
      </c>
      <c r="F71" s="9" t="s">
        <v>431</v>
      </c>
      <c r="G71" s="9" t="s">
        <v>437</v>
      </c>
      <c r="H71" s="9" t="s">
        <v>478</v>
      </c>
      <c r="I71" s="9" t="s">
        <v>70</v>
      </c>
      <c r="J71" s="10" t="s">
        <v>254</v>
      </c>
      <c r="K71" s="15" t="str">
        <f>VLOOKUP(J71,DADOS!$A$3:$B$105,2,FALSE)</f>
        <v>EE-GI-001-073</v>
      </c>
      <c r="L71" s="15" t="s">
        <v>332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1</v>
      </c>
      <c r="S71" s="17" t="b">
        <v>0</v>
      </c>
      <c r="T71" s="17" t="b">
        <v>0</v>
      </c>
      <c r="U71" s="17" t="b">
        <v>0</v>
      </c>
      <c r="V71" s="17" t="b">
        <v>0</v>
      </c>
      <c r="W71" s="11" t="s">
        <v>352</v>
      </c>
      <c r="X71" s="12" t="s">
        <v>14</v>
      </c>
      <c r="Y71" s="12" t="s">
        <v>14</v>
      </c>
      <c r="Z71" s="13" t="s">
        <v>280</v>
      </c>
    </row>
    <row r="72" spans="1:26" ht="19.899999999999999" customHeight="1" x14ac:dyDescent="0.25">
      <c r="A72" s="6">
        <v>45967</v>
      </c>
      <c r="B72" s="7" t="s">
        <v>428</v>
      </c>
      <c r="C72" s="8" t="s">
        <v>429</v>
      </c>
      <c r="D72" s="8" t="s">
        <v>352</v>
      </c>
      <c r="E72" s="8" t="s">
        <v>430</v>
      </c>
      <c r="F72" s="9" t="s">
        <v>432</v>
      </c>
      <c r="G72" s="9" t="s">
        <v>437</v>
      </c>
      <c r="H72" s="9" t="s">
        <v>478</v>
      </c>
      <c r="I72" s="9" t="s">
        <v>70</v>
      </c>
      <c r="J72" s="10" t="s">
        <v>254</v>
      </c>
      <c r="K72" s="15" t="str">
        <f>VLOOKUP(J72,DADOS!$A$3:$B$105,2,FALSE)</f>
        <v>EE-GI-001-073</v>
      </c>
      <c r="L72" s="15" t="s">
        <v>332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1</v>
      </c>
      <c r="S72" s="17" t="b">
        <v>0</v>
      </c>
      <c r="T72" s="17" t="b">
        <v>0</v>
      </c>
      <c r="U72" s="17" t="b">
        <v>0</v>
      </c>
      <c r="V72" s="17" t="b">
        <v>0</v>
      </c>
      <c r="W72" s="11" t="s">
        <v>352</v>
      </c>
      <c r="X72" s="12" t="s">
        <v>14</v>
      </c>
      <c r="Y72" s="12" t="s">
        <v>14</v>
      </c>
      <c r="Z72" s="13" t="s">
        <v>280</v>
      </c>
    </row>
    <row r="73" spans="1:26" ht="19.899999999999999" customHeight="1" x14ac:dyDescent="0.25">
      <c r="A73" s="6">
        <v>45967</v>
      </c>
      <c r="B73" s="7" t="s">
        <v>428</v>
      </c>
      <c r="C73" s="8" t="s">
        <v>429</v>
      </c>
      <c r="D73" s="8" t="s">
        <v>352</v>
      </c>
      <c r="E73" s="8" t="s">
        <v>430</v>
      </c>
      <c r="F73" s="9" t="s">
        <v>433</v>
      </c>
      <c r="G73" s="9" t="s">
        <v>437</v>
      </c>
      <c r="H73" s="9" t="s">
        <v>478</v>
      </c>
      <c r="I73" s="9" t="s">
        <v>70</v>
      </c>
      <c r="J73" s="10" t="s">
        <v>254</v>
      </c>
      <c r="K73" s="15" t="str">
        <f>VLOOKUP(J73,DADOS!$A$3:$B$105,2,FALSE)</f>
        <v>EE-GI-001-073</v>
      </c>
      <c r="L73" s="15" t="s">
        <v>332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1</v>
      </c>
      <c r="S73" s="17" t="b">
        <v>0</v>
      </c>
      <c r="T73" s="17" t="b">
        <v>0</v>
      </c>
      <c r="U73" s="17" t="b">
        <v>0</v>
      </c>
      <c r="V73" s="17" t="b">
        <v>0</v>
      </c>
      <c r="W73" s="11" t="s">
        <v>352</v>
      </c>
      <c r="X73" s="12" t="s">
        <v>14</v>
      </c>
      <c r="Y73" s="12" t="s">
        <v>14</v>
      </c>
      <c r="Z73" s="13" t="s">
        <v>280</v>
      </c>
    </row>
    <row r="74" spans="1:26" ht="19.899999999999999" customHeight="1" x14ac:dyDescent="0.25">
      <c r="A74" s="6">
        <v>45967</v>
      </c>
      <c r="B74" s="7" t="s">
        <v>428</v>
      </c>
      <c r="C74" s="8" t="s">
        <v>429</v>
      </c>
      <c r="D74" s="8" t="s">
        <v>352</v>
      </c>
      <c r="E74" s="8" t="s">
        <v>430</v>
      </c>
      <c r="F74" s="9" t="s">
        <v>434</v>
      </c>
      <c r="G74" s="9" t="s">
        <v>437</v>
      </c>
      <c r="H74" s="9" t="s">
        <v>478</v>
      </c>
      <c r="I74" s="9" t="s">
        <v>70</v>
      </c>
      <c r="J74" s="10" t="s">
        <v>254</v>
      </c>
      <c r="K74" s="15" t="str">
        <f>VLOOKUP(J74,DADOS!$A$3:$B$105,2,FALSE)</f>
        <v>EE-GI-001-073</v>
      </c>
      <c r="L74" s="15" t="s">
        <v>332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1</v>
      </c>
      <c r="S74" s="17" t="b">
        <v>0</v>
      </c>
      <c r="T74" s="17" t="b">
        <v>0</v>
      </c>
      <c r="U74" s="17" t="b">
        <v>0</v>
      </c>
      <c r="V74" s="17" t="b">
        <v>0</v>
      </c>
      <c r="W74" s="11" t="s">
        <v>352</v>
      </c>
      <c r="X74" s="12" t="s">
        <v>14</v>
      </c>
      <c r="Y74" s="12" t="s">
        <v>14</v>
      </c>
      <c r="Z74" s="13" t="s">
        <v>280</v>
      </c>
    </row>
    <row r="75" spans="1:26" ht="19.899999999999999" customHeight="1" x14ac:dyDescent="0.25">
      <c r="A75" s="6">
        <v>45967</v>
      </c>
      <c r="B75" s="7" t="s">
        <v>428</v>
      </c>
      <c r="C75" s="8" t="s">
        <v>429</v>
      </c>
      <c r="D75" s="8" t="s">
        <v>352</v>
      </c>
      <c r="E75" s="8" t="s">
        <v>430</v>
      </c>
      <c r="F75" s="9" t="s">
        <v>435</v>
      </c>
      <c r="G75" s="9" t="s">
        <v>437</v>
      </c>
      <c r="H75" s="9" t="s">
        <v>478</v>
      </c>
      <c r="I75" s="9" t="s">
        <v>70</v>
      </c>
      <c r="J75" s="10" t="s">
        <v>254</v>
      </c>
      <c r="K75" s="15" t="str">
        <f>VLOOKUP(J75,DADOS!$A$3:$B$105,2,FALSE)</f>
        <v>EE-GI-001-073</v>
      </c>
      <c r="L75" s="15" t="s">
        <v>332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1</v>
      </c>
      <c r="S75" s="17" t="b">
        <v>0</v>
      </c>
      <c r="T75" s="17" t="b">
        <v>0</v>
      </c>
      <c r="U75" s="17" t="b">
        <v>0</v>
      </c>
      <c r="V75" s="17" t="b">
        <v>0</v>
      </c>
      <c r="W75" s="11" t="s">
        <v>352</v>
      </c>
      <c r="X75" s="12" t="s">
        <v>14</v>
      </c>
      <c r="Y75" s="12" t="s">
        <v>14</v>
      </c>
      <c r="Z75" s="13" t="s">
        <v>280</v>
      </c>
    </row>
    <row r="76" spans="1:26" ht="19.899999999999999" customHeight="1" x14ac:dyDescent="0.25">
      <c r="A76" s="6">
        <v>45967</v>
      </c>
      <c r="B76" s="7" t="s">
        <v>428</v>
      </c>
      <c r="C76" s="8" t="s">
        <v>429</v>
      </c>
      <c r="D76" s="8" t="s">
        <v>352</v>
      </c>
      <c r="E76" s="8" t="s">
        <v>430</v>
      </c>
      <c r="F76" s="9" t="s">
        <v>436</v>
      </c>
      <c r="G76" s="9" t="s">
        <v>437</v>
      </c>
      <c r="H76" s="9" t="s">
        <v>478</v>
      </c>
      <c r="I76" s="9" t="s">
        <v>70</v>
      </c>
      <c r="J76" s="10" t="s">
        <v>254</v>
      </c>
      <c r="K76" s="15" t="str">
        <f>VLOOKUP(J76,DADOS!$A$3:$B$105,2,FALSE)</f>
        <v>EE-GI-001-073</v>
      </c>
      <c r="L76" s="15" t="s">
        <v>332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1</v>
      </c>
      <c r="S76" s="17" t="b">
        <v>0</v>
      </c>
      <c r="T76" s="17" t="b">
        <v>0</v>
      </c>
      <c r="U76" s="17" t="b">
        <v>0</v>
      </c>
      <c r="V76" s="17" t="b">
        <v>0</v>
      </c>
      <c r="W76" s="11" t="s">
        <v>352</v>
      </c>
      <c r="X76" s="12" t="s">
        <v>14</v>
      </c>
      <c r="Y76" s="12" t="s">
        <v>14</v>
      </c>
      <c r="Z76" s="13" t="s">
        <v>280</v>
      </c>
    </row>
    <row r="77" spans="1:26" ht="19.899999999999999" customHeight="1" x14ac:dyDescent="0.25">
      <c r="A77" s="6">
        <v>45967</v>
      </c>
      <c r="B77" s="7" t="s">
        <v>402</v>
      </c>
      <c r="C77" s="8" t="s">
        <v>937</v>
      </c>
      <c r="D77" s="8" t="s">
        <v>309</v>
      </c>
      <c r="E77" s="8" t="s">
        <v>404</v>
      </c>
      <c r="F77" s="9" t="s">
        <v>938</v>
      </c>
      <c r="G77" s="9" t="s">
        <v>939</v>
      </c>
      <c r="H77" s="9" t="s">
        <v>940</v>
      </c>
      <c r="I77" s="9" t="s">
        <v>69</v>
      </c>
      <c r="J77" s="10" t="s">
        <v>15</v>
      </c>
      <c r="K77" s="15" t="str">
        <f>VLOOKUP(J77,[1]DADOS!$A$3:$B$105,2,FALSE)</f>
        <v>EE-GI-001-002</v>
      </c>
      <c r="L77" s="15" t="s">
        <v>941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0</v>
      </c>
      <c r="U77" s="17" t="b">
        <v>0</v>
      </c>
      <c r="V77" s="17" t="b">
        <v>1</v>
      </c>
      <c r="W77" s="11" t="s">
        <v>426</v>
      </c>
      <c r="X77" s="12" t="s">
        <v>309</v>
      </c>
      <c r="Y77" s="12" t="s">
        <v>942</v>
      </c>
      <c r="Z77" s="12" t="s">
        <v>271</v>
      </c>
    </row>
    <row r="78" spans="1:26" ht="19.899999999999999" customHeight="1" x14ac:dyDescent="0.25">
      <c r="A78" s="6">
        <v>45967</v>
      </c>
      <c r="B78" s="7" t="s">
        <v>402</v>
      </c>
      <c r="C78" s="8" t="s">
        <v>937</v>
      </c>
      <c r="D78" s="8" t="s">
        <v>309</v>
      </c>
      <c r="E78" s="8" t="s">
        <v>404</v>
      </c>
      <c r="F78" s="9" t="s">
        <v>943</v>
      </c>
      <c r="G78" s="9" t="s">
        <v>939</v>
      </c>
      <c r="H78" s="9" t="s">
        <v>940</v>
      </c>
      <c r="I78" s="9" t="s">
        <v>69</v>
      </c>
      <c r="J78" s="10" t="s">
        <v>15</v>
      </c>
      <c r="K78" s="15" t="str">
        <f>VLOOKUP(J78,[1]DADOS!$A$3:$B$105,2,FALSE)</f>
        <v>EE-GI-001-002</v>
      </c>
      <c r="L78" s="15" t="s">
        <v>941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1</v>
      </c>
      <c r="U78" s="17" t="b">
        <v>1</v>
      </c>
      <c r="V78" s="17" t="b">
        <v>1</v>
      </c>
      <c r="W78" s="11" t="s">
        <v>309</v>
      </c>
      <c r="X78" s="12" t="s">
        <v>14</v>
      </c>
      <c r="Y78" s="12" t="s">
        <v>14</v>
      </c>
      <c r="Z78" s="9" t="s">
        <v>271</v>
      </c>
    </row>
    <row r="79" spans="1:26" ht="19.899999999999999" customHeight="1" x14ac:dyDescent="0.25">
      <c r="A79" s="6">
        <v>45967</v>
      </c>
      <c r="B79" s="7" t="s">
        <v>402</v>
      </c>
      <c r="C79" s="8" t="s">
        <v>944</v>
      </c>
      <c r="D79" s="8" t="s">
        <v>265</v>
      </c>
      <c r="E79" s="8" t="s">
        <v>422</v>
      </c>
      <c r="F79" s="9" t="s">
        <v>945</v>
      </c>
      <c r="G79" s="9" t="s">
        <v>946</v>
      </c>
      <c r="H79" s="9" t="s">
        <v>947</v>
      </c>
      <c r="I79" s="9" t="s">
        <v>69</v>
      </c>
      <c r="J79" s="10" t="s">
        <v>185</v>
      </c>
      <c r="K79" s="15" t="str">
        <f>VLOOKUP(J79,[1]DADOS!$A$3:$B$105,2,FALSE)</f>
        <v>EE-GI-001-031</v>
      </c>
      <c r="L79" s="15" t="s">
        <v>941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1</v>
      </c>
      <c r="U79" s="17" t="b">
        <v>1</v>
      </c>
      <c r="V79" s="17" t="b">
        <v>1</v>
      </c>
      <c r="W79" s="11" t="s">
        <v>948</v>
      </c>
      <c r="X79" s="12" t="s">
        <v>265</v>
      </c>
      <c r="Y79" s="12" t="s">
        <v>949</v>
      </c>
      <c r="Z79" s="12" t="s">
        <v>271</v>
      </c>
    </row>
    <row r="80" spans="1:26" ht="19.899999999999999" customHeight="1" x14ac:dyDescent="0.25">
      <c r="A80" s="6">
        <v>45967</v>
      </c>
      <c r="B80" s="7" t="s">
        <v>1035</v>
      </c>
      <c r="C80" s="8" t="s">
        <v>1911</v>
      </c>
      <c r="D80" s="8" t="s">
        <v>527</v>
      </c>
      <c r="E80" s="8" t="s">
        <v>422</v>
      </c>
      <c r="F80" s="9" t="s">
        <v>1912</v>
      </c>
      <c r="G80" s="9" t="s">
        <v>1913</v>
      </c>
      <c r="H80" s="9" t="s">
        <v>1914</v>
      </c>
      <c r="I80" s="9" t="s">
        <v>69</v>
      </c>
      <c r="J80" s="10" t="s">
        <v>185</v>
      </c>
      <c r="K80" s="15" t="str">
        <f>VLOOKUP(J80,[3]DADOS!$A$3:$B$105,2,FALSE)</f>
        <v>EE-GI-001-031</v>
      </c>
      <c r="L80" s="15" t="s">
        <v>941</v>
      </c>
      <c r="M80" s="18" t="b">
        <v>1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1</v>
      </c>
      <c r="U80" s="17" t="b">
        <v>1</v>
      </c>
      <c r="V80" s="17" t="b">
        <v>1</v>
      </c>
      <c r="W80" s="11" t="s">
        <v>527</v>
      </c>
      <c r="X80" s="12"/>
      <c r="Y80" s="12" t="s">
        <v>14</v>
      </c>
      <c r="Z80" s="9" t="s">
        <v>271</v>
      </c>
    </row>
    <row r="81" spans="1:26" ht="19.899999999999999" customHeight="1" x14ac:dyDescent="0.25">
      <c r="A81" s="6">
        <v>45967</v>
      </c>
      <c r="B81" s="7" t="s">
        <v>727</v>
      </c>
      <c r="C81" s="8" t="s">
        <v>1953</v>
      </c>
      <c r="D81" s="8" t="s">
        <v>290</v>
      </c>
      <c r="E81" s="8" t="s">
        <v>1954</v>
      </c>
      <c r="F81" s="9" t="s">
        <v>1955</v>
      </c>
      <c r="G81" s="9" t="s">
        <v>1956</v>
      </c>
      <c r="H81" s="9" t="s">
        <v>14</v>
      </c>
      <c r="I81" s="9" t="s">
        <v>66</v>
      </c>
      <c r="J81" s="10" t="s">
        <v>186</v>
      </c>
      <c r="K81" s="15" t="str">
        <f>VLOOKUP(J81,DADOS!$A$3:$B$105,2,FALSE)</f>
        <v>EE-GI-001-008</v>
      </c>
      <c r="L81" s="15" t="s">
        <v>332</v>
      </c>
      <c r="M81" s="18" t="b">
        <v>0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0</v>
      </c>
      <c r="S81" s="17" t="b">
        <v>0</v>
      </c>
      <c r="T81" s="17" t="b">
        <v>0</v>
      </c>
      <c r="U81" s="17" t="b">
        <v>0</v>
      </c>
      <c r="V81" s="17" t="b">
        <v>1</v>
      </c>
      <c r="W81" s="11" t="s">
        <v>290</v>
      </c>
      <c r="X81" s="12" t="s">
        <v>14</v>
      </c>
      <c r="Y81" s="12" t="s">
        <v>14</v>
      </c>
      <c r="Z81" s="13" t="s">
        <v>271</v>
      </c>
    </row>
    <row r="82" spans="1:26" ht="19.899999999999999" customHeight="1" x14ac:dyDescent="0.25">
      <c r="A82" s="6">
        <v>45967</v>
      </c>
      <c r="B82" s="7" t="s">
        <v>402</v>
      </c>
      <c r="C82" s="8" t="s">
        <v>2008</v>
      </c>
      <c r="D82" s="8" t="s">
        <v>265</v>
      </c>
      <c r="E82" s="8" t="s">
        <v>422</v>
      </c>
      <c r="F82" s="9" t="s">
        <v>945</v>
      </c>
      <c r="G82" s="9" t="s">
        <v>946</v>
      </c>
      <c r="H82" s="34"/>
      <c r="I82" s="9" t="s">
        <v>69</v>
      </c>
      <c r="J82" s="10" t="s">
        <v>185</v>
      </c>
      <c r="K82" s="15" t="str">
        <f>VLOOKUP(J82,[2]DADOS!$A$3:$B$105,2,FALSE)</f>
        <v>EE-GI-001-031</v>
      </c>
      <c r="L82" s="15" t="s">
        <v>941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0</v>
      </c>
      <c r="S82" s="17" t="b">
        <v>0</v>
      </c>
      <c r="T82" s="17" t="b">
        <v>1</v>
      </c>
      <c r="U82" s="17" t="b">
        <v>1</v>
      </c>
      <c r="V82" s="17" t="b">
        <v>1</v>
      </c>
      <c r="W82" s="11" t="s">
        <v>426</v>
      </c>
      <c r="X82" s="12" t="s">
        <v>265</v>
      </c>
      <c r="Y82" s="12" t="s">
        <v>2009</v>
      </c>
      <c r="Z82" s="12" t="s">
        <v>271</v>
      </c>
    </row>
    <row r="83" spans="1:26" ht="19.899999999999999" customHeight="1" x14ac:dyDescent="0.25">
      <c r="A83" s="6">
        <v>45968</v>
      </c>
      <c r="B83" s="7" t="s">
        <v>402</v>
      </c>
      <c r="C83" s="8" t="s">
        <v>403</v>
      </c>
      <c r="D83" s="8" t="s">
        <v>290</v>
      </c>
      <c r="E83" s="8" t="s">
        <v>404</v>
      </c>
      <c r="F83" s="9" t="s">
        <v>405</v>
      </c>
      <c r="G83" s="9" t="s">
        <v>406</v>
      </c>
      <c r="H83" s="9" t="s">
        <v>407</v>
      </c>
      <c r="I83" s="9" t="s">
        <v>68</v>
      </c>
      <c r="J83" s="10" t="s">
        <v>15</v>
      </c>
      <c r="K83" s="15" t="str">
        <f>VLOOKUP(J83,DADOS!$A$3:$B$105,2,FALSE)</f>
        <v>EE-GI-001-002</v>
      </c>
      <c r="L83" s="15" t="s">
        <v>408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1</v>
      </c>
      <c r="R83" s="17" t="b">
        <v>0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290</v>
      </c>
      <c r="X83" s="12" t="s">
        <v>14</v>
      </c>
      <c r="Y83" s="12" t="s">
        <v>14</v>
      </c>
      <c r="Z83" s="13" t="s">
        <v>322</v>
      </c>
    </row>
    <row r="84" spans="1:26" ht="19.899999999999999" customHeight="1" x14ac:dyDescent="0.25">
      <c r="A84" s="6">
        <v>45968</v>
      </c>
      <c r="B84" s="7" t="s">
        <v>410</v>
      </c>
      <c r="C84" s="8" t="s">
        <v>411</v>
      </c>
      <c r="D84" s="8" t="s">
        <v>298</v>
      </c>
      <c r="E84" s="8" t="s">
        <v>404</v>
      </c>
      <c r="F84" s="9" t="s">
        <v>409</v>
      </c>
      <c r="G84" s="9" t="s">
        <v>412</v>
      </c>
      <c r="H84" s="9" t="s">
        <v>413</v>
      </c>
      <c r="I84" s="9" t="s">
        <v>68</v>
      </c>
      <c r="J84" s="10" t="s">
        <v>181</v>
      </c>
      <c r="K84" s="15" t="str">
        <f>VLOOKUP(J84,DADOS!$A$3:$B$105,2,FALSE)</f>
        <v>EE-GI-001-023</v>
      </c>
      <c r="L84" s="15" t="s">
        <v>408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1</v>
      </c>
      <c r="R84" s="17" t="b">
        <v>0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414</v>
      </c>
      <c r="X84" s="12" t="s">
        <v>14</v>
      </c>
      <c r="Y84" s="12" t="s">
        <v>14</v>
      </c>
      <c r="Z84" s="13" t="s">
        <v>322</v>
      </c>
    </row>
    <row r="85" spans="1:26" ht="19.899999999999999" customHeight="1" x14ac:dyDescent="0.25">
      <c r="A85" s="6">
        <v>45968</v>
      </c>
      <c r="B85" s="7" t="s">
        <v>402</v>
      </c>
      <c r="C85" s="8" t="s">
        <v>415</v>
      </c>
      <c r="D85" s="8" t="s">
        <v>396</v>
      </c>
      <c r="E85" s="8" t="s">
        <v>416</v>
      </c>
      <c r="F85" s="9" t="s">
        <v>417</v>
      </c>
      <c r="G85" s="9" t="s">
        <v>418</v>
      </c>
      <c r="H85" s="9" t="s">
        <v>425</v>
      </c>
      <c r="I85" s="9" t="s">
        <v>66</v>
      </c>
      <c r="J85" s="10" t="s">
        <v>186</v>
      </c>
      <c r="K85" s="15" t="str">
        <f>VLOOKUP(J85,DADOS!$A$3:$B$105,2,FALSE)</f>
        <v>EE-GI-001-008</v>
      </c>
      <c r="L85" s="15" t="s">
        <v>408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1</v>
      </c>
      <c r="R85" s="17" t="b">
        <v>0</v>
      </c>
      <c r="S85" s="17" t="b">
        <v>0</v>
      </c>
      <c r="T85" s="17" t="b">
        <v>0</v>
      </c>
      <c r="U85" s="17" t="b">
        <v>0</v>
      </c>
      <c r="V85" s="17" t="b">
        <v>0</v>
      </c>
      <c r="W85" s="11" t="s">
        <v>396</v>
      </c>
      <c r="X85" s="12" t="s">
        <v>14</v>
      </c>
      <c r="Y85" s="12" t="s">
        <v>14</v>
      </c>
      <c r="Z85" s="13" t="s">
        <v>322</v>
      </c>
    </row>
    <row r="86" spans="1:26" ht="19.899999999999999" customHeight="1" x14ac:dyDescent="0.25">
      <c r="A86" s="6">
        <v>45968</v>
      </c>
      <c r="B86" s="7" t="s">
        <v>307</v>
      </c>
      <c r="C86" s="8" t="s">
        <v>482</v>
      </c>
      <c r="D86" s="8" t="s">
        <v>352</v>
      </c>
      <c r="E86" s="8" t="s">
        <v>483</v>
      </c>
      <c r="F86" s="8" t="s">
        <v>484</v>
      </c>
      <c r="G86" s="9" t="s">
        <v>485</v>
      </c>
      <c r="H86" s="9" t="s">
        <v>1230</v>
      </c>
      <c r="I86" s="9" t="s">
        <v>97</v>
      </c>
      <c r="J86" s="10" t="s">
        <v>185</v>
      </c>
      <c r="K86" s="15" t="str">
        <f>VLOOKUP(J86,DADOS!$A$3:$B$105,2,FALSE)</f>
        <v>EE-GI-001-031</v>
      </c>
      <c r="L86" s="15" t="s">
        <v>332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0</v>
      </c>
      <c r="U86" s="17" t="b">
        <v>0</v>
      </c>
      <c r="V86" s="17" t="b">
        <v>0</v>
      </c>
      <c r="W86" s="11" t="s">
        <v>352</v>
      </c>
      <c r="X86" s="12" t="s">
        <v>14</v>
      </c>
      <c r="Y86" s="12" t="s">
        <v>14</v>
      </c>
      <c r="Z86" s="13" t="s">
        <v>280</v>
      </c>
    </row>
    <row r="87" spans="1:26" ht="19.899999999999999" customHeight="1" x14ac:dyDescent="0.25">
      <c r="A87" s="6">
        <v>45968</v>
      </c>
      <c r="B87" s="7" t="s">
        <v>307</v>
      </c>
      <c r="C87" s="8" t="s">
        <v>487</v>
      </c>
      <c r="D87" s="8" t="s">
        <v>352</v>
      </c>
      <c r="E87" s="8" t="s">
        <v>488</v>
      </c>
      <c r="F87" s="9" t="s">
        <v>489</v>
      </c>
      <c r="G87" s="9" t="s">
        <v>490</v>
      </c>
      <c r="H87" s="9" t="s">
        <v>486</v>
      </c>
      <c r="I87" s="9" t="s">
        <v>97</v>
      </c>
      <c r="J87" s="10" t="s">
        <v>185</v>
      </c>
      <c r="K87" s="15" t="str">
        <f>VLOOKUP(J87,DADOS!$A$3:$B$105,2,FALSE)</f>
        <v>EE-GI-001-031</v>
      </c>
      <c r="L87" s="15" t="s">
        <v>332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0</v>
      </c>
      <c r="U87" s="17" t="b">
        <v>0</v>
      </c>
      <c r="V87" s="17" t="b">
        <v>0</v>
      </c>
      <c r="W87" s="11" t="s">
        <v>352</v>
      </c>
      <c r="X87" s="12" t="s">
        <v>14</v>
      </c>
      <c r="Y87" s="12" t="s">
        <v>14</v>
      </c>
      <c r="Z87" s="13" t="s">
        <v>280</v>
      </c>
    </row>
    <row r="88" spans="1:26" ht="19.899999999999999" customHeight="1" x14ac:dyDescent="0.25">
      <c r="A88" s="6">
        <v>45968</v>
      </c>
      <c r="B88" s="7" t="s">
        <v>307</v>
      </c>
      <c r="C88" s="8" t="s">
        <v>491</v>
      </c>
      <c r="D88" s="8" t="s">
        <v>265</v>
      </c>
      <c r="E88" s="8" t="s">
        <v>492</v>
      </c>
      <c r="F88" s="9" t="s">
        <v>493</v>
      </c>
      <c r="G88" s="9" t="s">
        <v>494</v>
      </c>
      <c r="H88" s="9" t="s">
        <v>495</v>
      </c>
      <c r="I88" s="9" t="s">
        <v>69</v>
      </c>
      <c r="J88" s="10" t="s">
        <v>185</v>
      </c>
      <c r="K88" s="15" t="str">
        <f>VLOOKUP(J88,DADOS!$A$3:$B$105,2,FALSE)</f>
        <v>EE-GI-001-031</v>
      </c>
      <c r="L88" s="15" t="s">
        <v>332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0</v>
      </c>
      <c r="W88" s="11" t="s">
        <v>265</v>
      </c>
      <c r="X88" s="12" t="s">
        <v>14</v>
      </c>
      <c r="Y88" s="12" t="s">
        <v>14</v>
      </c>
      <c r="Z88" s="13" t="s">
        <v>280</v>
      </c>
    </row>
    <row r="89" spans="1:26" ht="19.899999999999999" customHeight="1" x14ac:dyDescent="0.25">
      <c r="A89" s="6">
        <v>45968</v>
      </c>
      <c r="B89" s="7" t="s">
        <v>307</v>
      </c>
      <c r="C89" s="8" t="s">
        <v>496</v>
      </c>
      <c r="D89" s="8" t="s">
        <v>265</v>
      </c>
      <c r="E89" s="8" t="s">
        <v>497</v>
      </c>
      <c r="F89" s="9" t="s">
        <v>498</v>
      </c>
      <c r="G89" s="9" t="s">
        <v>499</v>
      </c>
      <c r="H89" s="9" t="s">
        <v>1835</v>
      </c>
      <c r="I89" s="9" t="s">
        <v>66</v>
      </c>
      <c r="J89" s="10" t="s">
        <v>185</v>
      </c>
      <c r="K89" s="15" t="str">
        <f>VLOOKUP(J89,DADOS!$A$3:$B$105,2,FALSE)</f>
        <v>EE-GI-001-031</v>
      </c>
      <c r="L89" s="15" t="s">
        <v>304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0</v>
      </c>
      <c r="U89" s="17" t="b">
        <v>0</v>
      </c>
      <c r="V89" s="17" t="b">
        <v>0</v>
      </c>
      <c r="W89" s="11" t="s">
        <v>265</v>
      </c>
      <c r="X89" s="12" t="s">
        <v>14</v>
      </c>
      <c r="Y89" s="12" t="s">
        <v>14</v>
      </c>
      <c r="Z89" s="13" t="s">
        <v>280</v>
      </c>
    </row>
    <row r="90" spans="1:26" ht="19.899999999999999" customHeight="1" x14ac:dyDescent="0.25">
      <c r="A90" s="6">
        <v>45968</v>
      </c>
      <c r="B90" s="7" t="s">
        <v>307</v>
      </c>
      <c r="C90" s="8" t="s">
        <v>496</v>
      </c>
      <c r="D90" s="8" t="s">
        <v>473</v>
      </c>
      <c r="E90" s="8" t="s">
        <v>503</v>
      </c>
      <c r="F90" s="9" t="s">
        <v>504</v>
      </c>
      <c r="G90" s="9" t="s">
        <v>501</v>
      </c>
      <c r="H90" s="9" t="s">
        <v>500</v>
      </c>
      <c r="I90" s="9" t="s">
        <v>66</v>
      </c>
      <c r="J90" s="10" t="s">
        <v>185</v>
      </c>
      <c r="K90" s="15" t="str">
        <f>VLOOKUP(J90,DADOS!$A$3:$B$105,2,FALSE)</f>
        <v>EE-GI-001-031</v>
      </c>
      <c r="L90" s="15" t="s">
        <v>304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0</v>
      </c>
      <c r="U90" s="17" t="b">
        <v>0</v>
      </c>
      <c r="V90" s="17" t="b">
        <v>0</v>
      </c>
      <c r="W90" s="11" t="s">
        <v>473</v>
      </c>
      <c r="X90" s="12" t="s">
        <v>14</v>
      </c>
      <c r="Y90" s="12" t="s">
        <v>14</v>
      </c>
      <c r="Z90" s="13" t="s">
        <v>280</v>
      </c>
    </row>
    <row r="91" spans="1:26" ht="19.899999999999999" customHeight="1" x14ac:dyDescent="0.25">
      <c r="A91" s="6">
        <v>45968</v>
      </c>
      <c r="B91" s="7" t="s">
        <v>307</v>
      </c>
      <c r="C91" s="8" t="s">
        <v>496</v>
      </c>
      <c r="D91" s="8" t="s">
        <v>419</v>
      </c>
      <c r="E91" s="8" t="s">
        <v>503</v>
      </c>
      <c r="F91" s="9" t="s">
        <v>505</v>
      </c>
      <c r="G91" s="9" t="s">
        <v>502</v>
      </c>
      <c r="H91" s="9" t="s">
        <v>500</v>
      </c>
      <c r="I91" s="9" t="s">
        <v>66</v>
      </c>
      <c r="J91" s="10" t="s">
        <v>185</v>
      </c>
      <c r="K91" s="15" t="str">
        <f>VLOOKUP(J91,DADOS!$A$3:$B$105,2,FALSE)</f>
        <v>EE-GI-001-031</v>
      </c>
      <c r="L91" s="15" t="s">
        <v>304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0</v>
      </c>
      <c r="W91" s="11" t="s">
        <v>419</v>
      </c>
      <c r="X91" s="12" t="s">
        <v>14</v>
      </c>
      <c r="Y91" s="12" t="s">
        <v>14</v>
      </c>
      <c r="Z91" s="13" t="s">
        <v>280</v>
      </c>
    </row>
    <row r="92" spans="1:26" ht="19.899999999999999" customHeight="1" x14ac:dyDescent="0.25">
      <c r="A92" s="6">
        <v>45968</v>
      </c>
      <c r="B92" s="7" t="s">
        <v>307</v>
      </c>
      <c r="C92" s="8" t="s">
        <v>506</v>
      </c>
      <c r="D92" s="8" t="s">
        <v>265</v>
      </c>
      <c r="E92" s="8" t="s">
        <v>507</v>
      </c>
      <c r="F92" s="9" t="s">
        <v>508</v>
      </c>
      <c r="G92" s="9" t="s">
        <v>509</v>
      </c>
      <c r="H92" s="9" t="s">
        <v>510</v>
      </c>
      <c r="I92" s="9" t="s">
        <v>97</v>
      </c>
      <c r="J92" s="10" t="s">
        <v>185</v>
      </c>
      <c r="K92" s="15" t="str">
        <f>VLOOKUP(J92,DADOS!$A$3:$B$105,2,FALSE)</f>
        <v>EE-GI-001-031</v>
      </c>
      <c r="L92" s="15" t="s">
        <v>332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0</v>
      </c>
      <c r="S92" s="17" t="b">
        <v>0</v>
      </c>
      <c r="T92" s="17" t="b">
        <v>0</v>
      </c>
      <c r="U92" s="17" t="b">
        <v>0</v>
      </c>
      <c r="V92" s="17" t="b">
        <v>0</v>
      </c>
      <c r="W92" s="11" t="s">
        <v>265</v>
      </c>
      <c r="X92" s="12" t="s">
        <v>14</v>
      </c>
      <c r="Y92" s="12" t="s">
        <v>14</v>
      </c>
      <c r="Z92" s="13" t="s">
        <v>280</v>
      </c>
    </row>
    <row r="93" spans="1:26" ht="19.899999999999999" customHeight="1" x14ac:dyDescent="0.25">
      <c r="A93" s="6">
        <v>45968</v>
      </c>
      <c r="B93" s="7" t="s">
        <v>511</v>
      </c>
      <c r="C93" s="8" t="s">
        <v>665</v>
      </c>
      <c r="D93" s="8" t="s">
        <v>527</v>
      </c>
      <c r="E93" s="8" t="s">
        <v>666</v>
      </c>
      <c r="F93" s="9" t="s">
        <v>667</v>
      </c>
      <c r="G93" s="9" t="s">
        <v>577</v>
      </c>
      <c r="H93" s="9" t="s">
        <v>668</v>
      </c>
      <c r="I93" s="9" t="s">
        <v>65</v>
      </c>
      <c r="J93" s="10" t="s">
        <v>17</v>
      </c>
      <c r="K93" s="15" t="str">
        <f>VLOOKUP(J93,DADOS!$A$3:$B$105,2,FALSE)</f>
        <v>EE-GI-001-001</v>
      </c>
      <c r="L93" s="15" t="s">
        <v>278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0</v>
      </c>
      <c r="S93" s="17" t="b">
        <v>0</v>
      </c>
      <c r="T93" s="17" t="b">
        <v>0</v>
      </c>
      <c r="U93" s="17" t="b">
        <v>0</v>
      </c>
      <c r="V93" s="17" t="b">
        <v>0</v>
      </c>
      <c r="W93" s="11" t="s">
        <v>527</v>
      </c>
      <c r="X93" s="12" t="s">
        <v>14</v>
      </c>
      <c r="Y93" s="12" t="s">
        <v>14</v>
      </c>
      <c r="Z93" s="13" t="s">
        <v>280</v>
      </c>
    </row>
    <row r="94" spans="1:26" ht="19.899999999999999" customHeight="1" x14ac:dyDescent="0.25">
      <c r="A94" s="6">
        <v>45968</v>
      </c>
      <c r="B94" s="7" t="s">
        <v>511</v>
      </c>
      <c r="C94" s="8" t="s">
        <v>669</v>
      </c>
      <c r="D94" s="8" t="s">
        <v>265</v>
      </c>
      <c r="E94" s="8" t="s">
        <v>670</v>
      </c>
      <c r="F94" s="9" t="s">
        <v>671</v>
      </c>
      <c r="G94" s="9" t="s">
        <v>515</v>
      </c>
      <c r="H94" s="9" t="s">
        <v>672</v>
      </c>
      <c r="I94" s="9" t="s">
        <v>65</v>
      </c>
      <c r="J94" s="10" t="s">
        <v>15</v>
      </c>
      <c r="K94" s="15" t="str">
        <f>VLOOKUP(J94,DADOS!$A$3:$B$105,2,FALSE)</f>
        <v>EE-GI-001-002</v>
      </c>
      <c r="L94" s="15" t="s">
        <v>278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1</v>
      </c>
      <c r="S94" s="17" t="b">
        <v>0</v>
      </c>
      <c r="T94" s="17" t="b">
        <v>0</v>
      </c>
      <c r="U94" s="17" t="b">
        <v>0</v>
      </c>
      <c r="V94" s="17" t="b">
        <v>0</v>
      </c>
      <c r="W94" s="11" t="s">
        <v>265</v>
      </c>
      <c r="X94" s="12" t="s">
        <v>14</v>
      </c>
      <c r="Y94" s="12" t="s">
        <v>14</v>
      </c>
      <c r="Z94" s="13" t="s">
        <v>280</v>
      </c>
    </row>
    <row r="95" spans="1:26" ht="19.899999999999999" customHeight="1" x14ac:dyDescent="0.25">
      <c r="A95" s="6">
        <v>45968</v>
      </c>
      <c r="B95" s="7" t="s">
        <v>511</v>
      </c>
      <c r="C95" s="8" t="s">
        <v>673</v>
      </c>
      <c r="D95" s="8" t="s">
        <v>352</v>
      </c>
      <c r="E95" s="8" t="s">
        <v>674</v>
      </c>
      <c r="F95" s="9" t="s">
        <v>675</v>
      </c>
      <c r="G95" s="9" t="s">
        <v>552</v>
      </c>
      <c r="H95" s="9" t="s">
        <v>676</v>
      </c>
      <c r="I95" s="9" t="s">
        <v>66</v>
      </c>
      <c r="J95" s="10" t="s">
        <v>15</v>
      </c>
      <c r="K95" s="15" t="str">
        <f>VLOOKUP(J95,DADOS!$A$3:$B$105,2,FALSE)</f>
        <v>EE-GI-001-002</v>
      </c>
      <c r="L95" s="15" t="s">
        <v>332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1</v>
      </c>
      <c r="S95" s="17" t="b">
        <v>0</v>
      </c>
      <c r="T95" s="17" t="b">
        <v>0</v>
      </c>
      <c r="U95" s="17" t="b">
        <v>0</v>
      </c>
      <c r="V95" s="17" t="b">
        <v>0</v>
      </c>
      <c r="W95" s="11" t="s">
        <v>14</v>
      </c>
      <c r="X95" s="12" t="s">
        <v>352</v>
      </c>
      <c r="Y95" s="12" t="s">
        <v>677</v>
      </c>
      <c r="Z95" s="12" t="s">
        <v>280</v>
      </c>
    </row>
    <row r="96" spans="1:26" ht="19.899999999999999" customHeight="1" x14ac:dyDescent="0.25">
      <c r="A96" s="6">
        <v>45968</v>
      </c>
      <c r="B96" s="7" t="s">
        <v>511</v>
      </c>
      <c r="C96" s="8" t="s">
        <v>678</v>
      </c>
      <c r="D96" s="8" t="s">
        <v>265</v>
      </c>
      <c r="E96" s="8" t="s">
        <v>679</v>
      </c>
      <c r="F96" s="9" t="s">
        <v>680</v>
      </c>
      <c r="G96" s="9" t="s">
        <v>552</v>
      </c>
      <c r="H96" s="9" t="s">
        <v>521</v>
      </c>
      <c r="I96" s="9" t="s">
        <v>65</v>
      </c>
      <c r="J96" s="10" t="s">
        <v>15</v>
      </c>
      <c r="K96" s="15" t="str">
        <f>VLOOKUP(J96,DADOS!$A$3:$B$105,2,FALSE)</f>
        <v>EE-GI-001-002</v>
      </c>
      <c r="L96" s="15" t="s">
        <v>332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1</v>
      </c>
      <c r="S96" s="17" t="b">
        <v>0</v>
      </c>
      <c r="T96" s="17" t="b">
        <v>0</v>
      </c>
      <c r="U96" s="17" t="b">
        <v>0</v>
      </c>
      <c r="V96" s="17" t="b">
        <v>0</v>
      </c>
      <c r="W96" s="11" t="s">
        <v>265</v>
      </c>
      <c r="X96" s="12" t="s">
        <v>14</v>
      </c>
      <c r="Y96" s="12" t="s">
        <v>14</v>
      </c>
      <c r="Z96" s="13" t="s">
        <v>280</v>
      </c>
    </row>
    <row r="97" spans="1:26" ht="19.899999999999999" customHeight="1" x14ac:dyDescent="0.25">
      <c r="A97" s="6">
        <v>45968</v>
      </c>
      <c r="B97" s="7" t="s">
        <v>511</v>
      </c>
      <c r="C97" s="8" t="s">
        <v>681</v>
      </c>
      <c r="D97" s="8" t="s">
        <v>352</v>
      </c>
      <c r="E97" s="8" t="s">
        <v>682</v>
      </c>
      <c r="F97" s="9" t="s">
        <v>683</v>
      </c>
      <c r="G97" s="9" t="s">
        <v>684</v>
      </c>
      <c r="H97" s="9" t="s">
        <v>685</v>
      </c>
      <c r="I97" s="9" t="s">
        <v>65</v>
      </c>
      <c r="J97" s="10" t="s">
        <v>15</v>
      </c>
      <c r="K97" s="15" t="str">
        <f>VLOOKUP(J97,DADOS!$A$3:$B$105,2,FALSE)</f>
        <v>EE-GI-001-002</v>
      </c>
      <c r="L97" s="15" t="s">
        <v>278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1</v>
      </c>
      <c r="S97" s="17" t="b">
        <v>0</v>
      </c>
      <c r="T97" s="17" t="b">
        <v>0</v>
      </c>
      <c r="U97" s="17" t="b">
        <v>0</v>
      </c>
      <c r="V97" s="17" t="b">
        <v>0</v>
      </c>
      <c r="W97" s="11" t="s">
        <v>352</v>
      </c>
      <c r="X97" s="12" t="s">
        <v>14</v>
      </c>
      <c r="Y97" s="12" t="s">
        <v>14</v>
      </c>
      <c r="Z97" s="13" t="s">
        <v>280</v>
      </c>
    </row>
    <row r="98" spans="1:26" ht="19.899999999999999" customHeight="1" x14ac:dyDescent="0.25">
      <c r="A98" s="6">
        <v>45971</v>
      </c>
      <c r="B98" s="7" t="s">
        <v>511</v>
      </c>
      <c r="C98" s="8" t="s">
        <v>512</v>
      </c>
      <c r="D98" s="8" t="s">
        <v>309</v>
      </c>
      <c r="E98" s="8" t="s">
        <v>513</v>
      </c>
      <c r="F98" s="9" t="s">
        <v>514</v>
      </c>
      <c r="G98" s="9" t="s">
        <v>515</v>
      </c>
      <c r="H98" s="9" t="s">
        <v>516</v>
      </c>
      <c r="I98" s="9" t="s">
        <v>68</v>
      </c>
      <c r="J98" s="10" t="s">
        <v>15</v>
      </c>
      <c r="K98" s="15" t="str">
        <f>VLOOKUP(J98,DADOS!$A$3:$B$105,2,FALSE)</f>
        <v>EE-GI-001-002</v>
      </c>
      <c r="L98" s="15" t="s">
        <v>332</v>
      </c>
      <c r="M98" s="18" t="b">
        <v>1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1</v>
      </c>
      <c r="S98" s="17" t="b">
        <v>0</v>
      </c>
      <c r="T98" s="17" t="b">
        <v>0</v>
      </c>
      <c r="U98" s="17" t="b">
        <v>0</v>
      </c>
      <c r="V98" s="17" t="b">
        <v>0</v>
      </c>
      <c r="W98" s="11" t="s">
        <v>309</v>
      </c>
      <c r="X98" s="12" t="s">
        <v>14</v>
      </c>
      <c r="Y98" s="12" t="s">
        <v>14</v>
      </c>
      <c r="Z98" s="13" t="s">
        <v>280</v>
      </c>
    </row>
    <row r="99" spans="1:26" ht="19.899999999999999" customHeight="1" x14ac:dyDescent="0.25">
      <c r="A99" s="6">
        <v>45971</v>
      </c>
      <c r="B99" s="7" t="s">
        <v>511</v>
      </c>
      <c r="C99" s="8" t="s">
        <v>517</v>
      </c>
      <c r="D99" s="8" t="s">
        <v>518</v>
      </c>
      <c r="E99" s="8" t="s">
        <v>519</v>
      </c>
      <c r="F99" s="9" t="s">
        <v>520</v>
      </c>
      <c r="G99" s="9" t="s">
        <v>515</v>
      </c>
      <c r="H99" s="9" t="s">
        <v>521</v>
      </c>
      <c r="I99" s="9" t="s">
        <v>66</v>
      </c>
      <c r="J99" s="10" t="s">
        <v>15</v>
      </c>
      <c r="K99" s="15" t="str">
        <f>VLOOKUP(J99,DADOS!$A$3:$B$105,2,FALSE)</f>
        <v>EE-GI-001-002</v>
      </c>
      <c r="L99" s="15" t="s">
        <v>332</v>
      </c>
      <c r="M99" s="18" t="b">
        <v>1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1</v>
      </c>
      <c r="S99" s="17" t="b">
        <v>0</v>
      </c>
      <c r="T99" s="17" t="b">
        <v>0</v>
      </c>
      <c r="U99" s="17" t="b">
        <v>0</v>
      </c>
      <c r="V99" s="17" t="b">
        <v>0</v>
      </c>
      <c r="W99" s="11" t="s">
        <v>518</v>
      </c>
      <c r="X99" s="12" t="s">
        <v>14</v>
      </c>
      <c r="Y99" s="12" t="s">
        <v>14</v>
      </c>
      <c r="Z99" s="13" t="s">
        <v>280</v>
      </c>
    </row>
    <row r="100" spans="1:26" ht="19.899999999999999" customHeight="1" x14ac:dyDescent="0.25">
      <c r="A100" s="6">
        <v>45971</v>
      </c>
      <c r="B100" s="7" t="s">
        <v>511</v>
      </c>
      <c r="C100" s="8" t="s">
        <v>517</v>
      </c>
      <c r="D100" s="8" t="s">
        <v>309</v>
      </c>
      <c r="E100" s="8" t="s">
        <v>522</v>
      </c>
      <c r="F100" s="9" t="s">
        <v>523</v>
      </c>
      <c r="G100" s="9" t="s">
        <v>515</v>
      </c>
      <c r="H100" s="9" t="s">
        <v>524</v>
      </c>
      <c r="I100" s="9" t="s">
        <v>66</v>
      </c>
      <c r="J100" s="10" t="s">
        <v>15</v>
      </c>
      <c r="K100" s="15" t="str">
        <f>VLOOKUP(J100,DADOS!$A$3:$B$105,2,FALSE)</f>
        <v>EE-GI-001-002</v>
      </c>
      <c r="L100" s="15" t="s">
        <v>332</v>
      </c>
      <c r="M100" s="18" t="b">
        <v>1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1</v>
      </c>
      <c r="S100" s="17" t="b">
        <v>0</v>
      </c>
      <c r="T100" s="17" t="b">
        <v>0</v>
      </c>
      <c r="U100" s="17" t="b">
        <v>0</v>
      </c>
      <c r="V100" s="17" t="b">
        <v>0</v>
      </c>
      <c r="W100" s="11" t="s">
        <v>309</v>
      </c>
      <c r="X100" s="12" t="s">
        <v>14</v>
      </c>
      <c r="Y100" s="12" t="s">
        <v>14</v>
      </c>
      <c r="Z100" s="13" t="s">
        <v>280</v>
      </c>
    </row>
    <row r="101" spans="1:26" ht="19.899999999999999" customHeight="1" x14ac:dyDescent="0.25">
      <c r="A101" s="6">
        <v>45971</v>
      </c>
      <c r="B101" s="7" t="s">
        <v>511</v>
      </c>
      <c r="C101" s="8" t="s">
        <v>512</v>
      </c>
      <c r="D101" s="8" t="s">
        <v>352</v>
      </c>
      <c r="E101" s="8" t="s">
        <v>519</v>
      </c>
      <c r="F101" s="9" t="s">
        <v>514</v>
      </c>
      <c r="G101" s="9" t="s">
        <v>515</v>
      </c>
      <c r="H101" s="9" t="s">
        <v>525</v>
      </c>
      <c r="I101" s="9" t="s">
        <v>68</v>
      </c>
      <c r="J101" s="10" t="s">
        <v>15</v>
      </c>
      <c r="K101" s="15" t="str">
        <f>VLOOKUP(J101,DADOS!$A$3:$B$105,2,FALSE)</f>
        <v>EE-GI-001-002</v>
      </c>
      <c r="L101" s="15" t="s">
        <v>332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1</v>
      </c>
      <c r="S101" s="17" t="b">
        <v>0</v>
      </c>
      <c r="T101" s="17" t="b">
        <v>0</v>
      </c>
      <c r="U101" s="17" t="b">
        <v>0</v>
      </c>
      <c r="V101" s="17" t="b">
        <v>0</v>
      </c>
      <c r="W101" s="11" t="s">
        <v>352</v>
      </c>
      <c r="X101" s="12" t="s">
        <v>14</v>
      </c>
      <c r="Y101" s="12" t="s">
        <v>14</v>
      </c>
      <c r="Z101" s="13" t="s">
        <v>280</v>
      </c>
    </row>
    <row r="102" spans="1:26" ht="19.899999999999999" customHeight="1" x14ac:dyDescent="0.25">
      <c r="A102" s="6">
        <v>45971</v>
      </c>
      <c r="B102" s="7" t="s">
        <v>511</v>
      </c>
      <c r="C102" s="8" t="s">
        <v>526</v>
      </c>
      <c r="D102" s="8" t="s">
        <v>527</v>
      </c>
      <c r="E102" s="8" t="s">
        <v>522</v>
      </c>
      <c r="F102" s="9" t="s">
        <v>528</v>
      </c>
      <c r="G102" s="9" t="s">
        <v>515</v>
      </c>
      <c r="H102" s="9" t="s">
        <v>529</v>
      </c>
      <c r="I102" s="9" t="s">
        <v>66</v>
      </c>
      <c r="J102" s="10" t="s">
        <v>15</v>
      </c>
      <c r="K102" s="15" t="str">
        <f>VLOOKUP(J102,DADOS!$A$3:$B$105,2,FALSE)</f>
        <v>EE-GI-001-002</v>
      </c>
      <c r="L102" s="15" t="s">
        <v>304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1</v>
      </c>
      <c r="S102" s="17" t="b">
        <v>0</v>
      </c>
      <c r="T102" s="17" t="b">
        <v>0</v>
      </c>
      <c r="U102" s="17" t="b">
        <v>0</v>
      </c>
      <c r="V102" s="17" t="b">
        <v>0</v>
      </c>
      <c r="W102" s="11" t="s">
        <v>527</v>
      </c>
      <c r="X102" s="12" t="s">
        <v>14</v>
      </c>
      <c r="Y102" s="12" t="s">
        <v>14</v>
      </c>
      <c r="Z102" s="13" t="s">
        <v>280</v>
      </c>
    </row>
    <row r="103" spans="1:26" ht="19.899999999999999" customHeight="1" x14ac:dyDescent="0.25">
      <c r="A103" s="6">
        <v>45971</v>
      </c>
      <c r="B103" s="7" t="s">
        <v>511</v>
      </c>
      <c r="C103" s="8" t="s">
        <v>539</v>
      </c>
      <c r="D103" s="8" t="s">
        <v>309</v>
      </c>
      <c r="E103" s="8" t="s">
        <v>540</v>
      </c>
      <c r="F103" s="9" t="s">
        <v>541</v>
      </c>
      <c r="G103" s="9" t="s">
        <v>542</v>
      </c>
      <c r="H103" s="9" t="s">
        <v>543</v>
      </c>
      <c r="I103" s="9" t="s">
        <v>69</v>
      </c>
      <c r="J103" s="10" t="s">
        <v>17</v>
      </c>
      <c r="K103" s="15" t="str">
        <f>VLOOKUP(J103,DADOS!$A$3:$B$105,2,FALSE)</f>
        <v>EE-GI-001-001</v>
      </c>
      <c r="L103" s="15" t="s">
        <v>332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0</v>
      </c>
      <c r="W103" s="11" t="s">
        <v>309</v>
      </c>
      <c r="X103" s="12" t="s">
        <v>14</v>
      </c>
      <c r="Y103" s="12" t="s">
        <v>14</v>
      </c>
      <c r="Z103" s="13" t="s">
        <v>280</v>
      </c>
    </row>
    <row r="104" spans="1:26" ht="19.899999999999999" customHeight="1" x14ac:dyDescent="0.25">
      <c r="A104" s="6">
        <v>45971</v>
      </c>
      <c r="B104" s="7" t="s">
        <v>511</v>
      </c>
      <c r="C104" s="8" t="s">
        <v>548</v>
      </c>
      <c r="D104" s="8" t="s">
        <v>265</v>
      </c>
      <c r="E104" s="8" t="s">
        <v>547</v>
      </c>
      <c r="F104" s="9" t="s">
        <v>546</v>
      </c>
      <c r="G104" s="9" t="s">
        <v>545</v>
      </c>
      <c r="H104" s="9" t="s">
        <v>544</v>
      </c>
      <c r="I104" s="9" t="s">
        <v>69</v>
      </c>
      <c r="J104" s="10" t="s">
        <v>17</v>
      </c>
      <c r="K104" s="15" t="str">
        <f>VLOOKUP(J104,DADOS!$A$3:$B$105,2,FALSE)</f>
        <v>EE-GI-001-001</v>
      </c>
      <c r="L104" s="15" t="s">
        <v>332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0</v>
      </c>
      <c r="W104" s="11" t="s">
        <v>265</v>
      </c>
      <c r="X104" s="12" t="s">
        <v>14</v>
      </c>
      <c r="Y104" s="12" t="s">
        <v>14</v>
      </c>
      <c r="Z104" s="13" t="s">
        <v>280</v>
      </c>
    </row>
    <row r="105" spans="1:26" ht="19.899999999999999" customHeight="1" x14ac:dyDescent="0.25">
      <c r="A105" s="6">
        <v>45971</v>
      </c>
      <c r="B105" s="7" t="s">
        <v>511</v>
      </c>
      <c r="C105" s="8" t="s">
        <v>549</v>
      </c>
      <c r="D105" s="8" t="s">
        <v>352</v>
      </c>
      <c r="E105" s="8" t="s">
        <v>550</v>
      </c>
      <c r="F105" s="9" t="s">
        <v>551</v>
      </c>
      <c r="G105" s="9" t="s">
        <v>552</v>
      </c>
      <c r="H105" s="9" t="s">
        <v>553</v>
      </c>
      <c r="I105" s="9" t="s">
        <v>66</v>
      </c>
      <c r="J105" s="10" t="s">
        <v>15</v>
      </c>
      <c r="K105" s="15" t="str">
        <f>VLOOKUP(J105,DADOS!$A$3:$B$105,2,FALSE)</f>
        <v>EE-GI-001-002</v>
      </c>
      <c r="L105" s="15" t="s">
        <v>332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1</v>
      </c>
      <c r="S105" s="17" t="b">
        <v>0</v>
      </c>
      <c r="T105" s="17" t="b">
        <v>0</v>
      </c>
      <c r="U105" s="17" t="b">
        <v>0</v>
      </c>
      <c r="V105" s="17" t="b">
        <v>0</v>
      </c>
      <c r="W105" s="11" t="s">
        <v>352</v>
      </c>
      <c r="X105" s="12" t="s">
        <v>14</v>
      </c>
      <c r="Y105" s="12" t="s">
        <v>14</v>
      </c>
      <c r="Z105" s="13" t="s">
        <v>280</v>
      </c>
    </row>
    <row r="106" spans="1:26" ht="19.899999999999999" customHeight="1" x14ac:dyDescent="0.25">
      <c r="A106" s="6">
        <v>45971</v>
      </c>
      <c r="B106" s="7" t="s">
        <v>511</v>
      </c>
      <c r="C106" s="8" t="s">
        <v>526</v>
      </c>
      <c r="D106" s="8" t="s">
        <v>554</v>
      </c>
      <c r="E106" s="8" t="s">
        <v>555</v>
      </c>
      <c r="F106" s="9" t="s">
        <v>556</v>
      </c>
      <c r="G106" s="9" t="s">
        <v>515</v>
      </c>
      <c r="H106" s="9" t="s">
        <v>557</v>
      </c>
      <c r="I106" s="9" t="s">
        <v>66</v>
      </c>
      <c r="J106" s="10" t="s">
        <v>15</v>
      </c>
      <c r="K106" s="15" t="str">
        <f>VLOOKUP(J106,DADOS!$A$3:$B$105,2,FALSE)</f>
        <v>EE-GI-001-002</v>
      </c>
      <c r="L106" s="15" t="s">
        <v>304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1</v>
      </c>
      <c r="S106" s="17" t="b">
        <v>0</v>
      </c>
      <c r="T106" s="17" t="b">
        <v>0</v>
      </c>
      <c r="U106" s="17" t="b">
        <v>0</v>
      </c>
      <c r="V106" s="17" t="b">
        <v>0</v>
      </c>
      <c r="W106" s="11" t="s">
        <v>554</v>
      </c>
      <c r="X106" s="12" t="s">
        <v>14</v>
      </c>
      <c r="Y106" s="12" t="s">
        <v>14</v>
      </c>
      <c r="Z106" s="13" t="s">
        <v>280</v>
      </c>
    </row>
    <row r="107" spans="1:26" ht="19.899999999999999" customHeight="1" x14ac:dyDescent="0.25">
      <c r="A107" s="6">
        <v>45971</v>
      </c>
      <c r="B107" s="7" t="s">
        <v>511</v>
      </c>
      <c r="C107" s="8" t="s">
        <v>526</v>
      </c>
      <c r="D107" s="8" t="s">
        <v>352</v>
      </c>
      <c r="E107" s="8" t="s">
        <v>555</v>
      </c>
      <c r="F107" s="9" t="s">
        <v>558</v>
      </c>
      <c r="G107" s="9" t="s">
        <v>515</v>
      </c>
      <c r="H107" s="9" t="s">
        <v>557</v>
      </c>
      <c r="I107" s="9" t="s">
        <v>66</v>
      </c>
      <c r="J107" s="10" t="s">
        <v>15</v>
      </c>
      <c r="K107" s="15" t="str">
        <f>VLOOKUP(J107,DADOS!$A$3:$B$105,2,FALSE)</f>
        <v>EE-GI-001-002</v>
      </c>
      <c r="L107" s="15" t="s">
        <v>304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1</v>
      </c>
      <c r="S107" s="17" t="b">
        <v>0</v>
      </c>
      <c r="T107" s="17" t="b">
        <v>0</v>
      </c>
      <c r="U107" s="17" t="b">
        <v>0</v>
      </c>
      <c r="V107" s="17" t="b">
        <v>0</v>
      </c>
      <c r="W107" s="11" t="s">
        <v>352</v>
      </c>
      <c r="X107" s="12" t="s">
        <v>14</v>
      </c>
      <c r="Y107" s="12" t="s">
        <v>14</v>
      </c>
      <c r="Z107" s="13" t="s">
        <v>280</v>
      </c>
    </row>
    <row r="108" spans="1:26" ht="19.899999999999999" customHeight="1" x14ac:dyDescent="0.25">
      <c r="A108" s="6">
        <v>45971</v>
      </c>
      <c r="B108" s="7" t="s">
        <v>511</v>
      </c>
      <c r="C108" s="8" t="s">
        <v>526</v>
      </c>
      <c r="D108" s="8" t="s">
        <v>559</v>
      </c>
      <c r="E108" s="8" t="s">
        <v>555</v>
      </c>
      <c r="F108" s="9" t="s">
        <v>560</v>
      </c>
      <c r="G108" s="9" t="s">
        <v>515</v>
      </c>
      <c r="H108" s="9" t="s">
        <v>557</v>
      </c>
      <c r="I108" s="9" t="s">
        <v>66</v>
      </c>
      <c r="J108" s="10" t="s">
        <v>15</v>
      </c>
      <c r="K108" s="15" t="str">
        <f>VLOOKUP(J108,DADOS!$A$3:$B$105,2,FALSE)</f>
        <v>EE-GI-001-002</v>
      </c>
      <c r="L108" s="15" t="s">
        <v>304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1</v>
      </c>
      <c r="S108" s="17" t="b">
        <v>0</v>
      </c>
      <c r="T108" s="17" t="b">
        <v>0</v>
      </c>
      <c r="U108" s="17" t="b">
        <v>0</v>
      </c>
      <c r="V108" s="17" t="b">
        <v>0</v>
      </c>
      <c r="W108" s="11" t="s">
        <v>559</v>
      </c>
      <c r="X108" s="12" t="s">
        <v>14</v>
      </c>
      <c r="Y108" s="12" t="s">
        <v>14</v>
      </c>
      <c r="Z108" s="13" t="s">
        <v>280</v>
      </c>
    </row>
    <row r="109" spans="1:26" ht="19.899999999999999" customHeight="1" x14ac:dyDescent="0.25">
      <c r="A109" s="6">
        <v>45971</v>
      </c>
      <c r="B109" s="7" t="s">
        <v>511</v>
      </c>
      <c r="C109" s="8" t="s">
        <v>526</v>
      </c>
      <c r="D109" s="8" t="s">
        <v>518</v>
      </c>
      <c r="E109" s="8" t="s">
        <v>561</v>
      </c>
      <c r="F109" s="9" t="s">
        <v>556</v>
      </c>
      <c r="G109" s="9" t="s">
        <v>562</v>
      </c>
      <c r="H109" s="9" t="s">
        <v>563</v>
      </c>
      <c r="I109" s="9" t="s">
        <v>66</v>
      </c>
      <c r="J109" s="10" t="s">
        <v>15</v>
      </c>
      <c r="K109" s="15" t="str">
        <f>VLOOKUP(J109,DADOS!$A$3:$B$105,2,FALSE)</f>
        <v>EE-GI-001-002</v>
      </c>
      <c r="L109" s="15" t="s">
        <v>304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1</v>
      </c>
      <c r="S109" s="17" t="b">
        <v>0</v>
      </c>
      <c r="T109" s="17" t="b">
        <v>0</v>
      </c>
      <c r="U109" s="17" t="b">
        <v>0</v>
      </c>
      <c r="V109" s="17" t="b">
        <v>0</v>
      </c>
      <c r="W109" s="11" t="s">
        <v>518</v>
      </c>
      <c r="X109" s="12" t="s">
        <v>14</v>
      </c>
      <c r="Y109" s="12" t="s">
        <v>14</v>
      </c>
      <c r="Z109" s="13" t="s">
        <v>280</v>
      </c>
    </row>
    <row r="110" spans="1:26" ht="19.899999999999999" customHeight="1" x14ac:dyDescent="0.25">
      <c r="A110" s="6">
        <v>45971</v>
      </c>
      <c r="B110" s="7" t="s">
        <v>632</v>
      </c>
      <c r="C110" s="8" t="s">
        <v>1336</v>
      </c>
      <c r="D110" s="8" t="s">
        <v>309</v>
      </c>
      <c r="E110" s="8" t="s">
        <v>1315</v>
      </c>
      <c r="F110" s="9" t="s">
        <v>1337</v>
      </c>
      <c r="G110" s="9" t="s">
        <v>1338</v>
      </c>
      <c r="H110" s="9" t="s">
        <v>1318</v>
      </c>
      <c r="I110" s="9" t="s">
        <v>66</v>
      </c>
      <c r="J110" s="10" t="s">
        <v>174</v>
      </c>
      <c r="K110" s="15" t="str">
        <f>VLOOKUP(J110,DADOS!$A$3:$B$105,2,FALSE)</f>
        <v>EE-GI-001-007</v>
      </c>
      <c r="L110" s="15" t="s">
        <v>408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0</v>
      </c>
      <c r="S110" s="17" t="b">
        <v>0</v>
      </c>
      <c r="T110" s="17" t="b">
        <v>0</v>
      </c>
      <c r="U110" s="17" t="b">
        <v>0</v>
      </c>
      <c r="V110" s="17" t="b">
        <v>1</v>
      </c>
      <c r="W110" s="11" t="s">
        <v>309</v>
      </c>
      <c r="X110" s="12" t="s">
        <v>14</v>
      </c>
      <c r="Y110" s="12" t="s">
        <v>14</v>
      </c>
      <c r="Z110" s="13" t="s">
        <v>322</v>
      </c>
    </row>
    <row r="111" spans="1:26" ht="19.899999999999999" customHeight="1" x14ac:dyDescent="0.25">
      <c r="A111" s="6">
        <v>45971</v>
      </c>
      <c r="B111" s="7" t="s">
        <v>632</v>
      </c>
      <c r="C111" s="8" t="s">
        <v>1339</v>
      </c>
      <c r="D111" s="8" t="s">
        <v>309</v>
      </c>
      <c r="E111" s="8" t="s">
        <v>1315</v>
      </c>
      <c r="F111" s="9" t="s">
        <v>1340</v>
      </c>
      <c r="G111" s="9" t="s">
        <v>1338</v>
      </c>
      <c r="H111" s="9" t="s">
        <v>1318</v>
      </c>
      <c r="I111" s="9" t="s">
        <v>65</v>
      </c>
      <c r="J111" s="10" t="s">
        <v>174</v>
      </c>
      <c r="K111" s="15" t="str">
        <f>VLOOKUP(J111,DADOS!$A$3:$B$105,2,FALSE)</f>
        <v>EE-GI-001-007</v>
      </c>
      <c r="L111" s="15" t="s">
        <v>408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0</v>
      </c>
      <c r="S111" s="17" t="b">
        <v>0</v>
      </c>
      <c r="T111" s="17" t="b">
        <v>0</v>
      </c>
      <c r="U111" s="17" t="b">
        <v>0</v>
      </c>
      <c r="V111" s="17" t="b">
        <v>1</v>
      </c>
      <c r="W111" s="11" t="s">
        <v>309</v>
      </c>
      <c r="X111" s="12" t="s">
        <v>14</v>
      </c>
      <c r="Y111" s="12" t="s">
        <v>14</v>
      </c>
      <c r="Z111" s="13" t="s">
        <v>322</v>
      </c>
    </row>
    <row r="112" spans="1:26" ht="19.899999999999999" customHeight="1" x14ac:dyDescent="0.25">
      <c r="A112" s="6">
        <v>45971</v>
      </c>
      <c r="B112" s="7" t="s">
        <v>632</v>
      </c>
      <c r="C112" s="8" t="s">
        <v>1327</v>
      </c>
      <c r="D112" s="8" t="s">
        <v>265</v>
      </c>
      <c r="E112" s="8" t="s">
        <v>1315</v>
      </c>
      <c r="F112" s="9" t="s">
        <v>1328</v>
      </c>
      <c r="G112" s="9" t="s">
        <v>1329</v>
      </c>
      <c r="H112" s="9" t="s">
        <v>1318</v>
      </c>
      <c r="I112" s="9" t="s">
        <v>69</v>
      </c>
      <c r="J112" s="10" t="s">
        <v>251</v>
      </c>
      <c r="K112" s="15" t="str">
        <f>VLOOKUP(J112,DADOS!$A$3:$B$105,2,FALSE)</f>
        <v>EE-GI-001-030</v>
      </c>
      <c r="L112" s="15" t="s">
        <v>408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0</v>
      </c>
      <c r="S112" s="17" t="b">
        <v>0</v>
      </c>
      <c r="T112" s="17" t="b">
        <v>0</v>
      </c>
      <c r="U112" s="17" t="b">
        <v>0</v>
      </c>
      <c r="V112" s="17" t="b">
        <v>1</v>
      </c>
      <c r="W112" s="11" t="s">
        <v>265</v>
      </c>
      <c r="X112" s="12" t="s">
        <v>14</v>
      </c>
      <c r="Y112" s="12" t="s">
        <v>14</v>
      </c>
      <c r="Z112" s="13" t="s">
        <v>280</v>
      </c>
    </row>
    <row r="113" spans="1:26" ht="19.899999999999999" customHeight="1" x14ac:dyDescent="0.25">
      <c r="A113" s="6">
        <v>45971</v>
      </c>
      <c r="B113" s="7" t="s">
        <v>632</v>
      </c>
      <c r="C113" s="8" t="s">
        <v>1333</v>
      </c>
      <c r="D113" s="8" t="s">
        <v>473</v>
      </c>
      <c r="E113" s="8" t="s">
        <v>1315</v>
      </c>
      <c r="F113" s="9" t="s">
        <v>1334</v>
      </c>
      <c r="G113" s="9" t="s">
        <v>1335</v>
      </c>
      <c r="H113" s="9" t="s">
        <v>1318</v>
      </c>
      <c r="I113" s="9" t="s">
        <v>68</v>
      </c>
      <c r="J113" s="10" t="s">
        <v>174</v>
      </c>
      <c r="K113" s="15" t="str">
        <f>VLOOKUP(J113,DADOS!$A$3:$B$105,2,FALSE)</f>
        <v>EE-GI-001-007</v>
      </c>
      <c r="L113" s="15" t="s">
        <v>408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473</v>
      </c>
      <c r="X113" s="12" t="s">
        <v>14</v>
      </c>
      <c r="Y113" s="12" t="s">
        <v>14</v>
      </c>
      <c r="Z113" s="13" t="s">
        <v>322</v>
      </c>
    </row>
    <row r="114" spans="1:26" ht="19.899999999999999" customHeight="1" x14ac:dyDescent="0.25">
      <c r="A114" s="6">
        <v>45971</v>
      </c>
      <c r="B114" s="7" t="s">
        <v>632</v>
      </c>
      <c r="C114" s="8" t="s">
        <v>1524</v>
      </c>
      <c r="D114" s="8" t="s">
        <v>265</v>
      </c>
      <c r="E114" s="8" t="s">
        <v>1315</v>
      </c>
      <c r="F114" s="9" t="s">
        <v>1525</v>
      </c>
      <c r="G114" s="9" t="s">
        <v>1526</v>
      </c>
      <c r="H114" s="9" t="s">
        <v>1318</v>
      </c>
      <c r="I114" s="9" t="s">
        <v>69</v>
      </c>
      <c r="J114" s="10" t="s">
        <v>173</v>
      </c>
      <c r="K114" s="15" t="str">
        <f>VLOOKUP(J114,DADOS!$A$3:$B$105,2,FALSE)</f>
        <v>EE-GI-001-006</v>
      </c>
      <c r="L114" s="15" t="s">
        <v>1527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265</v>
      </c>
      <c r="X114" s="12" t="s">
        <v>14</v>
      </c>
      <c r="Y114" s="12" t="s">
        <v>14</v>
      </c>
      <c r="Z114" s="13" t="s">
        <v>322</v>
      </c>
    </row>
    <row r="115" spans="1:26" ht="19.899999999999999" customHeight="1" x14ac:dyDescent="0.25">
      <c r="A115" s="6">
        <v>45971</v>
      </c>
      <c r="B115" s="7" t="s">
        <v>632</v>
      </c>
      <c r="C115" s="8" t="s">
        <v>1330</v>
      </c>
      <c r="D115" s="8" t="s">
        <v>352</v>
      </c>
      <c r="E115" s="8" t="s">
        <v>1315</v>
      </c>
      <c r="F115" s="9" t="s">
        <v>1331</v>
      </c>
      <c r="G115" s="9" t="s">
        <v>1332</v>
      </c>
      <c r="H115" s="9" t="s">
        <v>1318</v>
      </c>
      <c r="I115" s="9" t="s">
        <v>95</v>
      </c>
      <c r="J115" s="10" t="s">
        <v>176</v>
      </c>
      <c r="K115" s="15" t="str">
        <f>VLOOKUP(J115,DADOS!$A$3:$B$105,2,FALSE)</f>
        <v>EE-GI-001-011</v>
      </c>
      <c r="L115" s="15" t="s">
        <v>408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352</v>
      </c>
      <c r="X115" s="12"/>
      <c r="Y115" s="12" t="s">
        <v>14</v>
      </c>
      <c r="Z115" s="13" t="s">
        <v>322</v>
      </c>
    </row>
    <row r="116" spans="1:26" ht="19.899999999999999" customHeight="1" x14ac:dyDescent="0.25">
      <c r="A116" s="6">
        <v>45971</v>
      </c>
      <c r="B116" s="7" t="s">
        <v>632</v>
      </c>
      <c r="C116" s="8" t="s">
        <v>1324</v>
      </c>
      <c r="D116" s="8" t="s">
        <v>352</v>
      </c>
      <c r="E116" s="8" t="s">
        <v>1315</v>
      </c>
      <c r="F116" s="9" t="s">
        <v>1325</v>
      </c>
      <c r="G116" s="9" t="s">
        <v>1326</v>
      </c>
      <c r="H116" s="9" t="s">
        <v>1318</v>
      </c>
      <c r="I116" s="9" t="s">
        <v>69</v>
      </c>
      <c r="J116" s="10" t="s">
        <v>176</v>
      </c>
      <c r="K116" s="15" t="str">
        <f>VLOOKUP(J116,DADOS!$A$3:$B$105,2,FALSE)</f>
        <v>EE-GI-001-011</v>
      </c>
      <c r="L116" s="15" t="s">
        <v>321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352</v>
      </c>
      <c r="X116" s="12" t="s">
        <v>14</v>
      </c>
      <c r="Y116" s="12" t="s">
        <v>14</v>
      </c>
      <c r="Z116" s="13" t="s">
        <v>322</v>
      </c>
    </row>
    <row r="117" spans="1:26" ht="19.899999999999999" customHeight="1" x14ac:dyDescent="0.25">
      <c r="A117" s="6">
        <v>45971</v>
      </c>
      <c r="B117" s="7" t="s">
        <v>632</v>
      </c>
      <c r="C117" s="8" t="s">
        <v>1314</v>
      </c>
      <c r="D117" s="8" t="s">
        <v>352</v>
      </c>
      <c r="E117" s="8" t="s">
        <v>1315</v>
      </c>
      <c r="F117" s="9" t="s">
        <v>1316</v>
      </c>
      <c r="G117" s="9" t="s">
        <v>1317</v>
      </c>
      <c r="H117" s="9" t="s">
        <v>1318</v>
      </c>
      <c r="I117" s="9" t="s">
        <v>66</v>
      </c>
      <c r="J117" s="10" t="s">
        <v>173</v>
      </c>
      <c r="K117" s="15" t="str">
        <f>VLOOKUP(J117,DADOS!$A$3:$B$105,2,FALSE)</f>
        <v>EE-GI-001-006</v>
      </c>
      <c r="L117" s="15" t="s">
        <v>321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352</v>
      </c>
      <c r="X117" s="12" t="s">
        <v>14</v>
      </c>
      <c r="Y117" s="12" t="s">
        <v>14</v>
      </c>
      <c r="Z117" s="13" t="s">
        <v>322</v>
      </c>
    </row>
    <row r="118" spans="1:26" ht="19.899999999999999" customHeight="1" x14ac:dyDescent="0.25">
      <c r="A118" s="6">
        <v>45971</v>
      </c>
      <c r="B118" s="7" t="s">
        <v>511</v>
      </c>
      <c r="C118" s="8" t="s">
        <v>526</v>
      </c>
      <c r="D118" s="8" t="s">
        <v>290</v>
      </c>
      <c r="E118" s="8" t="s">
        <v>564</v>
      </c>
      <c r="F118" s="9" t="s">
        <v>556</v>
      </c>
      <c r="G118" s="9" t="s">
        <v>565</v>
      </c>
      <c r="H118" s="9" t="s">
        <v>566</v>
      </c>
      <c r="I118" s="9" t="s">
        <v>66</v>
      </c>
      <c r="J118" s="10" t="s">
        <v>15</v>
      </c>
      <c r="K118" s="15" t="str">
        <f>VLOOKUP(J118,DADOS!$A$3:$B$105,2,FALSE)</f>
        <v>EE-GI-001-002</v>
      </c>
      <c r="L118" s="15" t="s">
        <v>304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1</v>
      </c>
      <c r="S118" s="17" t="b">
        <v>0</v>
      </c>
      <c r="T118" s="17" t="b">
        <v>0</v>
      </c>
      <c r="U118" s="17" t="b">
        <v>0</v>
      </c>
      <c r="V118" s="17" t="b">
        <v>0</v>
      </c>
      <c r="W118" s="11" t="s">
        <v>290</v>
      </c>
      <c r="X118" s="12" t="s">
        <v>14</v>
      </c>
      <c r="Y118" s="12" t="s">
        <v>14</v>
      </c>
      <c r="Z118" s="13" t="s">
        <v>280</v>
      </c>
    </row>
    <row r="119" spans="1:26" ht="19.899999999999999" customHeight="1" x14ac:dyDescent="0.25">
      <c r="A119" s="6">
        <v>45971</v>
      </c>
      <c r="B119" s="7" t="s">
        <v>511</v>
      </c>
      <c r="C119" s="8" t="s">
        <v>526</v>
      </c>
      <c r="D119" s="8" t="s">
        <v>352</v>
      </c>
      <c r="E119" s="8" t="s">
        <v>567</v>
      </c>
      <c r="F119" s="9" t="s">
        <v>568</v>
      </c>
      <c r="G119" s="9" t="s">
        <v>565</v>
      </c>
      <c r="H119" s="9" t="s">
        <v>569</v>
      </c>
      <c r="I119" s="9" t="s">
        <v>66</v>
      </c>
      <c r="J119" s="10" t="s">
        <v>15</v>
      </c>
      <c r="K119" s="15" t="str">
        <f>VLOOKUP(J119,DADOS!$A$3:$B$105,2,FALSE)</f>
        <v>EE-GI-001-002</v>
      </c>
      <c r="L119" s="15" t="s">
        <v>304</v>
      </c>
      <c r="M119" s="18" t="b">
        <v>1</v>
      </c>
      <c r="N119" s="17" t="b">
        <v>1</v>
      </c>
      <c r="O119" s="17" t="b">
        <v>1</v>
      </c>
      <c r="P119" s="17" t="b">
        <v>1</v>
      </c>
      <c r="Q119" s="17" t="b">
        <v>0</v>
      </c>
      <c r="R119" s="17" t="b">
        <v>1</v>
      </c>
      <c r="S119" s="17" t="b">
        <v>0</v>
      </c>
      <c r="T119" s="17" t="b">
        <v>0</v>
      </c>
      <c r="U119" s="17" t="b">
        <v>0</v>
      </c>
      <c r="V119" s="17" t="b">
        <v>0</v>
      </c>
      <c r="W119" s="11" t="s">
        <v>352</v>
      </c>
      <c r="X119" s="12" t="s">
        <v>14</v>
      </c>
      <c r="Y119" s="12" t="s">
        <v>14</v>
      </c>
      <c r="Z119" s="13" t="s">
        <v>280</v>
      </c>
    </row>
    <row r="120" spans="1:26" ht="19.899999999999999" customHeight="1" x14ac:dyDescent="0.25">
      <c r="A120" s="6">
        <v>45971</v>
      </c>
      <c r="B120" s="7" t="s">
        <v>511</v>
      </c>
      <c r="C120" s="8" t="s">
        <v>570</v>
      </c>
      <c r="D120" s="8" t="s">
        <v>265</v>
      </c>
      <c r="E120" s="8" t="s">
        <v>571</v>
      </c>
      <c r="F120" s="9" t="s">
        <v>572</v>
      </c>
      <c r="G120" s="9" t="s">
        <v>552</v>
      </c>
      <c r="H120" s="9" t="s">
        <v>573</v>
      </c>
      <c r="I120" s="9" t="s">
        <v>69</v>
      </c>
      <c r="J120" s="10" t="s">
        <v>15</v>
      </c>
      <c r="K120" s="15" t="str">
        <f>VLOOKUP(J120,DADOS!$A$3:$B$105,2,FALSE)</f>
        <v>EE-GI-001-002</v>
      </c>
      <c r="L120" s="15" t="s">
        <v>304</v>
      </c>
      <c r="M120" s="18" t="b">
        <v>1</v>
      </c>
      <c r="N120" s="17" t="b">
        <v>1</v>
      </c>
      <c r="O120" s="17" t="b">
        <v>1</v>
      </c>
      <c r="P120" s="17" t="b">
        <v>1</v>
      </c>
      <c r="Q120" s="17" t="b">
        <v>0</v>
      </c>
      <c r="R120" s="17" t="b">
        <v>1</v>
      </c>
      <c r="S120" s="17" t="b">
        <v>0</v>
      </c>
      <c r="T120" s="17" t="b">
        <v>0</v>
      </c>
      <c r="U120" s="17" t="b">
        <v>0</v>
      </c>
      <c r="V120" s="17" t="b">
        <v>0</v>
      </c>
      <c r="W120" s="11" t="s">
        <v>265</v>
      </c>
      <c r="X120" s="12" t="s">
        <v>14</v>
      </c>
      <c r="Y120" s="12" t="s">
        <v>14</v>
      </c>
      <c r="Z120" s="13" t="s">
        <v>280</v>
      </c>
    </row>
    <row r="121" spans="1:26" ht="19.899999999999999" customHeight="1" x14ac:dyDescent="0.25">
      <c r="A121" s="6">
        <v>45971</v>
      </c>
      <c r="B121" s="7" t="s">
        <v>530</v>
      </c>
      <c r="C121" s="8" t="s">
        <v>531</v>
      </c>
      <c r="D121" s="8" t="s">
        <v>352</v>
      </c>
      <c r="E121" s="8" t="s">
        <v>532</v>
      </c>
      <c r="F121" s="9" t="s">
        <v>533</v>
      </c>
      <c r="G121" s="9" t="s">
        <v>534</v>
      </c>
      <c r="H121" s="9" t="s">
        <v>535</v>
      </c>
      <c r="I121" s="9" t="s">
        <v>64</v>
      </c>
      <c r="J121" s="10" t="s">
        <v>15</v>
      </c>
      <c r="K121" s="15" t="str">
        <f>VLOOKUP(J121,DADOS!$A$3:$B$105,2,FALSE)</f>
        <v>EE-GI-001-002</v>
      </c>
      <c r="L121" s="15" t="s">
        <v>408</v>
      </c>
      <c r="M121" s="18" t="b">
        <v>1</v>
      </c>
      <c r="N121" s="17" t="b">
        <v>1</v>
      </c>
      <c r="O121" s="17" t="b">
        <v>1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0</v>
      </c>
      <c r="W121" s="11" t="s">
        <v>352</v>
      </c>
      <c r="X121" s="12" t="s">
        <v>14</v>
      </c>
      <c r="Y121" s="12" t="s">
        <v>14</v>
      </c>
      <c r="Z121" s="13" t="s">
        <v>322</v>
      </c>
    </row>
    <row r="122" spans="1:26" ht="19.899999999999999" customHeight="1" x14ac:dyDescent="0.25">
      <c r="A122" s="6">
        <v>45971</v>
      </c>
      <c r="B122" s="7" t="s">
        <v>530</v>
      </c>
      <c r="C122" s="8" t="s">
        <v>536</v>
      </c>
      <c r="D122" s="8" t="s">
        <v>309</v>
      </c>
      <c r="E122" s="8" t="s">
        <v>532</v>
      </c>
      <c r="F122" s="9" t="s">
        <v>537</v>
      </c>
      <c r="G122" s="9" t="s">
        <v>534</v>
      </c>
      <c r="H122" s="9" t="s">
        <v>538</v>
      </c>
      <c r="I122" s="9" t="s">
        <v>64</v>
      </c>
      <c r="J122" s="10" t="s">
        <v>15</v>
      </c>
      <c r="K122" s="15" t="str">
        <f>VLOOKUP(J122,DADOS!$A$3:$B$105,2,FALSE)</f>
        <v>EE-GI-001-002</v>
      </c>
      <c r="L122" s="15" t="s">
        <v>321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0</v>
      </c>
      <c r="W122" s="11" t="s">
        <v>352</v>
      </c>
      <c r="X122" s="12" t="s">
        <v>14</v>
      </c>
      <c r="Y122" s="12" t="s">
        <v>14</v>
      </c>
      <c r="Z122" s="13" t="s">
        <v>322</v>
      </c>
    </row>
    <row r="123" spans="1:26" ht="19.899999999999999" customHeight="1" x14ac:dyDescent="0.25">
      <c r="A123" s="6">
        <v>45971</v>
      </c>
      <c r="B123" s="7" t="s">
        <v>1035</v>
      </c>
      <c r="C123" s="8" t="s">
        <v>1911</v>
      </c>
      <c r="D123" s="8" t="s">
        <v>309</v>
      </c>
      <c r="E123" s="8" t="s">
        <v>592</v>
      </c>
      <c r="F123" s="9" t="s">
        <v>1912</v>
      </c>
      <c r="G123" s="9" t="s">
        <v>1946</v>
      </c>
      <c r="H123" s="9" t="s">
        <v>1914</v>
      </c>
      <c r="I123" s="9" t="s">
        <v>69</v>
      </c>
      <c r="J123" s="10" t="s">
        <v>185</v>
      </c>
      <c r="K123" s="15" t="str">
        <f>VLOOKUP(J123,[4]DADOS!$A$3:$B$105,2,FALSE)</f>
        <v>EE-GI-001-031</v>
      </c>
      <c r="L123" s="15" t="s">
        <v>941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1</v>
      </c>
      <c r="U123" s="17" t="b">
        <v>1</v>
      </c>
      <c r="V123" s="17" t="b">
        <v>1</v>
      </c>
      <c r="W123" s="11" t="s">
        <v>309</v>
      </c>
      <c r="X123" s="12"/>
      <c r="Y123" s="12" t="s">
        <v>14</v>
      </c>
      <c r="Z123" s="9" t="s">
        <v>271</v>
      </c>
    </row>
    <row r="124" spans="1:26" ht="19.899999999999999" customHeight="1" x14ac:dyDescent="0.25">
      <c r="A124" s="6">
        <v>45971</v>
      </c>
      <c r="B124" s="7" t="s">
        <v>402</v>
      </c>
      <c r="C124" s="8" t="s">
        <v>2022</v>
      </c>
      <c r="D124" s="8" t="s">
        <v>352</v>
      </c>
      <c r="E124" s="8" t="s">
        <v>592</v>
      </c>
      <c r="F124" s="9" t="s">
        <v>2023</v>
      </c>
      <c r="G124" s="9" t="s">
        <v>2024</v>
      </c>
      <c r="H124" s="34"/>
      <c r="I124" s="9" t="s">
        <v>69</v>
      </c>
      <c r="J124" s="10" t="s">
        <v>17</v>
      </c>
      <c r="K124" s="15" t="str">
        <f>VLOOKUP(J124,[2]DADOS!$A$3:$B$105,2,FALSE)</f>
        <v>EE-GI-001-001</v>
      </c>
      <c r="L124" s="15" t="s">
        <v>941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1</v>
      </c>
      <c r="U124" s="17" t="b">
        <v>1</v>
      </c>
      <c r="V124" s="17" t="b">
        <v>1</v>
      </c>
      <c r="W124" s="11" t="s">
        <v>352</v>
      </c>
      <c r="X124" s="12" t="s">
        <v>14</v>
      </c>
      <c r="Y124" s="12" t="s">
        <v>14</v>
      </c>
      <c r="Z124" s="13" t="s">
        <v>271</v>
      </c>
    </row>
    <row r="125" spans="1:26" ht="19.899999999999999" customHeight="1" x14ac:dyDescent="0.25">
      <c r="A125" s="6">
        <v>45971</v>
      </c>
      <c r="B125" s="7" t="s">
        <v>958</v>
      </c>
      <c r="C125" s="8" t="s">
        <v>594</v>
      </c>
      <c r="D125" s="8" t="s">
        <v>352</v>
      </c>
      <c r="E125" s="8" t="s">
        <v>959</v>
      </c>
      <c r="F125" s="9" t="s">
        <v>960</v>
      </c>
      <c r="G125" s="9" t="s">
        <v>753</v>
      </c>
      <c r="H125" s="34"/>
      <c r="I125" s="9" t="s">
        <v>66</v>
      </c>
      <c r="J125" s="10" t="s">
        <v>186</v>
      </c>
      <c r="K125" s="15" t="str">
        <f>VLOOKUP(J125,[1]DADOS!$A$3:$B$105,2,FALSE)</f>
        <v>EE-GI-001-008</v>
      </c>
      <c r="L125" s="15" t="s">
        <v>941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1</v>
      </c>
      <c r="W125" s="11" t="s">
        <v>426</v>
      </c>
      <c r="X125" s="12" t="s">
        <v>352</v>
      </c>
      <c r="Y125" s="12" t="s">
        <v>961</v>
      </c>
      <c r="Z125" s="12" t="s">
        <v>271</v>
      </c>
    </row>
    <row r="126" spans="1:26" ht="19.899999999999999" customHeight="1" x14ac:dyDescent="0.25">
      <c r="A126" s="6">
        <v>45971</v>
      </c>
      <c r="B126" s="7" t="s">
        <v>958</v>
      </c>
      <c r="C126" s="8" t="s">
        <v>415</v>
      </c>
      <c r="D126" s="8" t="s">
        <v>352</v>
      </c>
      <c r="E126" s="8" t="s">
        <v>959</v>
      </c>
      <c r="F126" s="9" t="s">
        <v>962</v>
      </c>
      <c r="G126" s="9" t="s">
        <v>963</v>
      </c>
      <c r="H126" s="34"/>
      <c r="I126" s="9" t="s">
        <v>66</v>
      </c>
      <c r="J126" s="10" t="s">
        <v>186</v>
      </c>
      <c r="K126" s="15" t="str">
        <f>VLOOKUP(J126,[1]DADOS!$A$3:$B$105,2,FALSE)</f>
        <v>EE-GI-001-008</v>
      </c>
      <c r="L126" s="15" t="s">
        <v>941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0</v>
      </c>
      <c r="U126" s="17" t="b">
        <v>0</v>
      </c>
      <c r="V126" s="17" t="b">
        <v>1</v>
      </c>
      <c r="W126" s="11" t="s">
        <v>426</v>
      </c>
      <c r="X126" s="12" t="s">
        <v>352</v>
      </c>
      <c r="Y126" s="12" t="s">
        <v>964</v>
      </c>
      <c r="Z126" s="12" t="s">
        <v>271</v>
      </c>
    </row>
    <row r="127" spans="1:26" ht="19.899999999999999" customHeight="1" x14ac:dyDescent="0.25">
      <c r="A127" s="6">
        <v>45972</v>
      </c>
      <c r="B127" s="7" t="s">
        <v>754</v>
      </c>
      <c r="C127" s="8" t="s">
        <v>1003</v>
      </c>
      <c r="D127" s="8" t="s">
        <v>527</v>
      </c>
      <c r="E127" s="8" t="s">
        <v>1004</v>
      </c>
      <c r="F127" s="9" t="s">
        <v>1005</v>
      </c>
      <c r="G127" s="9" t="s">
        <v>1006</v>
      </c>
      <c r="H127" s="37" t="s">
        <v>1007</v>
      </c>
      <c r="I127" s="9" t="s">
        <v>65</v>
      </c>
      <c r="J127" s="10" t="s">
        <v>16</v>
      </c>
      <c r="K127" s="15" t="str">
        <f>VLOOKUP(J127,DADOS!$A$3:$B$105,2,FALSE)</f>
        <v>EE-GI-001-003</v>
      </c>
      <c r="L127" s="15" t="s">
        <v>408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0</v>
      </c>
      <c r="U127" s="17" t="b">
        <v>0</v>
      </c>
      <c r="V127" s="17" t="b">
        <v>1</v>
      </c>
      <c r="W127" s="11" t="s">
        <v>527</v>
      </c>
      <c r="X127" s="12"/>
      <c r="Y127" s="12"/>
      <c r="Z127" s="13" t="s">
        <v>322</v>
      </c>
    </row>
    <row r="128" spans="1:26" ht="19.899999999999999" customHeight="1" x14ac:dyDescent="0.25">
      <c r="A128" s="6">
        <v>45972</v>
      </c>
      <c r="B128" s="7" t="s">
        <v>402</v>
      </c>
      <c r="C128" s="8" t="s">
        <v>591</v>
      </c>
      <c r="D128" s="8" t="s">
        <v>309</v>
      </c>
      <c r="E128" s="8" t="s">
        <v>592</v>
      </c>
      <c r="F128" s="9" t="s">
        <v>593</v>
      </c>
      <c r="G128" s="9" t="s">
        <v>276</v>
      </c>
      <c r="H128" s="34"/>
      <c r="I128" s="9" t="s">
        <v>64</v>
      </c>
      <c r="J128" s="10" t="s">
        <v>186</v>
      </c>
      <c r="K128" s="15" t="str">
        <f>VLOOKUP(J128,DADOS!$A$3:$B$105,2,FALSE)</f>
        <v>EE-GI-001-008</v>
      </c>
      <c r="L128" s="15" t="s">
        <v>332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1</v>
      </c>
      <c r="U128" s="17" t="b">
        <v>1</v>
      </c>
      <c r="V128" s="17" t="b">
        <v>1</v>
      </c>
      <c r="W128" s="11" t="s">
        <v>309</v>
      </c>
      <c r="X128" s="12" t="s">
        <v>14</v>
      </c>
      <c r="Y128" s="12" t="s">
        <v>14</v>
      </c>
      <c r="Z128" s="13" t="s">
        <v>280</v>
      </c>
    </row>
    <row r="129" spans="1:28" ht="19.899999999999999" customHeight="1" x14ac:dyDescent="0.25">
      <c r="A129" s="6">
        <v>45972</v>
      </c>
      <c r="B129" s="7" t="s">
        <v>606</v>
      </c>
      <c r="C129" s="8" t="s">
        <v>607</v>
      </c>
      <c r="D129" s="8" t="s">
        <v>608</v>
      </c>
      <c r="E129" s="8" t="s">
        <v>609</v>
      </c>
      <c r="F129" s="9" t="s">
        <v>610</v>
      </c>
      <c r="G129" s="9" t="s">
        <v>611</v>
      </c>
      <c r="H129" s="9" t="s">
        <v>612</v>
      </c>
      <c r="I129" s="9" t="s">
        <v>66</v>
      </c>
      <c r="J129" s="10" t="s">
        <v>241</v>
      </c>
      <c r="K129" s="15" t="str">
        <f>VLOOKUP(J129,DADOS!$A$3:$B$105,2,FALSE)</f>
        <v>EE-GI-221-048</v>
      </c>
      <c r="L129" s="15" t="s">
        <v>401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1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608</v>
      </c>
      <c r="X129" s="12" t="s">
        <v>14</v>
      </c>
      <c r="Y129" s="12" t="s">
        <v>14</v>
      </c>
      <c r="Z129" s="13" t="s">
        <v>280</v>
      </c>
    </row>
    <row r="130" spans="1:28" ht="19.899999999999999" customHeight="1" x14ac:dyDescent="0.25">
      <c r="A130" s="6">
        <v>45972</v>
      </c>
      <c r="B130" s="7" t="s">
        <v>606</v>
      </c>
      <c r="C130" s="8" t="s">
        <v>834</v>
      </c>
      <c r="D130" s="8" t="s">
        <v>614</v>
      </c>
      <c r="E130" s="8" t="s">
        <v>609</v>
      </c>
      <c r="F130" s="9" t="s">
        <v>616</v>
      </c>
      <c r="G130" s="9" t="s">
        <v>611</v>
      </c>
      <c r="H130" s="9" t="s">
        <v>618</v>
      </c>
      <c r="I130" s="9" t="s">
        <v>66</v>
      </c>
      <c r="J130" s="10" t="s">
        <v>241</v>
      </c>
      <c r="K130" s="15" t="str">
        <f>VLOOKUP(J130,DADOS!$A$3:$B$105,2,FALSE)</f>
        <v>EE-GI-221-048</v>
      </c>
      <c r="L130" s="15" t="s">
        <v>401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1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0</v>
      </c>
      <c r="W130" s="11" t="s">
        <v>614</v>
      </c>
      <c r="X130" s="12" t="s">
        <v>14</v>
      </c>
      <c r="Y130" s="12" t="s">
        <v>14</v>
      </c>
      <c r="Z130" s="13" t="s">
        <v>280</v>
      </c>
    </row>
    <row r="131" spans="1:28" ht="19.899999999999999" customHeight="1" x14ac:dyDescent="0.25">
      <c r="A131" s="6">
        <v>45972</v>
      </c>
      <c r="B131" s="7" t="s">
        <v>394</v>
      </c>
      <c r="C131" s="8" t="s">
        <v>703</v>
      </c>
      <c r="D131" s="8" t="s">
        <v>704</v>
      </c>
      <c r="E131" s="8" t="s">
        <v>705</v>
      </c>
      <c r="F131" s="9" t="s">
        <v>706</v>
      </c>
      <c r="G131" s="9" t="s">
        <v>707</v>
      </c>
      <c r="H131" s="9" t="s">
        <v>708</v>
      </c>
      <c r="I131" s="9" t="s">
        <v>66</v>
      </c>
      <c r="J131" s="10" t="s">
        <v>19</v>
      </c>
      <c r="K131" s="15" t="s">
        <v>54</v>
      </c>
      <c r="L131" s="15" t="s">
        <v>709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1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0</v>
      </c>
      <c r="W131" s="11" t="s">
        <v>704</v>
      </c>
      <c r="X131" s="12" t="s">
        <v>14</v>
      </c>
      <c r="Y131" s="12" t="s">
        <v>14</v>
      </c>
      <c r="Z131" s="13" t="s">
        <v>322</v>
      </c>
    </row>
    <row r="132" spans="1:28" ht="19.899999999999999" customHeight="1" x14ac:dyDescent="0.25">
      <c r="A132" s="6">
        <v>45972</v>
      </c>
      <c r="B132" s="7" t="s">
        <v>394</v>
      </c>
      <c r="C132" s="8" t="s">
        <v>716</v>
      </c>
      <c r="D132" s="8" t="s">
        <v>717</v>
      </c>
      <c r="E132" s="8" t="s">
        <v>705</v>
      </c>
      <c r="F132" s="9" t="s">
        <v>718</v>
      </c>
      <c r="G132" s="9" t="s">
        <v>719</v>
      </c>
      <c r="H132" s="9" t="s">
        <v>720</v>
      </c>
      <c r="I132" s="9" t="s">
        <v>66</v>
      </c>
      <c r="J132" s="10" t="s">
        <v>20</v>
      </c>
      <c r="K132" s="15" t="str">
        <f>VLOOKUP(J132,DADOS!$A$3:$B$105,2,FALSE)</f>
        <v>EE-GI-221-034</v>
      </c>
      <c r="L132" s="15" t="s">
        <v>709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1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 t="s">
        <v>717</v>
      </c>
      <c r="X132" s="12" t="s">
        <v>14</v>
      </c>
      <c r="Y132" s="12" t="s">
        <v>14</v>
      </c>
      <c r="Z132" s="13" t="s">
        <v>322</v>
      </c>
    </row>
    <row r="133" spans="1:28" ht="19.899999999999999" customHeight="1" x14ac:dyDescent="0.25">
      <c r="A133" s="6">
        <v>45972</v>
      </c>
      <c r="B133" s="7" t="s">
        <v>394</v>
      </c>
      <c r="C133" s="8" t="s">
        <v>395</v>
      </c>
      <c r="D133" s="8" t="s">
        <v>396</v>
      </c>
      <c r="E133" s="8" t="s">
        <v>705</v>
      </c>
      <c r="F133" s="9" t="s">
        <v>721</v>
      </c>
      <c r="G133" s="9" t="s">
        <v>400</v>
      </c>
      <c r="H133" s="9" t="s">
        <v>722</v>
      </c>
      <c r="I133" s="9" t="s">
        <v>66</v>
      </c>
      <c r="J133" s="10" t="s">
        <v>233</v>
      </c>
      <c r="K133" s="15" t="str">
        <f>VLOOKUP(J133,DADOS!$A$3:$B$105,2,FALSE)</f>
        <v>EE-GI-221-031</v>
      </c>
      <c r="L133" s="15" t="s">
        <v>709</v>
      </c>
      <c r="M133" s="18" t="b">
        <v>1</v>
      </c>
      <c r="N133" s="17" t="b">
        <v>1</v>
      </c>
      <c r="O133" s="17" t="b">
        <v>1</v>
      </c>
      <c r="P133" s="17" t="b">
        <v>1</v>
      </c>
      <c r="Q133" s="17" t="b">
        <v>1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0</v>
      </c>
      <c r="W133" s="11" t="s">
        <v>396</v>
      </c>
      <c r="X133" s="12" t="s">
        <v>14</v>
      </c>
      <c r="Y133" s="12" t="s">
        <v>14</v>
      </c>
      <c r="Z133" s="13" t="s">
        <v>322</v>
      </c>
      <c r="AA133" s="35"/>
      <c r="AB133" s="35"/>
    </row>
    <row r="134" spans="1:28" s="35" customFormat="1" ht="19.899999999999999" customHeight="1" x14ac:dyDescent="0.25">
      <c r="A134" s="6">
        <v>45972</v>
      </c>
      <c r="B134" s="7" t="s">
        <v>394</v>
      </c>
      <c r="C134" s="8" t="s">
        <v>710</v>
      </c>
      <c r="D134" s="8" t="s">
        <v>711</v>
      </c>
      <c r="E134" s="8" t="s">
        <v>705</v>
      </c>
      <c r="F134" s="9" t="s">
        <v>715</v>
      </c>
      <c r="G134" s="9" t="s">
        <v>713</v>
      </c>
      <c r="H134" s="9" t="s">
        <v>714</v>
      </c>
      <c r="I134" s="9" t="s">
        <v>66</v>
      </c>
      <c r="J134" s="10" t="s">
        <v>241</v>
      </c>
      <c r="K134" s="15" t="str">
        <f>VLOOKUP(J134,DADOS!$A$3:$B$105,2,FALSE)</f>
        <v>EE-GI-221-048</v>
      </c>
      <c r="L134" s="15" t="s">
        <v>709</v>
      </c>
      <c r="M134" s="18" t="b">
        <v>1</v>
      </c>
      <c r="N134" s="17" t="b">
        <v>1</v>
      </c>
      <c r="O134" s="17" t="b">
        <v>1</v>
      </c>
      <c r="P134" s="17" t="b">
        <v>1</v>
      </c>
      <c r="Q134" s="17" t="b">
        <v>1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0</v>
      </c>
      <c r="W134" s="11" t="s">
        <v>711</v>
      </c>
      <c r="X134" s="12" t="s">
        <v>14</v>
      </c>
      <c r="Y134" s="12" t="s">
        <v>14</v>
      </c>
      <c r="Z134" s="13" t="s">
        <v>322</v>
      </c>
      <c r="AA134" s="1"/>
      <c r="AB134" s="1"/>
    </row>
    <row r="135" spans="1:28" ht="19.899999999999999" customHeight="1" x14ac:dyDescent="0.25">
      <c r="A135" s="6">
        <v>45972</v>
      </c>
      <c r="B135" s="7" t="s">
        <v>394</v>
      </c>
      <c r="C135" s="8" t="s">
        <v>710</v>
      </c>
      <c r="D135" s="8" t="s">
        <v>711</v>
      </c>
      <c r="E135" s="8" t="s">
        <v>705</v>
      </c>
      <c r="F135" s="9" t="s">
        <v>712</v>
      </c>
      <c r="G135" s="9" t="s">
        <v>713</v>
      </c>
      <c r="H135" s="9" t="s">
        <v>714</v>
      </c>
      <c r="I135" s="9" t="s">
        <v>66</v>
      </c>
      <c r="J135" s="10" t="s">
        <v>241</v>
      </c>
      <c r="K135" s="15" t="str">
        <f>VLOOKUP(J135,DADOS!$A$3:$B$105,2,FALSE)</f>
        <v>EE-GI-221-048</v>
      </c>
      <c r="L135" s="15" t="s">
        <v>709</v>
      </c>
      <c r="M135" s="18" t="b">
        <v>1</v>
      </c>
      <c r="N135" s="17" t="b">
        <v>1</v>
      </c>
      <c r="O135" s="17" t="b">
        <v>1</v>
      </c>
      <c r="P135" s="17" t="b">
        <v>1</v>
      </c>
      <c r="Q135" s="17" t="b">
        <v>1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0</v>
      </c>
      <c r="W135" s="11" t="s">
        <v>711</v>
      </c>
      <c r="X135" s="12" t="s">
        <v>14</v>
      </c>
      <c r="Y135" s="12" t="s">
        <v>14</v>
      </c>
      <c r="Z135" s="13" t="s">
        <v>322</v>
      </c>
    </row>
    <row r="136" spans="1:28" ht="19.899999999999999" customHeight="1" x14ac:dyDescent="0.25">
      <c r="A136" s="6">
        <v>45972</v>
      </c>
      <c r="B136" s="7" t="s">
        <v>410</v>
      </c>
      <c r="C136" s="8" t="s">
        <v>653</v>
      </c>
      <c r="D136" s="8" t="s">
        <v>309</v>
      </c>
      <c r="E136" s="8" t="s">
        <v>654</v>
      </c>
      <c r="F136" s="9" t="s">
        <v>655</v>
      </c>
      <c r="G136" s="9" t="s">
        <v>656</v>
      </c>
      <c r="H136" s="9" t="s">
        <v>657</v>
      </c>
      <c r="I136" s="9" t="s">
        <v>65</v>
      </c>
      <c r="J136" s="10" t="s">
        <v>181</v>
      </c>
      <c r="K136" s="15" t="str">
        <f>VLOOKUP(J136,DADOS!$A$3:$B$105,2,FALSE)</f>
        <v>EE-GI-001-023</v>
      </c>
      <c r="L136" s="15" t="s">
        <v>408</v>
      </c>
      <c r="M136" s="18" t="b">
        <v>1</v>
      </c>
      <c r="N136" s="17" t="b">
        <v>1</v>
      </c>
      <c r="O136" s="17" t="b">
        <v>1</v>
      </c>
      <c r="P136" s="17" t="b">
        <v>1</v>
      </c>
      <c r="Q136" s="17" t="b">
        <v>0</v>
      </c>
      <c r="R136" s="17" t="b">
        <v>1</v>
      </c>
      <c r="S136" s="17" t="b">
        <v>0</v>
      </c>
      <c r="T136" s="17" t="b">
        <v>0</v>
      </c>
      <c r="U136" s="17" t="b">
        <v>1</v>
      </c>
      <c r="V136" s="17" t="b">
        <v>1</v>
      </c>
      <c r="W136" s="11" t="s">
        <v>309</v>
      </c>
      <c r="X136" s="12" t="s">
        <v>14</v>
      </c>
      <c r="Y136" s="12" t="s">
        <v>14</v>
      </c>
      <c r="Z136" s="13" t="s">
        <v>322</v>
      </c>
    </row>
    <row r="137" spans="1:28" ht="19.899999999999999" customHeight="1" x14ac:dyDescent="0.25">
      <c r="A137" s="6">
        <v>45972</v>
      </c>
      <c r="B137" s="7" t="s">
        <v>410</v>
      </c>
      <c r="C137" s="8" t="s">
        <v>653</v>
      </c>
      <c r="D137" s="8" t="s">
        <v>559</v>
      </c>
      <c r="E137" s="8" t="s">
        <v>654</v>
      </c>
      <c r="F137" s="9" t="s">
        <v>658</v>
      </c>
      <c r="G137" s="9" t="s">
        <v>656</v>
      </c>
      <c r="H137" s="9" t="s">
        <v>657</v>
      </c>
      <c r="I137" s="9" t="s">
        <v>65</v>
      </c>
      <c r="J137" s="10" t="s">
        <v>181</v>
      </c>
      <c r="K137" s="15" t="str">
        <f>VLOOKUP(J137,DADOS!$A$3:$B$105,2,FALSE)</f>
        <v>EE-GI-001-023</v>
      </c>
      <c r="L137" s="15" t="s">
        <v>408</v>
      </c>
      <c r="M137" s="18" t="b">
        <v>1</v>
      </c>
      <c r="N137" s="17" t="b">
        <v>1</v>
      </c>
      <c r="O137" s="17" t="b">
        <v>1</v>
      </c>
      <c r="P137" s="17" t="b">
        <v>1</v>
      </c>
      <c r="Q137" s="17" t="b">
        <v>0</v>
      </c>
      <c r="R137" s="17" t="b">
        <v>1</v>
      </c>
      <c r="S137" s="17" t="b">
        <v>0</v>
      </c>
      <c r="T137" s="17" t="b">
        <v>0</v>
      </c>
      <c r="U137" s="17" t="b">
        <v>1</v>
      </c>
      <c r="V137" s="17" t="b">
        <v>1</v>
      </c>
      <c r="W137" s="11" t="s">
        <v>559</v>
      </c>
      <c r="X137" s="12" t="s">
        <v>14</v>
      </c>
      <c r="Y137" s="12" t="s">
        <v>14</v>
      </c>
      <c r="Z137" s="13" t="s">
        <v>322</v>
      </c>
    </row>
    <row r="138" spans="1:28" ht="19.899999999999999" customHeight="1" x14ac:dyDescent="0.25">
      <c r="A138" s="6">
        <v>45972</v>
      </c>
      <c r="B138" s="7" t="s">
        <v>410</v>
      </c>
      <c r="C138" s="8" t="s">
        <v>653</v>
      </c>
      <c r="D138" s="8" t="s">
        <v>290</v>
      </c>
      <c r="E138" s="8" t="s">
        <v>654</v>
      </c>
      <c r="F138" s="9" t="s">
        <v>659</v>
      </c>
      <c r="G138" s="9" t="s">
        <v>656</v>
      </c>
      <c r="H138" s="9" t="s">
        <v>657</v>
      </c>
      <c r="I138" s="9" t="s">
        <v>65</v>
      </c>
      <c r="J138" s="10" t="s">
        <v>181</v>
      </c>
      <c r="K138" s="15" t="str">
        <f>VLOOKUP(J138,DADOS!$A$3:$B$105,2,FALSE)</f>
        <v>EE-GI-001-023</v>
      </c>
      <c r="L138" s="15" t="s">
        <v>408</v>
      </c>
      <c r="M138" s="18" t="b">
        <v>1</v>
      </c>
      <c r="N138" s="17" t="b">
        <v>1</v>
      </c>
      <c r="O138" s="17" t="b">
        <v>1</v>
      </c>
      <c r="P138" s="17" t="b">
        <v>1</v>
      </c>
      <c r="Q138" s="17" t="b">
        <v>0</v>
      </c>
      <c r="R138" s="17" t="b">
        <v>1</v>
      </c>
      <c r="S138" s="17" t="b">
        <v>0</v>
      </c>
      <c r="T138" s="17" t="b">
        <v>0</v>
      </c>
      <c r="U138" s="17" t="b">
        <v>1</v>
      </c>
      <c r="V138" s="17" t="b">
        <v>1</v>
      </c>
      <c r="W138" s="11" t="s">
        <v>290</v>
      </c>
      <c r="X138" s="12" t="s">
        <v>14</v>
      </c>
      <c r="Y138" s="12" t="s">
        <v>14</v>
      </c>
      <c r="Z138" s="13" t="s">
        <v>322</v>
      </c>
    </row>
    <row r="139" spans="1:28" ht="19.899999999999999" customHeight="1" x14ac:dyDescent="0.25">
      <c r="A139" s="6">
        <v>45972</v>
      </c>
      <c r="B139" s="7" t="s">
        <v>606</v>
      </c>
      <c r="C139" s="8" t="s">
        <v>835</v>
      </c>
      <c r="D139" s="8" t="s">
        <v>615</v>
      </c>
      <c r="E139" s="8" t="s">
        <v>609</v>
      </c>
      <c r="F139" s="9" t="s">
        <v>617</v>
      </c>
      <c r="G139" s="9" t="s">
        <v>611</v>
      </c>
      <c r="H139" s="9" t="s">
        <v>618</v>
      </c>
      <c r="I139" s="9" t="s">
        <v>66</v>
      </c>
      <c r="J139" s="10" t="s">
        <v>241</v>
      </c>
      <c r="K139" s="15" t="str">
        <f>VLOOKUP(J139,DADOS!$A$3:$B$105,2,FALSE)</f>
        <v>EE-GI-221-048</v>
      </c>
      <c r="L139" s="15" t="s">
        <v>401</v>
      </c>
      <c r="M139" s="18" t="b">
        <v>1</v>
      </c>
      <c r="N139" s="17" t="b">
        <v>1</v>
      </c>
      <c r="O139" s="17" t="b">
        <v>1</v>
      </c>
      <c r="P139" s="17" t="b">
        <v>1</v>
      </c>
      <c r="Q139" s="17" t="b">
        <v>1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0</v>
      </c>
      <c r="W139" s="11" t="s">
        <v>615</v>
      </c>
      <c r="X139" s="12" t="s">
        <v>14</v>
      </c>
      <c r="Y139" s="12" t="s">
        <v>14</v>
      </c>
      <c r="Z139" s="13" t="s">
        <v>280</v>
      </c>
    </row>
    <row r="140" spans="1:28" ht="19.899999999999999" customHeight="1" x14ac:dyDescent="0.25">
      <c r="A140" s="6">
        <v>45972</v>
      </c>
      <c r="B140" s="7" t="s">
        <v>394</v>
      </c>
      <c r="C140" s="8" t="s">
        <v>764</v>
      </c>
      <c r="D140" s="8" t="s">
        <v>619</v>
      </c>
      <c r="E140" s="8" t="s">
        <v>705</v>
      </c>
      <c r="F140" s="9" t="s">
        <v>765</v>
      </c>
      <c r="G140" s="9" t="s">
        <v>713</v>
      </c>
      <c r="H140" s="9" t="s">
        <v>714</v>
      </c>
      <c r="I140" s="9" t="s">
        <v>66</v>
      </c>
      <c r="J140" s="10" t="s">
        <v>241</v>
      </c>
      <c r="K140" s="15" t="str">
        <f>VLOOKUP(J140,DADOS!$A$3:$B$105,2,FALSE)</f>
        <v>EE-GI-221-048</v>
      </c>
      <c r="L140" s="15" t="s">
        <v>709</v>
      </c>
      <c r="M140" s="18" t="b">
        <v>1</v>
      </c>
      <c r="N140" s="17" t="b">
        <v>1</v>
      </c>
      <c r="O140" s="17" t="b">
        <v>1</v>
      </c>
      <c r="P140" s="17" t="b">
        <v>1</v>
      </c>
      <c r="Q140" s="17" t="b">
        <v>1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0</v>
      </c>
      <c r="W140" s="11" t="s">
        <v>619</v>
      </c>
      <c r="X140" s="12" t="s">
        <v>14</v>
      </c>
      <c r="Y140" s="12" t="s">
        <v>14</v>
      </c>
      <c r="Z140" s="13" t="s">
        <v>322</v>
      </c>
    </row>
    <row r="141" spans="1:28" ht="19.899999999999999" customHeight="1" x14ac:dyDescent="0.25">
      <c r="A141" s="6">
        <v>45972</v>
      </c>
      <c r="B141" s="7" t="s">
        <v>394</v>
      </c>
      <c r="C141" s="8" t="s">
        <v>759</v>
      </c>
      <c r="D141" s="8" t="s">
        <v>760</v>
      </c>
      <c r="E141" s="8" t="s">
        <v>705</v>
      </c>
      <c r="F141" s="9" t="s">
        <v>761</v>
      </c>
      <c r="G141" s="9" t="s">
        <v>762</v>
      </c>
      <c r="H141" s="9" t="s">
        <v>763</v>
      </c>
      <c r="I141" s="9" t="s">
        <v>66</v>
      </c>
      <c r="J141" s="10" t="s">
        <v>241</v>
      </c>
      <c r="K141" s="15" t="str">
        <f>VLOOKUP(J141,DADOS!$A$3:$B$105,2,FALSE)</f>
        <v>EE-GI-221-048</v>
      </c>
      <c r="L141" s="15" t="s">
        <v>709</v>
      </c>
      <c r="M141" s="18" t="b">
        <v>1</v>
      </c>
      <c r="N141" s="17" t="b">
        <v>1</v>
      </c>
      <c r="O141" s="17" t="b">
        <v>1</v>
      </c>
      <c r="P141" s="17" t="b">
        <v>1</v>
      </c>
      <c r="Q141" s="17" t="b">
        <v>1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0</v>
      </c>
      <c r="W141" s="11" t="s">
        <v>760</v>
      </c>
      <c r="X141" s="12" t="s">
        <v>14</v>
      </c>
      <c r="Y141" s="12" t="s">
        <v>14</v>
      </c>
      <c r="Z141" s="13" t="s">
        <v>322</v>
      </c>
    </row>
    <row r="142" spans="1:28" ht="19.899999999999999" customHeight="1" x14ac:dyDescent="0.25">
      <c r="A142" s="6">
        <v>45972</v>
      </c>
      <c r="B142" s="7" t="s">
        <v>606</v>
      </c>
      <c r="C142" s="8" t="s">
        <v>613</v>
      </c>
      <c r="D142" s="8" t="s">
        <v>619</v>
      </c>
      <c r="E142" s="8" t="s">
        <v>609</v>
      </c>
      <c r="F142" s="9" t="s">
        <v>620</v>
      </c>
      <c r="G142" s="9" t="s">
        <v>611</v>
      </c>
      <c r="H142" s="9" t="s">
        <v>621</v>
      </c>
      <c r="I142" s="9" t="s">
        <v>66</v>
      </c>
      <c r="J142" s="10" t="s">
        <v>241</v>
      </c>
      <c r="K142" s="15" t="str">
        <f>VLOOKUP(J142,DADOS!$A$3:$B$105,2,FALSE)</f>
        <v>EE-GI-221-048</v>
      </c>
      <c r="L142" s="15" t="s">
        <v>401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1</v>
      </c>
      <c r="R142" s="17" t="b">
        <v>0</v>
      </c>
      <c r="S142" s="17" t="b">
        <v>0</v>
      </c>
      <c r="T142" s="17" t="b">
        <v>0</v>
      </c>
      <c r="U142" s="17" t="b">
        <v>0</v>
      </c>
      <c r="V142" s="17" t="b">
        <v>0</v>
      </c>
      <c r="W142" s="11" t="s">
        <v>619</v>
      </c>
      <c r="X142" s="12" t="s">
        <v>14</v>
      </c>
      <c r="Y142" s="12" t="s">
        <v>14</v>
      </c>
      <c r="Z142" s="13" t="s">
        <v>280</v>
      </c>
    </row>
    <row r="143" spans="1:28" ht="19.899999999999999" customHeight="1" x14ac:dyDescent="0.25">
      <c r="A143" s="6">
        <v>45972</v>
      </c>
      <c r="B143" s="7" t="s">
        <v>806</v>
      </c>
      <c r="C143" s="8" t="s">
        <v>808</v>
      </c>
      <c r="D143" s="8" t="s">
        <v>809</v>
      </c>
      <c r="E143" s="8" t="s">
        <v>810</v>
      </c>
      <c r="F143" s="9" t="s">
        <v>811</v>
      </c>
      <c r="G143" s="9" t="s">
        <v>813</v>
      </c>
      <c r="H143" s="9" t="s">
        <v>815</v>
      </c>
      <c r="I143" s="9" t="s">
        <v>66</v>
      </c>
      <c r="J143" s="10" t="s">
        <v>15</v>
      </c>
      <c r="K143" s="15" t="str">
        <f>VLOOKUP(J143,DADOS!$A$3:$B$105,2,FALSE)</f>
        <v>EE-GI-001-002</v>
      </c>
      <c r="L143" s="15" t="s">
        <v>321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0</v>
      </c>
      <c r="S143" s="17" t="b">
        <v>0</v>
      </c>
      <c r="T143" s="17" t="b">
        <v>0</v>
      </c>
      <c r="U143" s="17" t="b">
        <v>0</v>
      </c>
      <c r="V143" s="17" t="b">
        <v>0</v>
      </c>
      <c r="W143" s="11" t="s">
        <v>265</v>
      </c>
      <c r="X143" s="12" t="s">
        <v>14</v>
      </c>
      <c r="Y143" s="12" t="s">
        <v>14</v>
      </c>
      <c r="Z143" s="13" t="s">
        <v>322</v>
      </c>
    </row>
    <row r="144" spans="1:28" ht="19.899999999999999" customHeight="1" x14ac:dyDescent="0.25">
      <c r="A144" s="6">
        <v>45972</v>
      </c>
      <c r="B144" s="7" t="s">
        <v>1021</v>
      </c>
      <c r="C144" s="8" t="s">
        <v>1022</v>
      </c>
      <c r="D144" s="8" t="s">
        <v>809</v>
      </c>
      <c r="E144" s="8" t="s">
        <v>1023</v>
      </c>
      <c r="F144" s="9" t="s">
        <v>1024</v>
      </c>
      <c r="G144" s="9" t="s">
        <v>1025</v>
      </c>
      <c r="H144" s="9" t="s">
        <v>1026</v>
      </c>
      <c r="I144" s="9" t="s">
        <v>65</v>
      </c>
      <c r="J144" s="10" t="s">
        <v>16</v>
      </c>
      <c r="K144" s="15" t="str">
        <f>VLOOKUP(J144,DADOS!$A$3:$B$105,2,FALSE)</f>
        <v>EE-GI-001-003</v>
      </c>
      <c r="L144" s="15" t="s">
        <v>321</v>
      </c>
      <c r="M144" s="18" t="b">
        <v>1</v>
      </c>
      <c r="N144" s="17" t="b">
        <v>1</v>
      </c>
      <c r="O144" s="17" t="b">
        <v>1</v>
      </c>
      <c r="P144" s="17" t="b">
        <v>1</v>
      </c>
      <c r="Q144" s="17" t="b">
        <v>0</v>
      </c>
      <c r="R144" s="17" t="b">
        <v>0</v>
      </c>
      <c r="S144" s="17" t="b">
        <v>0</v>
      </c>
      <c r="T144" s="17" t="b">
        <v>1</v>
      </c>
      <c r="U144" s="17" t="b">
        <v>1</v>
      </c>
      <c r="V144" s="17" t="b">
        <v>1</v>
      </c>
      <c r="W144" s="11" t="s">
        <v>352</v>
      </c>
      <c r="X144" s="12" t="s">
        <v>352</v>
      </c>
      <c r="Y144" s="12" t="s">
        <v>1027</v>
      </c>
      <c r="Z144" s="13" t="s">
        <v>322</v>
      </c>
    </row>
    <row r="145" spans="1:26" ht="19.899999999999999" customHeight="1" x14ac:dyDescent="0.25">
      <c r="A145" s="6">
        <v>45972</v>
      </c>
      <c r="B145" s="7" t="s">
        <v>807</v>
      </c>
      <c r="C145" s="8" t="s">
        <v>808</v>
      </c>
      <c r="D145" s="8" t="s">
        <v>414</v>
      </c>
      <c r="E145" s="8" t="s">
        <v>810</v>
      </c>
      <c r="F145" s="9" t="s">
        <v>812</v>
      </c>
      <c r="G145" s="9" t="s">
        <v>814</v>
      </c>
      <c r="H145" s="9" t="s">
        <v>816</v>
      </c>
      <c r="I145" s="9" t="s">
        <v>66</v>
      </c>
      <c r="J145" s="10" t="s">
        <v>15</v>
      </c>
      <c r="K145" s="15" t="str">
        <f>VLOOKUP(J145,DADOS!$A$3:$B$105,2,FALSE)</f>
        <v>EE-GI-001-002</v>
      </c>
      <c r="L145" s="15" t="s">
        <v>321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0</v>
      </c>
      <c r="S145" s="17" t="b">
        <v>0</v>
      </c>
      <c r="T145" s="17" t="b">
        <v>0</v>
      </c>
      <c r="U145" s="17" t="b">
        <v>0</v>
      </c>
      <c r="V145" s="17" t="b">
        <v>0</v>
      </c>
      <c r="W145" s="11" t="s">
        <v>352</v>
      </c>
      <c r="X145" s="12" t="s">
        <v>14</v>
      </c>
      <c r="Y145" s="12" t="s">
        <v>14</v>
      </c>
      <c r="Z145" s="13" t="s">
        <v>322</v>
      </c>
    </row>
    <row r="146" spans="1:26" ht="19.899999999999999" customHeight="1" x14ac:dyDescent="0.25">
      <c r="A146" s="6">
        <v>45972</v>
      </c>
      <c r="B146" s="7" t="s">
        <v>606</v>
      </c>
      <c r="C146" s="8" t="s">
        <v>613</v>
      </c>
      <c r="D146" s="8" t="s">
        <v>622</v>
      </c>
      <c r="E146" s="8" t="s">
        <v>609</v>
      </c>
      <c r="F146" s="9" t="s">
        <v>623</v>
      </c>
      <c r="G146" s="9" t="s">
        <v>611</v>
      </c>
      <c r="H146" s="9" t="s">
        <v>624</v>
      </c>
      <c r="I146" s="9" t="s">
        <v>66</v>
      </c>
      <c r="J146" s="10" t="s">
        <v>241</v>
      </c>
      <c r="K146" s="15" t="str">
        <f>VLOOKUP(J146,DADOS!$A$3:$B$105,2,FALSE)</f>
        <v>EE-GI-221-048</v>
      </c>
      <c r="L146" s="15" t="s">
        <v>401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1</v>
      </c>
      <c r="R146" s="17" t="b">
        <v>0</v>
      </c>
      <c r="S146" s="17" t="b">
        <v>0</v>
      </c>
      <c r="T146" s="17" t="b">
        <v>0</v>
      </c>
      <c r="U146" s="17" t="b">
        <v>0</v>
      </c>
      <c r="V146" s="17" t="b">
        <v>0</v>
      </c>
      <c r="W146" s="11" t="s">
        <v>625</v>
      </c>
      <c r="X146" s="12" t="s">
        <v>14</v>
      </c>
      <c r="Y146" s="12" t="s">
        <v>14</v>
      </c>
      <c r="Z146" s="13" t="s">
        <v>280</v>
      </c>
    </row>
    <row r="147" spans="1:26" ht="19.899999999999999" customHeight="1" x14ac:dyDescent="0.25">
      <c r="A147" s="6">
        <v>45972</v>
      </c>
      <c r="B147" s="7" t="s">
        <v>727</v>
      </c>
      <c r="C147" s="8" t="s">
        <v>1013</v>
      </c>
      <c r="D147" s="8" t="s">
        <v>1014</v>
      </c>
      <c r="E147" s="8" t="s">
        <v>729</v>
      </c>
      <c r="F147" s="9" t="s">
        <v>1015</v>
      </c>
      <c r="G147" s="9" t="s">
        <v>1016</v>
      </c>
      <c r="H147" s="9" t="s">
        <v>14</v>
      </c>
      <c r="I147" s="9" t="s">
        <v>66</v>
      </c>
      <c r="J147" s="10" t="s">
        <v>174</v>
      </c>
      <c r="K147" s="15" t="str">
        <f>VLOOKUP(J147,DADOS!$A$3:$B$105,2,FALSE)</f>
        <v>EE-GI-001-007</v>
      </c>
      <c r="L147" s="15" t="s">
        <v>304</v>
      </c>
      <c r="M147" s="18" t="b">
        <v>0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1</v>
      </c>
      <c r="S147" s="17" t="b">
        <v>0</v>
      </c>
      <c r="T147" s="17" t="b">
        <v>0</v>
      </c>
      <c r="U147" s="17" t="b">
        <v>0</v>
      </c>
      <c r="V147" s="17" t="b">
        <v>1</v>
      </c>
      <c r="W147" s="11" t="s">
        <v>1014</v>
      </c>
      <c r="X147" s="12" t="s">
        <v>14</v>
      </c>
      <c r="Y147" s="12" t="s">
        <v>14</v>
      </c>
      <c r="Z147" s="13" t="s">
        <v>280</v>
      </c>
    </row>
    <row r="148" spans="1:26" ht="19.899999999999999" customHeight="1" x14ac:dyDescent="0.25">
      <c r="A148" s="6">
        <v>45972</v>
      </c>
      <c r="B148" s="7" t="s">
        <v>1187</v>
      </c>
      <c r="C148" s="8" t="s">
        <v>1188</v>
      </c>
      <c r="D148" s="8" t="s">
        <v>309</v>
      </c>
      <c r="E148" s="8" t="s">
        <v>1189</v>
      </c>
      <c r="F148" s="9" t="s">
        <v>1190</v>
      </c>
      <c r="G148" s="9" t="s">
        <v>1191</v>
      </c>
      <c r="H148" s="9" t="s">
        <v>1191</v>
      </c>
      <c r="I148" s="9" t="s">
        <v>69</v>
      </c>
      <c r="J148" s="10" t="s">
        <v>24</v>
      </c>
      <c r="K148" s="15" t="str">
        <f>VLOOKUP(J148,DADOS!$A$3:$B$105,2,FALSE)</f>
        <v>EE-GI-021-005</v>
      </c>
      <c r="L148" s="15" t="s">
        <v>332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0</v>
      </c>
      <c r="S148" s="17" t="b">
        <v>0</v>
      </c>
      <c r="T148" s="17" t="b">
        <v>0</v>
      </c>
      <c r="U148" s="17" t="b">
        <v>0</v>
      </c>
      <c r="V148" s="17" t="b">
        <v>1</v>
      </c>
      <c r="W148" s="11" t="s">
        <v>309</v>
      </c>
      <c r="X148" s="12" t="s">
        <v>14</v>
      </c>
      <c r="Y148" s="12" t="s">
        <v>14</v>
      </c>
      <c r="Z148" s="13" t="s">
        <v>280</v>
      </c>
    </row>
    <row r="149" spans="1:26" ht="19.899999999999999" customHeight="1" x14ac:dyDescent="0.25">
      <c r="A149" s="6">
        <v>45972</v>
      </c>
      <c r="B149" s="7" t="s">
        <v>307</v>
      </c>
      <c r="C149" s="8" t="s">
        <v>1226</v>
      </c>
      <c r="D149" s="8" t="s">
        <v>309</v>
      </c>
      <c r="E149" s="8" t="s">
        <v>1227</v>
      </c>
      <c r="F149" s="9" t="s">
        <v>1069</v>
      </c>
      <c r="G149" s="9" t="s">
        <v>1228</v>
      </c>
      <c r="H149" s="9" t="s">
        <v>1229</v>
      </c>
      <c r="I149" s="9" t="s">
        <v>69</v>
      </c>
      <c r="J149" s="10" t="s">
        <v>185</v>
      </c>
      <c r="K149" s="15" t="str">
        <f>VLOOKUP(J149,DADOS!$A$3:$B$105,2,FALSE)</f>
        <v>EE-GI-001-031</v>
      </c>
      <c r="L149" s="15" t="s">
        <v>332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0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309</v>
      </c>
      <c r="X149" s="12" t="s">
        <v>14</v>
      </c>
      <c r="Y149" s="12" t="s">
        <v>14</v>
      </c>
      <c r="Z149" s="13" t="s">
        <v>280</v>
      </c>
    </row>
    <row r="150" spans="1:26" ht="19.899999999999999" customHeight="1" x14ac:dyDescent="0.25">
      <c r="A150" s="6">
        <v>45972</v>
      </c>
      <c r="B150" s="7" t="s">
        <v>1947</v>
      </c>
      <c r="C150" s="8" t="s">
        <v>1948</v>
      </c>
      <c r="D150" s="8" t="s">
        <v>352</v>
      </c>
      <c r="E150" s="8" t="s">
        <v>1949</v>
      </c>
      <c r="F150" s="9" t="s">
        <v>1950</v>
      </c>
      <c r="G150" s="9" t="s">
        <v>14</v>
      </c>
      <c r="H150" s="9" t="s">
        <v>1951</v>
      </c>
      <c r="I150" s="9" t="s">
        <v>69</v>
      </c>
      <c r="J150" s="10" t="s">
        <v>213</v>
      </c>
      <c r="K150" s="15" t="str">
        <f>VLOOKUP(J150,DADOS!$A$3:$B$105,2,FALSE)</f>
        <v>EE-GI-021-012</v>
      </c>
      <c r="L150" s="15" t="s">
        <v>1952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0</v>
      </c>
      <c r="S150" s="17" t="b">
        <v>0</v>
      </c>
      <c r="T150" s="17" t="b">
        <v>0</v>
      </c>
      <c r="U150" s="17" t="b">
        <v>0</v>
      </c>
      <c r="V150" s="17" t="b">
        <v>1</v>
      </c>
      <c r="W150" s="11" t="s">
        <v>352</v>
      </c>
      <c r="X150" s="12" t="s">
        <v>14</v>
      </c>
      <c r="Y150" s="12" t="s">
        <v>14</v>
      </c>
      <c r="Z150" s="13" t="s">
        <v>271</v>
      </c>
    </row>
    <row r="151" spans="1:26" ht="19.899999999999999" customHeight="1" x14ac:dyDescent="0.25">
      <c r="A151" s="6">
        <v>45972</v>
      </c>
      <c r="B151" s="7" t="s">
        <v>402</v>
      </c>
      <c r="C151" s="8" t="s">
        <v>578</v>
      </c>
      <c r="D151" s="8" t="s">
        <v>298</v>
      </c>
      <c r="E151" s="8" t="s">
        <v>579</v>
      </c>
      <c r="F151" s="9" t="s">
        <v>580</v>
      </c>
      <c r="G151" s="9" t="s">
        <v>581</v>
      </c>
      <c r="H151" s="34"/>
      <c r="I151" s="9" t="s">
        <v>70</v>
      </c>
      <c r="J151" s="10" t="s">
        <v>186</v>
      </c>
      <c r="K151" s="15" t="str">
        <f>VLOOKUP(J151,DADOS!$A$3:$B$105,2,FALSE)</f>
        <v>EE-GI-001-008</v>
      </c>
      <c r="L151" s="15" t="s">
        <v>332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0</v>
      </c>
      <c r="S151" s="17" t="b">
        <v>0</v>
      </c>
      <c r="T151" s="17" t="b">
        <v>1</v>
      </c>
      <c r="U151" s="17" t="b">
        <v>1</v>
      </c>
      <c r="V151" s="17" t="b">
        <v>1</v>
      </c>
      <c r="W151" s="11" t="s">
        <v>298</v>
      </c>
      <c r="X151" s="12" t="s">
        <v>14</v>
      </c>
      <c r="Y151" s="12" t="s">
        <v>14</v>
      </c>
      <c r="Z151" s="13" t="s">
        <v>280</v>
      </c>
    </row>
    <row r="152" spans="1:26" ht="19.899999999999999" customHeight="1" x14ac:dyDescent="0.25">
      <c r="A152" s="6">
        <v>45972</v>
      </c>
      <c r="B152" s="7" t="s">
        <v>402</v>
      </c>
      <c r="C152" s="8" t="s">
        <v>582</v>
      </c>
      <c r="D152" s="8" t="s">
        <v>473</v>
      </c>
      <c r="E152" s="8" t="s">
        <v>579</v>
      </c>
      <c r="F152" s="9" t="s">
        <v>583</v>
      </c>
      <c r="G152" s="9" t="s">
        <v>584</v>
      </c>
      <c r="H152" s="34"/>
      <c r="I152" s="9" t="s">
        <v>65</v>
      </c>
      <c r="J152" s="10" t="s">
        <v>17</v>
      </c>
      <c r="K152" s="15" t="str">
        <f>VLOOKUP(J152,DADOS!$A$3:$B$105,2,FALSE)</f>
        <v>EE-GI-001-001</v>
      </c>
      <c r="L152" s="15" t="s">
        <v>332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1</v>
      </c>
      <c r="U152" s="17" t="b">
        <v>1</v>
      </c>
      <c r="V152" s="17" t="b">
        <v>1</v>
      </c>
      <c r="W152" s="11" t="s">
        <v>473</v>
      </c>
      <c r="X152" s="12" t="s">
        <v>14</v>
      </c>
      <c r="Y152" s="12" t="s">
        <v>14</v>
      </c>
      <c r="Z152" s="13" t="s">
        <v>280</v>
      </c>
    </row>
    <row r="153" spans="1:26" ht="19.899999999999999" customHeight="1" x14ac:dyDescent="0.25">
      <c r="A153" s="6">
        <v>45972</v>
      </c>
      <c r="B153" s="7" t="s">
        <v>402</v>
      </c>
      <c r="C153" s="8" t="s">
        <v>574</v>
      </c>
      <c r="D153" s="8" t="s">
        <v>290</v>
      </c>
      <c r="E153" s="8" t="s">
        <v>575</v>
      </c>
      <c r="F153" s="9" t="s">
        <v>576</v>
      </c>
      <c r="G153" s="9" t="s">
        <v>577</v>
      </c>
      <c r="H153" s="34"/>
      <c r="I153" s="9" t="s">
        <v>65</v>
      </c>
      <c r="J153" s="10" t="s">
        <v>17</v>
      </c>
      <c r="K153" s="15" t="str">
        <f>VLOOKUP(J153,DADOS!$A$3:$B$105,2,FALSE)</f>
        <v>EE-GI-001-001</v>
      </c>
      <c r="L153" s="15" t="s">
        <v>332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0</v>
      </c>
      <c r="S153" s="17" t="b">
        <v>0</v>
      </c>
      <c r="T153" s="17" t="b">
        <v>1</v>
      </c>
      <c r="U153" s="17" t="b">
        <v>1</v>
      </c>
      <c r="V153" s="17" t="b">
        <v>1</v>
      </c>
      <c r="W153" s="11" t="s">
        <v>290</v>
      </c>
      <c r="X153" s="12" t="s">
        <v>14</v>
      </c>
      <c r="Y153" s="12" t="s">
        <v>14</v>
      </c>
      <c r="Z153" s="13" t="s">
        <v>280</v>
      </c>
    </row>
    <row r="154" spans="1:26" ht="19.899999999999999" customHeight="1" x14ac:dyDescent="0.25">
      <c r="A154" s="6">
        <v>45972</v>
      </c>
      <c r="B154" s="7" t="s">
        <v>402</v>
      </c>
      <c r="C154" s="8" t="s">
        <v>594</v>
      </c>
      <c r="D154" s="8" t="s">
        <v>265</v>
      </c>
      <c r="E154" s="8" t="s">
        <v>575</v>
      </c>
      <c r="F154" s="9" t="s">
        <v>597</v>
      </c>
      <c r="G154" s="9" t="s">
        <v>602</v>
      </c>
      <c r="H154" s="34"/>
      <c r="I154" s="9" t="s">
        <v>66</v>
      </c>
      <c r="J154" s="10" t="s">
        <v>186</v>
      </c>
      <c r="K154" s="15" t="str">
        <f>VLOOKUP(J154,DADOS!$A$3:$B$105,2,FALSE)</f>
        <v>EE-GI-001-008</v>
      </c>
      <c r="L154" s="15" t="s">
        <v>332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1</v>
      </c>
      <c r="W154" s="11" t="s">
        <v>265</v>
      </c>
      <c r="X154" s="12" t="s">
        <v>14</v>
      </c>
      <c r="Y154" s="12" t="s">
        <v>14</v>
      </c>
      <c r="Z154" s="13" t="s">
        <v>280</v>
      </c>
    </row>
    <row r="155" spans="1:26" ht="19.899999999999999" customHeight="1" x14ac:dyDescent="0.25">
      <c r="A155" s="6">
        <v>45972</v>
      </c>
      <c r="B155" s="7" t="s">
        <v>402</v>
      </c>
      <c r="C155" s="8" t="s">
        <v>594</v>
      </c>
      <c r="D155" s="8" t="s">
        <v>527</v>
      </c>
      <c r="E155" s="8" t="s">
        <v>575</v>
      </c>
      <c r="F155" s="9" t="s">
        <v>600</v>
      </c>
      <c r="G155" s="9" t="s">
        <v>602</v>
      </c>
      <c r="H155" s="34"/>
      <c r="I155" s="9" t="s">
        <v>66</v>
      </c>
      <c r="J155" s="10" t="s">
        <v>186</v>
      </c>
      <c r="K155" s="15" t="str">
        <f>VLOOKUP(J155,DADOS!$A$3:$B$105,2,FALSE)</f>
        <v>EE-GI-001-008</v>
      </c>
      <c r="L155" s="15" t="s">
        <v>332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0</v>
      </c>
      <c r="S155" s="17" t="b">
        <v>0</v>
      </c>
      <c r="T155" s="17" t="b">
        <v>0</v>
      </c>
      <c r="U155" s="17" t="b">
        <v>0</v>
      </c>
      <c r="V155" s="17" t="b">
        <v>1</v>
      </c>
      <c r="W155" s="11" t="s">
        <v>527</v>
      </c>
      <c r="X155" s="12" t="s">
        <v>14</v>
      </c>
      <c r="Y155" s="12" t="s">
        <v>14</v>
      </c>
      <c r="Z155" s="13" t="s">
        <v>280</v>
      </c>
    </row>
    <row r="156" spans="1:26" ht="19.899999999999999" customHeight="1" x14ac:dyDescent="0.25">
      <c r="A156" s="6">
        <v>45972</v>
      </c>
      <c r="B156" s="7" t="s">
        <v>402</v>
      </c>
      <c r="C156" s="8" t="s">
        <v>594</v>
      </c>
      <c r="D156" s="8" t="s">
        <v>527</v>
      </c>
      <c r="E156" s="8" t="s">
        <v>575</v>
      </c>
      <c r="F156" s="9" t="s">
        <v>601</v>
      </c>
      <c r="G156" s="9" t="s">
        <v>602</v>
      </c>
      <c r="H156" s="34"/>
      <c r="I156" s="9" t="s">
        <v>66</v>
      </c>
      <c r="J156" s="10" t="s">
        <v>186</v>
      </c>
      <c r="K156" s="15" t="str">
        <f>VLOOKUP(J156,DADOS!$A$3:$B$105,2,FALSE)</f>
        <v>EE-GI-001-008</v>
      </c>
      <c r="L156" s="15" t="s">
        <v>332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1</v>
      </c>
      <c r="W156" s="11" t="s">
        <v>527</v>
      </c>
      <c r="X156" s="12" t="s">
        <v>14</v>
      </c>
      <c r="Y156" s="12" t="s">
        <v>14</v>
      </c>
      <c r="Z156" s="13" t="s">
        <v>280</v>
      </c>
    </row>
    <row r="157" spans="1:26" ht="19.899999999999999" customHeight="1" x14ac:dyDescent="0.25">
      <c r="A157" s="6">
        <v>45972</v>
      </c>
      <c r="B157" s="7" t="s">
        <v>1418</v>
      </c>
      <c r="C157" s="8" t="s">
        <v>2066</v>
      </c>
      <c r="D157" s="8" t="s">
        <v>290</v>
      </c>
      <c r="E157" s="8" t="s">
        <v>2067</v>
      </c>
      <c r="F157" s="9" t="s">
        <v>2068</v>
      </c>
      <c r="G157" s="9" t="s">
        <v>14</v>
      </c>
      <c r="H157" s="9" t="s">
        <v>14</v>
      </c>
      <c r="I157" s="9" t="s">
        <v>70</v>
      </c>
      <c r="J157" s="10" t="s">
        <v>255</v>
      </c>
      <c r="K157" s="15"/>
      <c r="L157" s="15"/>
      <c r="M157" s="18" t="b">
        <v>0</v>
      </c>
      <c r="N157" s="17" t="b">
        <v>1</v>
      </c>
      <c r="O157" s="17" t="b">
        <v>0</v>
      </c>
      <c r="P157" s="17" t="b">
        <v>1</v>
      </c>
      <c r="Q157" s="17" t="b">
        <v>0</v>
      </c>
      <c r="R157" s="17" t="b">
        <v>1</v>
      </c>
      <c r="S157" s="17" t="b">
        <v>0</v>
      </c>
      <c r="T157" s="17" t="b">
        <v>0</v>
      </c>
      <c r="U157" s="17" t="b">
        <v>0</v>
      </c>
      <c r="V157" s="17" t="b">
        <v>1</v>
      </c>
      <c r="W157" s="11" t="s">
        <v>290</v>
      </c>
      <c r="X157" s="12" t="s">
        <v>14</v>
      </c>
      <c r="Y157" s="12" t="s">
        <v>14</v>
      </c>
      <c r="Z157" s="13" t="s">
        <v>280</v>
      </c>
    </row>
    <row r="158" spans="1:26" ht="19.899999999999999" customHeight="1" x14ac:dyDescent="0.25">
      <c r="A158" s="6">
        <v>45973</v>
      </c>
      <c r="B158" s="7" t="s">
        <v>1871</v>
      </c>
      <c r="C158" s="8" t="s">
        <v>1872</v>
      </c>
      <c r="D158" s="8" t="s">
        <v>473</v>
      </c>
      <c r="E158" s="8" t="s">
        <v>1873</v>
      </c>
      <c r="F158" s="9" t="s">
        <v>1874</v>
      </c>
      <c r="G158" s="9" t="s">
        <v>1875</v>
      </c>
      <c r="H158" s="9" t="s">
        <v>1876</v>
      </c>
      <c r="I158" s="9" t="s">
        <v>66</v>
      </c>
      <c r="J158" s="10" t="s">
        <v>230</v>
      </c>
      <c r="K158" s="15" t="str">
        <f>VLOOKUP(J158,DADOS!$A$3:$B$105,2,FALSE)</f>
        <v>EE-GI-026-001</v>
      </c>
      <c r="L158" s="15" t="s">
        <v>1877</v>
      </c>
      <c r="M158" s="18" t="b">
        <v>1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1</v>
      </c>
      <c r="T158" s="17" t="b">
        <v>0</v>
      </c>
      <c r="U158" s="17" t="b">
        <v>0</v>
      </c>
      <c r="V158" s="17" t="b">
        <v>0</v>
      </c>
      <c r="W158" s="11" t="s">
        <v>473</v>
      </c>
      <c r="X158" s="12" t="s">
        <v>14</v>
      </c>
      <c r="Y158" s="12" t="s">
        <v>14</v>
      </c>
      <c r="Z158" s="13" t="s">
        <v>280</v>
      </c>
    </row>
    <row r="159" spans="1:26" ht="19.899999999999999" customHeight="1" x14ac:dyDescent="0.25">
      <c r="A159" s="6">
        <v>45973</v>
      </c>
      <c r="B159" s="7" t="s">
        <v>1871</v>
      </c>
      <c r="C159" s="8" t="s">
        <v>1872</v>
      </c>
      <c r="D159" s="8" t="s">
        <v>352</v>
      </c>
      <c r="E159" s="8" t="s">
        <v>1873</v>
      </c>
      <c r="F159" s="9" t="s">
        <v>1878</v>
      </c>
      <c r="G159" s="9" t="s">
        <v>1880</v>
      </c>
      <c r="H159" s="9" t="s">
        <v>1876</v>
      </c>
      <c r="I159" s="9" t="s">
        <v>66</v>
      </c>
      <c r="J159" s="10" t="s">
        <v>230</v>
      </c>
      <c r="K159" s="15" t="str">
        <f>VLOOKUP(J159,DADOS!$A$3:$B$105,2,FALSE)</f>
        <v>EE-GI-026-001</v>
      </c>
      <c r="L159" s="15" t="s">
        <v>1877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0</v>
      </c>
      <c r="S159" s="17" t="b">
        <v>1</v>
      </c>
      <c r="T159" s="17" t="b">
        <v>0</v>
      </c>
      <c r="U159" s="17" t="b">
        <v>0</v>
      </c>
      <c r="V159" s="17" t="b">
        <v>0</v>
      </c>
      <c r="W159" s="11" t="s">
        <v>352</v>
      </c>
      <c r="X159" s="12" t="s">
        <v>14</v>
      </c>
      <c r="Y159" s="12" t="s">
        <v>14</v>
      </c>
      <c r="Z159" s="13" t="s">
        <v>280</v>
      </c>
    </row>
    <row r="160" spans="1:26" ht="19.899999999999999" customHeight="1" x14ac:dyDescent="0.25">
      <c r="A160" s="6">
        <v>45973</v>
      </c>
      <c r="B160" s="7" t="s">
        <v>1871</v>
      </c>
      <c r="C160" s="8" t="s">
        <v>1872</v>
      </c>
      <c r="D160" s="8" t="s">
        <v>352</v>
      </c>
      <c r="E160" s="8" t="s">
        <v>1873</v>
      </c>
      <c r="F160" s="9" t="s">
        <v>1879</v>
      </c>
      <c r="G160" s="9" t="s">
        <v>1880</v>
      </c>
      <c r="H160" s="9" t="s">
        <v>1876</v>
      </c>
      <c r="I160" s="9" t="s">
        <v>66</v>
      </c>
      <c r="J160" s="10" t="s">
        <v>230</v>
      </c>
      <c r="K160" s="15" t="str">
        <f>VLOOKUP(J160,DADOS!$A$3:$B$105,2,FALSE)</f>
        <v>EE-GI-026-001</v>
      </c>
      <c r="L160" s="15" t="s">
        <v>1877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0</v>
      </c>
      <c r="S160" s="17" t="b">
        <v>1</v>
      </c>
      <c r="T160" s="17" t="b">
        <v>0</v>
      </c>
      <c r="U160" s="17" t="b">
        <v>0</v>
      </c>
      <c r="V160" s="17" t="b">
        <v>0</v>
      </c>
      <c r="W160" s="11" t="s">
        <v>352</v>
      </c>
      <c r="X160" s="12" t="s">
        <v>14</v>
      </c>
      <c r="Y160" s="12" t="s">
        <v>14</v>
      </c>
      <c r="Z160" s="13" t="s">
        <v>280</v>
      </c>
    </row>
    <row r="161" spans="1:26" ht="19.899999999999999" customHeight="1" x14ac:dyDescent="0.25">
      <c r="A161" s="6">
        <v>45973</v>
      </c>
      <c r="B161" s="7" t="s">
        <v>1871</v>
      </c>
      <c r="C161" s="8" t="s">
        <v>1888</v>
      </c>
      <c r="D161" s="8" t="s">
        <v>327</v>
      </c>
      <c r="E161" s="8" t="s">
        <v>1873</v>
      </c>
      <c r="F161" s="9" t="s">
        <v>1889</v>
      </c>
      <c r="G161" s="9" t="s">
        <v>1303</v>
      </c>
      <c r="H161" s="9" t="s">
        <v>1892</v>
      </c>
      <c r="I161" s="9" t="s">
        <v>67</v>
      </c>
      <c r="J161" s="10" t="s">
        <v>230</v>
      </c>
      <c r="K161" s="15" t="str">
        <f>VLOOKUP(J161,DADOS!$A$3:$B$105,2,FALSE)</f>
        <v>EE-GI-026-001</v>
      </c>
      <c r="L161" s="15" t="s">
        <v>1877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0</v>
      </c>
      <c r="S161" s="17" t="b">
        <v>1</v>
      </c>
      <c r="T161" s="17" t="b">
        <v>0</v>
      </c>
      <c r="U161" s="17" t="b">
        <v>0</v>
      </c>
      <c r="V161" s="17" t="b">
        <v>0</v>
      </c>
      <c r="W161" s="11" t="s">
        <v>327</v>
      </c>
      <c r="X161" s="12" t="s">
        <v>14</v>
      </c>
      <c r="Y161" s="12" t="s">
        <v>14</v>
      </c>
      <c r="Z161" s="13" t="s">
        <v>280</v>
      </c>
    </row>
    <row r="162" spans="1:26" ht="19.899999999999999" customHeight="1" x14ac:dyDescent="0.25">
      <c r="A162" s="6">
        <v>45973</v>
      </c>
      <c r="B162" s="7" t="s">
        <v>1871</v>
      </c>
      <c r="C162" s="8" t="s">
        <v>1888</v>
      </c>
      <c r="D162" s="8" t="s">
        <v>518</v>
      </c>
      <c r="E162" s="8" t="s">
        <v>1873</v>
      </c>
      <c r="F162" s="9" t="s">
        <v>1890</v>
      </c>
      <c r="G162" s="9" t="s">
        <v>1303</v>
      </c>
      <c r="H162" s="9" t="s">
        <v>1892</v>
      </c>
      <c r="I162" s="9" t="s">
        <v>67</v>
      </c>
      <c r="J162" s="10" t="s">
        <v>230</v>
      </c>
      <c r="K162" s="15" t="str">
        <f>VLOOKUP(J162,DADOS!$A$3:$B$105,2,FALSE)</f>
        <v>EE-GI-026-001</v>
      </c>
      <c r="L162" s="15" t="s">
        <v>1877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0</v>
      </c>
      <c r="S162" s="17" t="b">
        <v>1</v>
      </c>
      <c r="T162" s="17" t="b">
        <v>0</v>
      </c>
      <c r="U162" s="17" t="b">
        <v>0</v>
      </c>
      <c r="V162" s="17" t="b">
        <v>0</v>
      </c>
      <c r="W162" s="11" t="s">
        <v>518</v>
      </c>
      <c r="X162" s="12" t="s">
        <v>14</v>
      </c>
      <c r="Y162" s="12" t="s">
        <v>14</v>
      </c>
      <c r="Z162" s="13" t="s">
        <v>280</v>
      </c>
    </row>
    <row r="163" spans="1:26" ht="19.899999999999999" customHeight="1" x14ac:dyDescent="0.25">
      <c r="A163" s="6">
        <v>45973</v>
      </c>
      <c r="B163" s="7" t="s">
        <v>1871</v>
      </c>
      <c r="C163" s="8" t="s">
        <v>1888</v>
      </c>
      <c r="D163" s="8" t="s">
        <v>265</v>
      </c>
      <c r="E163" s="8" t="s">
        <v>1873</v>
      </c>
      <c r="F163" s="9" t="s">
        <v>1891</v>
      </c>
      <c r="G163" s="9" t="s">
        <v>1303</v>
      </c>
      <c r="H163" s="9" t="s">
        <v>1892</v>
      </c>
      <c r="I163" s="9" t="s">
        <v>67</v>
      </c>
      <c r="J163" s="10" t="s">
        <v>230</v>
      </c>
      <c r="K163" s="15" t="str">
        <f>VLOOKUP(J163,DADOS!$A$3:$B$105,2,FALSE)</f>
        <v>EE-GI-026-001</v>
      </c>
      <c r="L163" s="15" t="s">
        <v>1877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0</v>
      </c>
      <c r="S163" s="17" t="b">
        <v>1</v>
      </c>
      <c r="T163" s="17" t="b">
        <v>0</v>
      </c>
      <c r="U163" s="17" t="b">
        <v>0</v>
      </c>
      <c r="V163" s="17" t="b">
        <v>0</v>
      </c>
      <c r="W163" s="11" t="s">
        <v>265</v>
      </c>
      <c r="X163" s="12" t="s">
        <v>14</v>
      </c>
      <c r="Y163" s="12" t="s">
        <v>14</v>
      </c>
      <c r="Z163" s="13" t="s">
        <v>280</v>
      </c>
    </row>
    <row r="164" spans="1:26" ht="19.899999999999999" customHeight="1" x14ac:dyDescent="0.25">
      <c r="A164" s="6">
        <v>45973</v>
      </c>
      <c r="B164" s="7" t="s">
        <v>1871</v>
      </c>
      <c r="C164" s="8" t="s">
        <v>1893</v>
      </c>
      <c r="D164" s="8" t="s">
        <v>290</v>
      </c>
      <c r="E164" s="8" t="s">
        <v>1873</v>
      </c>
      <c r="F164" s="9" t="s">
        <v>1894</v>
      </c>
      <c r="G164" s="9" t="s">
        <v>1880</v>
      </c>
      <c r="H164" s="9" t="s">
        <v>1895</v>
      </c>
      <c r="I164" s="9" t="s">
        <v>67</v>
      </c>
      <c r="J164" s="10" t="s">
        <v>230</v>
      </c>
      <c r="K164" s="15" t="str">
        <f>VLOOKUP(J164,DADOS!$A$3:$B$105,2,FALSE)</f>
        <v>EE-GI-026-001</v>
      </c>
      <c r="L164" s="15" t="s">
        <v>1877</v>
      </c>
      <c r="M164" s="18" t="b">
        <v>1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0</v>
      </c>
      <c r="S164" s="17" t="b">
        <v>1</v>
      </c>
      <c r="T164" s="17" t="b">
        <v>0</v>
      </c>
      <c r="U164" s="17" t="b">
        <v>0</v>
      </c>
      <c r="V164" s="17" t="b">
        <v>0</v>
      </c>
      <c r="W164" s="11" t="s">
        <v>290</v>
      </c>
      <c r="X164" s="12" t="s">
        <v>14</v>
      </c>
      <c r="Y164" s="12" t="s">
        <v>14</v>
      </c>
      <c r="Z164" s="13" t="s">
        <v>280</v>
      </c>
    </row>
    <row r="165" spans="1:26" ht="19.899999999999999" customHeight="1" x14ac:dyDescent="0.25">
      <c r="A165" s="6">
        <v>45973</v>
      </c>
      <c r="B165" s="7" t="s">
        <v>1871</v>
      </c>
      <c r="C165" s="8" t="s">
        <v>1896</v>
      </c>
      <c r="D165" s="8" t="s">
        <v>352</v>
      </c>
      <c r="E165" s="8" t="s">
        <v>1873</v>
      </c>
      <c r="F165" s="9" t="s">
        <v>1897</v>
      </c>
      <c r="G165" s="9" t="s">
        <v>1899</v>
      </c>
      <c r="H165" s="9" t="s">
        <v>1900</v>
      </c>
      <c r="I165" s="9" t="s">
        <v>68</v>
      </c>
      <c r="J165" s="10" t="s">
        <v>230</v>
      </c>
      <c r="K165" s="15" t="str">
        <f>VLOOKUP(J165,DADOS!$A$3:$B$105,2,FALSE)</f>
        <v>EE-GI-026-001</v>
      </c>
      <c r="L165" s="15" t="s">
        <v>1877</v>
      </c>
      <c r="M165" s="18" t="b">
        <v>1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0</v>
      </c>
      <c r="S165" s="17" t="b">
        <v>1</v>
      </c>
      <c r="T165" s="17" t="b">
        <v>0</v>
      </c>
      <c r="U165" s="17" t="b">
        <v>0</v>
      </c>
      <c r="V165" s="17" t="b">
        <v>0</v>
      </c>
      <c r="W165" s="11" t="s">
        <v>352</v>
      </c>
      <c r="X165" s="12" t="s">
        <v>14</v>
      </c>
      <c r="Y165" s="12" t="s">
        <v>14</v>
      </c>
      <c r="Z165" s="13" t="s">
        <v>280</v>
      </c>
    </row>
    <row r="166" spans="1:26" ht="19.899999999999999" customHeight="1" x14ac:dyDescent="0.25">
      <c r="A166" s="6">
        <v>45973</v>
      </c>
      <c r="B166" s="7" t="s">
        <v>1871</v>
      </c>
      <c r="C166" s="8" t="s">
        <v>1896</v>
      </c>
      <c r="D166" s="8" t="s">
        <v>352</v>
      </c>
      <c r="E166" s="8" t="s">
        <v>1873</v>
      </c>
      <c r="F166" s="9" t="s">
        <v>1898</v>
      </c>
      <c r="G166" s="9" t="s">
        <v>1899</v>
      </c>
      <c r="H166" s="9" t="s">
        <v>1900</v>
      </c>
      <c r="I166" s="9" t="s">
        <v>68</v>
      </c>
      <c r="J166" s="10" t="s">
        <v>230</v>
      </c>
      <c r="K166" s="15" t="str">
        <f>VLOOKUP(J166,DADOS!$A$3:$B$105,2,FALSE)</f>
        <v>EE-GI-026-001</v>
      </c>
      <c r="L166" s="15" t="s">
        <v>1877</v>
      </c>
      <c r="M166" s="18" t="b">
        <v>1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0</v>
      </c>
      <c r="S166" s="17" t="b">
        <v>1</v>
      </c>
      <c r="T166" s="17" t="b">
        <v>0</v>
      </c>
      <c r="U166" s="17" t="b">
        <v>0</v>
      </c>
      <c r="V166" s="17" t="b">
        <v>0</v>
      </c>
      <c r="W166" s="11" t="s">
        <v>352</v>
      </c>
      <c r="X166" s="12" t="s">
        <v>14</v>
      </c>
      <c r="Y166" s="12" t="s">
        <v>14</v>
      </c>
      <c r="Z166" s="13" t="s">
        <v>280</v>
      </c>
    </row>
    <row r="167" spans="1:26" ht="19.899999999999999" customHeight="1" x14ac:dyDescent="0.25">
      <c r="A167" s="6">
        <v>45973</v>
      </c>
      <c r="B167" s="7" t="s">
        <v>410</v>
      </c>
      <c r="C167" s="8" t="s">
        <v>644</v>
      </c>
      <c r="D167" s="8" t="s">
        <v>352</v>
      </c>
      <c r="E167" s="8" t="s">
        <v>645</v>
      </c>
      <c r="F167" s="9" t="s">
        <v>647</v>
      </c>
      <c r="G167" s="9" t="s">
        <v>649</v>
      </c>
      <c r="H167" s="9" t="s">
        <v>651</v>
      </c>
      <c r="I167" s="9" t="s">
        <v>73</v>
      </c>
      <c r="J167" s="10" t="s">
        <v>174</v>
      </c>
      <c r="K167" s="15" t="str">
        <f>VLOOKUP(J167,DADOS!$A$3:$B$105,2,FALSE)</f>
        <v>EE-GI-001-007</v>
      </c>
      <c r="L167" s="15" t="s">
        <v>332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1</v>
      </c>
      <c r="S167" s="17" t="b">
        <v>0</v>
      </c>
      <c r="T167" s="17" t="b">
        <v>0</v>
      </c>
      <c r="U167" s="17" t="b">
        <v>0</v>
      </c>
      <c r="V167" s="17" t="b">
        <v>1</v>
      </c>
      <c r="W167" s="11" t="s">
        <v>14</v>
      </c>
      <c r="X167" s="12" t="s">
        <v>352</v>
      </c>
      <c r="Y167" s="12" t="s">
        <v>650</v>
      </c>
      <c r="Z167" s="12" t="s">
        <v>280</v>
      </c>
    </row>
    <row r="168" spans="1:26" ht="19.899999999999999" customHeight="1" x14ac:dyDescent="0.25">
      <c r="A168" s="6">
        <v>45973</v>
      </c>
      <c r="B168" s="7" t="s">
        <v>410</v>
      </c>
      <c r="C168" s="8" t="s">
        <v>644</v>
      </c>
      <c r="D168" s="8" t="s">
        <v>352</v>
      </c>
      <c r="E168" s="8" t="s">
        <v>646</v>
      </c>
      <c r="F168" s="9" t="s">
        <v>648</v>
      </c>
      <c r="G168" s="9" t="s">
        <v>649</v>
      </c>
      <c r="H168" s="9" t="s">
        <v>652</v>
      </c>
      <c r="I168" s="9" t="s">
        <v>73</v>
      </c>
      <c r="J168" s="10" t="s">
        <v>174</v>
      </c>
      <c r="K168" s="15" t="str">
        <f>VLOOKUP(J168,DADOS!$A$3:$B$105,2,FALSE)</f>
        <v>EE-GI-001-007</v>
      </c>
      <c r="L168" s="15" t="s">
        <v>332</v>
      </c>
      <c r="M168" s="18" t="b">
        <v>1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14</v>
      </c>
      <c r="X168" s="12" t="s">
        <v>352</v>
      </c>
      <c r="Y168" s="12" t="s">
        <v>650</v>
      </c>
      <c r="Z168" s="12" t="s">
        <v>280</v>
      </c>
    </row>
    <row r="169" spans="1:26" ht="19.899999999999999" customHeight="1" x14ac:dyDescent="0.25">
      <c r="A169" s="6">
        <v>45973</v>
      </c>
      <c r="B169" s="7" t="s">
        <v>727</v>
      </c>
      <c r="C169" s="8" t="s">
        <v>728</v>
      </c>
      <c r="D169" s="8" t="s">
        <v>352</v>
      </c>
      <c r="E169" s="8" t="s">
        <v>729</v>
      </c>
      <c r="F169" s="9" t="s">
        <v>730</v>
      </c>
      <c r="G169" s="9" t="s">
        <v>731</v>
      </c>
      <c r="H169" s="9" t="s">
        <v>14</v>
      </c>
      <c r="I169" s="9" t="s">
        <v>66</v>
      </c>
      <c r="J169" s="10" t="s">
        <v>186</v>
      </c>
      <c r="K169" s="15" t="str">
        <f>VLOOKUP(J169,DADOS!$A$3:$B$105,2,FALSE)</f>
        <v>EE-GI-001-008</v>
      </c>
      <c r="L169" s="15" t="s">
        <v>332</v>
      </c>
      <c r="M169" s="18" t="b">
        <v>0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352</v>
      </c>
      <c r="X169" s="12" t="s">
        <v>14</v>
      </c>
      <c r="Y169" s="12" t="s">
        <v>14</v>
      </c>
      <c r="Z169" s="13" t="s">
        <v>280</v>
      </c>
    </row>
    <row r="170" spans="1:26" ht="19.899999999999999" customHeight="1" x14ac:dyDescent="0.25">
      <c r="A170" s="6">
        <v>45973</v>
      </c>
      <c r="B170" s="7" t="s">
        <v>727</v>
      </c>
      <c r="C170" s="8" t="s">
        <v>732</v>
      </c>
      <c r="D170" s="8" t="s">
        <v>265</v>
      </c>
      <c r="E170" s="8" t="s">
        <v>733</v>
      </c>
      <c r="F170" s="9" t="s">
        <v>734</v>
      </c>
      <c r="G170" s="9" t="s">
        <v>735</v>
      </c>
      <c r="H170" s="9" t="s">
        <v>14</v>
      </c>
      <c r="I170" s="9" t="s">
        <v>66</v>
      </c>
      <c r="J170" s="10" t="s">
        <v>186</v>
      </c>
      <c r="K170" s="15" t="str">
        <f>VLOOKUP(J170,DADOS!$A$3:$B$105,2,FALSE)</f>
        <v>EE-GI-001-008</v>
      </c>
      <c r="L170" s="15" t="s">
        <v>304</v>
      </c>
      <c r="M170" s="18" t="b">
        <v>0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265</v>
      </c>
      <c r="X170" s="12" t="s">
        <v>14</v>
      </c>
      <c r="Y170" s="12" t="s">
        <v>14</v>
      </c>
      <c r="Z170" s="13" t="s">
        <v>280</v>
      </c>
    </row>
    <row r="171" spans="1:26" ht="19.899999999999999" customHeight="1" x14ac:dyDescent="0.25">
      <c r="A171" s="6">
        <v>45973</v>
      </c>
      <c r="B171" s="7" t="s">
        <v>727</v>
      </c>
      <c r="C171" s="8" t="s">
        <v>739</v>
      </c>
      <c r="D171" s="8" t="s">
        <v>352</v>
      </c>
      <c r="E171" s="8" t="s">
        <v>738</v>
      </c>
      <c r="F171" s="9" t="s">
        <v>740</v>
      </c>
      <c r="G171" s="9" t="s">
        <v>736</v>
      </c>
      <c r="H171" s="9" t="s">
        <v>14</v>
      </c>
      <c r="I171" s="9" t="s">
        <v>66</v>
      </c>
      <c r="J171" s="10" t="s">
        <v>186</v>
      </c>
      <c r="K171" s="15" t="str">
        <f>VLOOKUP(J171,DADOS!$A$3:$B$105,2,FALSE)</f>
        <v>EE-GI-001-008</v>
      </c>
      <c r="L171" s="15" t="s">
        <v>304</v>
      </c>
      <c r="M171" s="18" t="b">
        <v>0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352</v>
      </c>
      <c r="X171" s="12" t="s">
        <v>14</v>
      </c>
      <c r="Y171" s="12" t="s">
        <v>14</v>
      </c>
      <c r="Z171" s="13" t="s">
        <v>280</v>
      </c>
    </row>
    <row r="172" spans="1:26" ht="19.899999999999999" customHeight="1" x14ac:dyDescent="0.25">
      <c r="A172" s="6">
        <v>45973</v>
      </c>
      <c r="B172" s="7" t="s">
        <v>727</v>
      </c>
      <c r="C172" s="8" t="s">
        <v>739</v>
      </c>
      <c r="D172" s="8" t="s">
        <v>352</v>
      </c>
      <c r="E172" s="8" t="s">
        <v>738</v>
      </c>
      <c r="F172" s="9" t="s">
        <v>737</v>
      </c>
      <c r="G172" s="9" t="s">
        <v>736</v>
      </c>
      <c r="H172" s="9" t="s">
        <v>14</v>
      </c>
      <c r="I172" s="9" t="s">
        <v>66</v>
      </c>
      <c r="J172" s="10" t="s">
        <v>186</v>
      </c>
      <c r="K172" s="15" t="str">
        <f>VLOOKUP(J172,DADOS!$A$3:$B$105,2,FALSE)</f>
        <v>EE-GI-001-008</v>
      </c>
      <c r="L172" s="15" t="s">
        <v>304</v>
      </c>
      <c r="M172" s="18" t="b">
        <v>0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352</v>
      </c>
      <c r="X172" s="12" t="s">
        <v>14</v>
      </c>
      <c r="Y172" s="12" t="s">
        <v>14</v>
      </c>
      <c r="Z172" s="13" t="s">
        <v>280</v>
      </c>
    </row>
    <row r="173" spans="1:26" ht="19.899999999999999" customHeight="1" x14ac:dyDescent="0.25">
      <c r="A173" s="6">
        <v>45973</v>
      </c>
      <c r="B173" s="7" t="s">
        <v>727</v>
      </c>
      <c r="C173" s="8" t="s">
        <v>742</v>
      </c>
      <c r="D173" s="8" t="s">
        <v>352</v>
      </c>
      <c r="E173" s="8" t="s">
        <v>738</v>
      </c>
      <c r="F173" s="9" t="s">
        <v>741</v>
      </c>
      <c r="G173" s="9" t="s">
        <v>577</v>
      </c>
      <c r="H173" s="9" t="s">
        <v>14</v>
      </c>
      <c r="I173" s="9" t="s">
        <v>66</v>
      </c>
      <c r="J173" s="10" t="s">
        <v>17</v>
      </c>
      <c r="K173" s="15" t="str">
        <f>VLOOKUP(J173,DADOS!$A$3:$B$105,2,FALSE)</f>
        <v>EE-GI-001-001</v>
      </c>
      <c r="L173" s="15" t="s">
        <v>332</v>
      </c>
      <c r="M173" s="18" t="b">
        <v>0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0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352</v>
      </c>
      <c r="X173" s="12" t="s">
        <v>14</v>
      </c>
      <c r="Y173" s="12" t="s">
        <v>14</v>
      </c>
      <c r="Z173" s="13" t="s">
        <v>280</v>
      </c>
    </row>
    <row r="174" spans="1:26" ht="19.899999999999999" customHeight="1" x14ac:dyDescent="0.25">
      <c r="A174" s="6">
        <v>45973</v>
      </c>
      <c r="B174" s="7" t="s">
        <v>727</v>
      </c>
      <c r="C174" s="8" t="s">
        <v>743</v>
      </c>
      <c r="D174" s="8" t="s">
        <v>309</v>
      </c>
      <c r="E174" s="8" t="s">
        <v>738</v>
      </c>
      <c r="F174" s="9" t="s">
        <v>744</v>
      </c>
      <c r="G174" s="9" t="s">
        <v>577</v>
      </c>
      <c r="H174" s="9" t="s">
        <v>14</v>
      </c>
      <c r="I174" s="9" t="s">
        <v>66</v>
      </c>
      <c r="J174" s="10" t="s">
        <v>17</v>
      </c>
      <c r="K174" s="15" t="str">
        <f>VLOOKUP(J174,DADOS!$A$3:$B$105,2,FALSE)</f>
        <v>EE-GI-001-001</v>
      </c>
      <c r="L174" s="15" t="s">
        <v>332</v>
      </c>
      <c r="M174" s="18" t="b">
        <v>0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309</v>
      </c>
      <c r="X174" s="12" t="s">
        <v>14</v>
      </c>
      <c r="Y174" s="12" t="s">
        <v>14</v>
      </c>
      <c r="Z174" s="13" t="s">
        <v>280</v>
      </c>
    </row>
    <row r="175" spans="1:26" ht="19.899999999999999" customHeight="1" x14ac:dyDescent="0.25">
      <c r="A175" s="6">
        <v>45973</v>
      </c>
      <c r="B175" s="7" t="s">
        <v>727</v>
      </c>
      <c r="C175" s="8" t="s">
        <v>745</v>
      </c>
      <c r="D175" s="8" t="s">
        <v>352</v>
      </c>
      <c r="E175" s="8" t="s">
        <v>738</v>
      </c>
      <c r="F175" s="9" t="s">
        <v>746</v>
      </c>
      <c r="G175" s="9" t="s">
        <v>753</v>
      </c>
      <c r="H175" s="9" t="s">
        <v>14</v>
      </c>
      <c r="I175" s="9" t="s">
        <v>66</v>
      </c>
      <c r="J175" s="10" t="s">
        <v>186</v>
      </c>
      <c r="K175" s="15" t="str">
        <f>VLOOKUP(J175,DADOS!$A$3:$B$105,2,FALSE)</f>
        <v>EE-GI-001-008</v>
      </c>
      <c r="L175" s="15" t="s">
        <v>332</v>
      </c>
      <c r="M175" s="18" t="b">
        <v>0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0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352</v>
      </c>
      <c r="X175" s="12" t="s">
        <v>14</v>
      </c>
      <c r="Y175" s="12" t="s">
        <v>14</v>
      </c>
      <c r="Z175" s="13" t="s">
        <v>280</v>
      </c>
    </row>
    <row r="176" spans="1:26" ht="19.899999999999999" customHeight="1" x14ac:dyDescent="0.25">
      <c r="A176" s="6">
        <v>45973</v>
      </c>
      <c r="B176" s="7" t="s">
        <v>727</v>
      </c>
      <c r="C176" s="8" t="s">
        <v>745</v>
      </c>
      <c r="D176" s="8" t="s">
        <v>352</v>
      </c>
      <c r="E176" s="8" t="s">
        <v>738</v>
      </c>
      <c r="F176" s="9" t="s">
        <v>747</v>
      </c>
      <c r="G176" s="9" t="s">
        <v>753</v>
      </c>
      <c r="H176" s="9" t="s">
        <v>14</v>
      </c>
      <c r="I176" s="9" t="s">
        <v>66</v>
      </c>
      <c r="J176" s="10" t="s">
        <v>186</v>
      </c>
      <c r="K176" s="15" t="str">
        <f>VLOOKUP(J176,DADOS!$A$3:$B$105,2,FALSE)</f>
        <v>EE-GI-001-008</v>
      </c>
      <c r="L176" s="15" t="s">
        <v>332</v>
      </c>
      <c r="M176" s="18" t="b">
        <v>0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352</v>
      </c>
      <c r="X176" s="12" t="s">
        <v>14</v>
      </c>
      <c r="Y176" s="12" t="s">
        <v>14</v>
      </c>
      <c r="Z176" s="13" t="s">
        <v>280</v>
      </c>
    </row>
    <row r="177" spans="1:26" ht="19.899999999999999" customHeight="1" x14ac:dyDescent="0.25">
      <c r="A177" s="6">
        <v>45973</v>
      </c>
      <c r="B177" s="7" t="s">
        <v>823</v>
      </c>
      <c r="C177" s="8" t="s">
        <v>829</v>
      </c>
      <c r="D177" s="8" t="s">
        <v>290</v>
      </c>
      <c r="E177" s="8" t="s">
        <v>830</v>
      </c>
      <c r="F177" s="9" t="s">
        <v>831</v>
      </c>
      <c r="G177" s="9" t="s">
        <v>832</v>
      </c>
      <c r="H177" s="9" t="s">
        <v>833</v>
      </c>
      <c r="I177" s="9" t="s">
        <v>66</v>
      </c>
      <c r="J177" s="10" t="s">
        <v>15</v>
      </c>
      <c r="K177" s="15" t="str">
        <f>VLOOKUP(J177,DADOS!$A$3:$B$105,2,FALSE)</f>
        <v>EE-GI-001-002</v>
      </c>
      <c r="L177" s="15" t="s">
        <v>408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0</v>
      </c>
      <c r="U177" s="17" t="b">
        <v>0</v>
      </c>
      <c r="V177" s="17" t="b">
        <v>1</v>
      </c>
      <c r="W177" s="11" t="s">
        <v>290</v>
      </c>
      <c r="X177" s="12" t="s">
        <v>14</v>
      </c>
      <c r="Y177" s="12" t="s">
        <v>14</v>
      </c>
      <c r="Z177" s="13" t="s">
        <v>322</v>
      </c>
    </row>
    <row r="178" spans="1:26" ht="19.899999999999999" customHeight="1" x14ac:dyDescent="0.25">
      <c r="A178" s="6">
        <v>45973</v>
      </c>
      <c r="B178" s="7" t="s">
        <v>823</v>
      </c>
      <c r="C178" s="8" t="s">
        <v>824</v>
      </c>
      <c r="D178" s="8" t="s">
        <v>518</v>
      </c>
      <c r="E178" s="8" t="s">
        <v>825</v>
      </c>
      <c r="F178" s="9" t="s">
        <v>826</v>
      </c>
      <c r="G178" s="9" t="s">
        <v>827</v>
      </c>
      <c r="H178" s="9" t="s">
        <v>828</v>
      </c>
      <c r="I178" s="9" t="s">
        <v>66</v>
      </c>
      <c r="J178" s="10" t="s">
        <v>15</v>
      </c>
      <c r="K178" s="15" t="str">
        <f>VLOOKUP(J178,DADOS!$A$3:$B$105,2,FALSE)</f>
        <v>EE-GI-001-002</v>
      </c>
      <c r="L178" s="15" t="s">
        <v>408</v>
      </c>
      <c r="M178" s="18" t="b">
        <v>1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0</v>
      </c>
      <c r="U178" s="17" t="b">
        <v>0</v>
      </c>
      <c r="V178" s="17" t="b">
        <v>1</v>
      </c>
      <c r="W178" s="11" t="s">
        <v>518</v>
      </c>
      <c r="X178" s="12" t="s">
        <v>14</v>
      </c>
      <c r="Y178" s="12" t="s">
        <v>14</v>
      </c>
      <c r="Z178" s="13" t="s">
        <v>322</v>
      </c>
    </row>
    <row r="179" spans="1:26" ht="19.899999999999999" customHeight="1" x14ac:dyDescent="0.25">
      <c r="A179" s="6">
        <v>45973</v>
      </c>
      <c r="B179" s="7" t="s">
        <v>727</v>
      </c>
      <c r="C179" s="8" t="s">
        <v>745</v>
      </c>
      <c r="D179" s="8" t="s">
        <v>352</v>
      </c>
      <c r="E179" s="8" t="s">
        <v>738</v>
      </c>
      <c r="F179" s="9" t="s">
        <v>748</v>
      </c>
      <c r="G179" s="9" t="s">
        <v>753</v>
      </c>
      <c r="H179" s="9" t="s">
        <v>14</v>
      </c>
      <c r="I179" s="9" t="s">
        <v>66</v>
      </c>
      <c r="J179" s="10" t="s">
        <v>186</v>
      </c>
      <c r="K179" s="15" t="str">
        <f>VLOOKUP(J179,DADOS!$A$3:$B$105,2,FALSE)</f>
        <v>EE-GI-001-008</v>
      </c>
      <c r="L179" s="15" t="s">
        <v>332</v>
      </c>
      <c r="M179" s="18" t="b">
        <v>0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352</v>
      </c>
      <c r="X179" s="12" t="s">
        <v>14</v>
      </c>
      <c r="Y179" s="12" t="s">
        <v>14</v>
      </c>
      <c r="Z179" s="13" t="s">
        <v>280</v>
      </c>
    </row>
    <row r="180" spans="1:26" ht="19.899999999999999" customHeight="1" x14ac:dyDescent="0.25">
      <c r="A180" s="6">
        <v>45973</v>
      </c>
      <c r="B180" s="7" t="s">
        <v>727</v>
      </c>
      <c r="C180" s="8" t="s">
        <v>745</v>
      </c>
      <c r="D180" s="8" t="s">
        <v>352</v>
      </c>
      <c r="E180" s="8" t="s">
        <v>738</v>
      </c>
      <c r="F180" s="9" t="s">
        <v>749</v>
      </c>
      <c r="G180" s="9" t="s">
        <v>753</v>
      </c>
      <c r="H180" s="9" t="s">
        <v>14</v>
      </c>
      <c r="I180" s="9" t="s">
        <v>66</v>
      </c>
      <c r="J180" s="10" t="s">
        <v>186</v>
      </c>
      <c r="K180" s="15" t="str">
        <f>VLOOKUP(J180,DADOS!$A$3:$B$105,2,FALSE)</f>
        <v>EE-GI-001-008</v>
      </c>
      <c r="L180" s="15" t="s">
        <v>332</v>
      </c>
      <c r="M180" s="18" t="b">
        <v>0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352</v>
      </c>
      <c r="X180" s="12" t="s">
        <v>14</v>
      </c>
      <c r="Y180" s="12" t="s">
        <v>14</v>
      </c>
      <c r="Z180" s="13" t="s">
        <v>280</v>
      </c>
    </row>
    <row r="181" spans="1:26" ht="19.899999999999999" customHeight="1" x14ac:dyDescent="0.25">
      <c r="A181" s="6">
        <v>45973</v>
      </c>
      <c r="B181" s="7" t="s">
        <v>727</v>
      </c>
      <c r="C181" s="8" t="s">
        <v>745</v>
      </c>
      <c r="D181" s="8" t="s">
        <v>352</v>
      </c>
      <c r="E181" s="8" t="s">
        <v>738</v>
      </c>
      <c r="F181" s="9" t="s">
        <v>750</v>
      </c>
      <c r="G181" s="9" t="s">
        <v>753</v>
      </c>
      <c r="H181" s="9" t="s">
        <v>14</v>
      </c>
      <c r="I181" s="9" t="s">
        <v>66</v>
      </c>
      <c r="J181" s="10" t="s">
        <v>186</v>
      </c>
      <c r="K181" s="15" t="str">
        <f>VLOOKUP(J181,DADOS!$A$3:$B$105,2,FALSE)</f>
        <v>EE-GI-001-008</v>
      </c>
      <c r="L181" s="15" t="s">
        <v>332</v>
      </c>
      <c r="M181" s="18" t="b">
        <v>0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1</v>
      </c>
      <c r="W181" s="11" t="s">
        <v>352</v>
      </c>
      <c r="X181" s="12" t="s">
        <v>14</v>
      </c>
      <c r="Y181" s="12" t="s">
        <v>14</v>
      </c>
      <c r="Z181" s="13" t="s">
        <v>280</v>
      </c>
    </row>
    <row r="182" spans="1:26" ht="19.899999999999999" customHeight="1" x14ac:dyDescent="0.25">
      <c r="A182" s="6">
        <v>45973</v>
      </c>
      <c r="B182" s="7" t="s">
        <v>727</v>
      </c>
      <c r="C182" s="8" t="s">
        <v>745</v>
      </c>
      <c r="D182" s="8" t="s">
        <v>352</v>
      </c>
      <c r="E182" s="8" t="s">
        <v>738</v>
      </c>
      <c r="F182" s="9" t="s">
        <v>751</v>
      </c>
      <c r="G182" s="9" t="s">
        <v>753</v>
      </c>
      <c r="H182" s="9" t="s">
        <v>14</v>
      </c>
      <c r="I182" s="9" t="s">
        <v>66</v>
      </c>
      <c r="J182" s="10" t="s">
        <v>186</v>
      </c>
      <c r="K182" s="15" t="str">
        <f>VLOOKUP(J182,DADOS!$A$3:$B$105,2,FALSE)</f>
        <v>EE-GI-001-008</v>
      </c>
      <c r="L182" s="15" t="s">
        <v>332</v>
      </c>
      <c r="M182" s="18" t="b">
        <v>0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352</v>
      </c>
      <c r="X182" s="12" t="s">
        <v>14</v>
      </c>
      <c r="Y182" s="12" t="s">
        <v>14</v>
      </c>
      <c r="Z182" s="13" t="s">
        <v>280</v>
      </c>
    </row>
    <row r="183" spans="1:26" ht="19.899999999999999" customHeight="1" x14ac:dyDescent="0.25">
      <c r="A183" s="6">
        <v>45973</v>
      </c>
      <c r="B183" s="7" t="s">
        <v>727</v>
      </c>
      <c r="C183" s="8" t="s">
        <v>745</v>
      </c>
      <c r="D183" s="8" t="s">
        <v>352</v>
      </c>
      <c r="E183" s="8" t="s">
        <v>738</v>
      </c>
      <c r="F183" s="9" t="s">
        <v>752</v>
      </c>
      <c r="G183" s="9" t="s">
        <v>753</v>
      </c>
      <c r="H183" s="9" t="s">
        <v>14</v>
      </c>
      <c r="I183" s="9" t="s">
        <v>66</v>
      </c>
      <c r="J183" s="10" t="s">
        <v>186</v>
      </c>
      <c r="K183" s="15" t="str">
        <f>VLOOKUP(J183,DADOS!$A$3:$B$105,2,FALSE)</f>
        <v>EE-GI-001-008</v>
      </c>
      <c r="L183" s="15" t="s">
        <v>332</v>
      </c>
      <c r="M183" s="18" t="b">
        <v>0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352</v>
      </c>
      <c r="X183" s="12" t="s">
        <v>14</v>
      </c>
      <c r="Y183" s="12" t="s">
        <v>14</v>
      </c>
      <c r="Z183" s="13" t="s">
        <v>280</v>
      </c>
    </row>
    <row r="184" spans="1:26" ht="19.899999999999999" customHeight="1" x14ac:dyDescent="0.25">
      <c r="A184" s="6">
        <v>45973</v>
      </c>
      <c r="B184" s="7" t="s">
        <v>754</v>
      </c>
      <c r="C184" s="8" t="s">
        <v>755</v>
      </c>
      <c r="D184" s="8" t="s">
        <v>309</v>
      </c>
      <c r="E184" s="8" t="s">
        <v>756</v>
      </c>
      <c r="F184" s="9" t="s">
        <v>757</v>
      </c>
      <c r="G184" s="9" t="s">
        <v>758</v>
      </c>
      <c r="H184" s="9" t="s">
        <v>766</v>
      </c>
      <c r="I184" s="9" t="s">
        <v>68</v>
      </c>
      <c r="J184" s="10" t="s">
        <v>186</v>
      </c>
      <c r="K184" s="15" t="str">
        <f>VLOOKUP(J184,DADOS!$A$3:$B$105,2,FALSE)</f>
        <v>EE-GI-001-008</v>
      </c>
      <c r="L184" s="15" t="s">
        <v>278</v>
      </c>
      <c r="M184" s="18" t="b">
        <v>1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309</v>
      </c>
      <c r="X184" s="12" t="s">
        <v>14</v>
      </c>
      <c r="Y184" s="12" t="s">
        <v>14</v>
      </c>
      <c r="Z184" s="13" t="s">
        <v>280</v>
      </c>
    </row>
    <row r="185" spans="1:26" ht="19.899999999999999" customHeight="1" x14ac:dyDescent="0.25">
      <c r="A185" s="6">
        <v>45973</v>
      </c>
      <c r="B185" s="7" t="s">
        <v>402</v>
      </c>
      <c r="C185" s="8" t="s">
        <v>965</v>
      </c>
      <c r="D185" s="8" t="s">
        <v>265</v>
      </c>
      <c r="E185" s="8" t="s">
        <v>966</v>
      </c>
      <c r="F185" s="9" t="s">
        <v>967</v>
      </c>
      <c r="G185" s="9" t="s">
        <v>968</v>
      </c>
      <c r="H185" s="34"/>
      <c r="I185" s="9" t="s">
        <v>69</v>
      </c>
      <c r="J185" s="10" t="s">
        <v>17</v>
      </c>
      <c r="K185" s="15" t="str">
        <f>VLOOKUP(J185,[1]DADOS!$A$3:$B$105,2,FALSE)</f>
        <v>EE-GI-001-001</v>
      </c>
      <c r="L185" s="15" t="s">
        <v>941</v>
      </c>
      <c r="M185" s="18" t="b">
        <v>1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1</v>
      </c>
      <c r="U185" s="17" t="b">
        <v>1</v>
      </c>
      <c r="V185" s="17" t="b">
        <v>1</v>
      </c>
      <c r="W185" s="11" t="s">
        <v>426</v>
      </c>
      <c r="X185" s="12" t="s">
        <v>265</v>
      </c>
      <c r="Y185" s="12" t="s">
        <v>969</v>
      </c>
      <c r="Z185" s="12" t="s">
        <v>271</v>
      </c>
    </row>
    <row r="186" spans="1:26" ht="19.899999999999999" customHeight="1" x14ac:dyDescent="0.25">
      <c r="A186" s="6">
        <v>45974</v>
      </c>
      <c r="B186" s="7" t="s">
        <v>402</v>
      </c>
      <c r="C186" s="8" t="s">
        <v>660</v>
      </c>
      <c r="D186" s="8" t="s">
        <v>265</v>
      </c>
      <c r="E186" s="8" t="s">
        <v>592</v>
      </c>
      <c r="F186" s="9" t="s">
        <v>661</v>
      </c>
      <c r="G186" s="9" t="s">
        <v>663</v>
      </c>
      <c r="H186" s="34"/>
      <c r="I186" s="9" t="s">
        <v>73</v>
      </c>
      <c r="J186" s="10" t="s">
        <v>15</v>
      </c>
      <c r="K186" s="15" t="str">
        <f>VLOOKUP(J186,DADOS!$A$3:$B$105,2,FALSE)</f>
        <v>EE-GI-001-002</v>
      </c>
      <c r="L186" s="15" t="s">
        <v>332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1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14</v>
      </c>
      <c r="X186" s="12" t="s">
        <v>265</v>
      </c>
      <c r="Y186" s="12" t="s">
        <v>687</v>
      </c>
      <c r="Z186" s="12" t="s">
        <v>280</v>
      </c>
    </row>
    <row r="187" spans="1:26" ht="19.899999999999999" customHeight="1" x14ac:dyDescent="0.25">
      <c r="A187" s="6">
        <v>45974</v>
      </c>
      <c r="B187" s="7" t="s">
        <v>402</v>
      </c>
      <c r="C187" s="8" t="s">
        <v>660</v>
      </c>
      <c r="D187" s="8" t="s">
        <v>265</v>
      </c>
      <c r="E187" s="8" t="s">
        <v>592</v>
      </c>
      <c r="F187" s="9" t="s">
        <v>662</v>
      </c>
      <c r="G187" s="9" t="s">
        <v>664</v>
      </c>
      <c r="H187" s="34"/>
      <c r="I187" s="9" t="s">
        <v>73</v>
      </c>
      <c r="J187" s="10" t="s">
        <v>15</v>
      </c>
      <c r="K187" s="15" t="str">
        <f>VLOOKUP(J187,DADOS!$A$3:$B$105,2,FALSE)</f>
        <v>EE-GI-001-002</v>
      </c>
      <c r="L187" s="15" t="s">
        <v>332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0</v>
      </c>
      <c r="U187" s="17" t="b">
        <v>0</v>
      </c>
      <c r="V187" s="17" t="b">
        <v>1</v>
      </c>
      <c r="W187" s="11" t="s">
        <v>14</v>
      </c>
      <c r="X187" s="12" t="s">
        <v>265</v>
      </c>
      <c r="Y187" s="12" t="s">
        <v>687</v>
      </c>
      <c r="Z187" s="12" t="s">
        <v>280</v>
      </c>
    </row>
    <row r="188" spans="1:26" ht="19.899999999999999" customHeight="1" x14ac:dyDescent="0.25">
      <c r="A188" s="6">
        <v>45974</v>
      </c>
      <c r="B188" s="7" t="s">
        <v>511</v>
      </c>
      <c r="C188" s="8" t="s">
        <v>681</v>
      </c>
      <c r="D188" s="8" t="s">
        <v>352</v>
      </c>
      <c r="E188" s="8" t="s">
        <v>666</v>
      </c>
      <c r="F188" s="9" t="s">
        <v>686</v>
      </c>
      <c r="G188" s="9" t="s">
        <v>684</v>
      </c>
      <c r="H188" s="9" t="s">
        <v>688</v>
      </c>
      <c r="I188" s="9" t="s">
        <v>65</v>
      </c>
      <c r="J188" s="10" t="s">
        <v>16</v>
      </c>
      <c r="K188" s="15" t="str">
        <f>VLOOKUP(J188,DADOS!$A$3:$B$105,2,FALSE)</f>
        <v>EE-GI-001-003</v>
      </c>
      <c r="L188" s="15" t="s">
        <v>278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1</v>
      </c>
      <c r="S188" s="17" t="b">
        <v>0</v>
      </c>
      <c r="T188" s="17" t="b">
        <v>0</v>
      </c>
      <c r="U188" s="17" t="b">
        <v>0</v>
      </c>
      <c r="V188" s="17" t="b">
        <v>0</v>
      </c>
      <c r="W188" s="11" t="s">
        <v>14</v>
      </c>
      <c r="X188" s="12" t="s">
        <v>352</v>
      </c>
      <c r="Y188" s="12" t="s">
        <v>689</v>
      </c>
      <c r="Z188" s="12" t="s">
        <v>280</v>
      </c>
    </row>
    <row r="189" spans="1:26" ht="19.899999999999999" customHeight="1" x14ac:dyDescent="0.25">
      <c r="A189" s="6">
        <v>45974</v>
      </c>
      <c r="B189" s="7" t="s">
        <v>511</v>
      </c>
      <c r="C189" s="8" t="s">
        <v>690</v>
      </c>
      <c r="D189" s="8" t="s">
        <v>352</v>
      </c>
      <c r="E189" s="8" t="s">
        <v>691</v>
      </c>
      <c r="F189" s="9" t="s">
        <v>692</v>
      </c>
      <c r="G189" s="9" t="s">
        <v>515</v>
      </c>
      <c r="H189" s="9" t="s">
        <v>693</v>
      </c>
      <c r="I189" s="9" t="s">
        <v>65</v>
      </c>
      <c r="J189" s="10" t="s">
        <v>15</v>
      </c>
      <c r="K189" s="15" t="str">
        <f>VLOOKUP(J189,DADOS!$A$3:$B$105,2,FALSE)</f>
        <v>EE-GI-001-002</v>
      </c>
      <c r="L189" s="15" t="s">
        <v>278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1</v>
      </c>
      <c r="S189" s="17" t="b">
        <v>0</v>
      </c>
      <c r="T189" s="17" t="b">
        <v>0</v>
      </c>
      <c r="U189" s="17" t="b">
        <v>0</v>
      </c>
      <c r="V189" s="17" t="b">
        <v>0</v>
      </c>
      <c r="W189" s="11" t="s">
        <v>14</v>
      </c>
      <c r="X189" s="12" t="s">
        <v>352</v>
      </c>
      <c r="Y189" s="12" t="s">
        <v>694</v>
      </c>
      <c r="Z189" s="12" t="s">
        <v>280</v>
      </c>
    </row>
    <row r="190" spans="1:26" ht="19.899999999999999" customHeight="1" x14ac:dyDescent="0.25">
      <c r="A190" s="6">
        <v>45974</v>
      </c>
      <c r="B190" s="7" t="s">
        <v>511</v>
      </c>
      <c r="C190" s="8" t="s">
        <v>695</v>
      </c>
      <c r="D190" s="8" t="s">
        <v>265</v>
      </c>
      <c r="E190" s="8" t="s">
        <v>696</v>
      </c>
      <c r="F190" s="9" t="s">
        <v>697</v>
      </c>
      <c r="G190" s="9" t="s">
        <v>515</v>
      </c>
      <c r="H190" s="9" t="s">
        <v>698</v>
      </c>
      <c r="I190" s="9" t="s">
        <v>65</v>
      </c>
      <c r="J190" s="10" t="s">
        <v>15</v>
      </c>
      <c r="K190" s="15" t="str">
        <f>VLOOKUP(J190,DADOS!$A$3:$B$105,2,FALSE)</f>
        <v>EE-GI-001-002</v>
      </c>
      <c r="L190" s="15" t="s">
        <v>278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1</v>
      </c>
      <c r="S190" s="17" t="b">
        <v>0</v>
      </c>
      <c r="T190" s="17" t="b">
        <v>0</v>
      </c>
      <c r="U190" s="17" t="b">
        <v>0</v>
      </c>
      <c r="V190" s="17" t="b">
        <v>0</v>
      </c>
      <c r="W190" s="11" t="s">
        <v>352</v>
      </c>
      <c r="X190" s="12" t="s">
        <v>14</v>
      </c>
      <c r="Y190" s="12" t="s">
        <v>14</v>
      </c>
      <c r="Z190" s="13" t="s">
        <v>280</v>
      </c>
    </row>
    <row r="191" spans="1:26" ht="19.899999999999999" customHeight="1" x14ac:dyDescent="0.25">
      <c r="A191" s="6">
        <v>45974</v>
      </c>
      <c r="B191" s="7" t="s">
        <v>511</v>
      </c>
      <c r="C191" s="8" t="s">
        <v>512</v>
      </c>
      <c r="D191" s="8" t="s">
        <v>352</v>
      </c>
      <c r="E191" s="8" t="s">
        <v>699</v>
      </c>
      <c r="F191" s="9" t="s">
        <v>514</v>
      </c>
      <c r="G191" s="9" t="s">
        <v>515</v>
      </c>
      <c r="H191" s="9" t="s">
        <v>700</v>
      </c>
      <c r="I191" s="9" t="s">
        <v>68</v>
      </c>
      <c r="J191" s="10" t="s">
        <v>15</v>
      </c>
      <c r="K191" s="15" t="str">
        <f>VLOOKUP(J191,DADOS!$A$3:$B$105,2,FALSE)</f>
        <v>EE-GI-001-002</v>
      </c>
      <c r="L191" s="15" t="s">
        <v>278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1</v>
      </c>
      <c r="S191" s="17" t="b">
        <v>0</v>
      </c>
      <c r="T191" s="17" t="b">
        <v>0</v>
      </c>
      <c r="U191" s="17" t="b">
        <v>0</v>
      </c>
      <c r="V191" s="17" t="b">
        <v>0</v>
      </c>
      <c r="W191" s="11" t="s">
        <v>352</v>
      </c>
      <c r="X191" s="12" t="s">
        <v>14</v>
      </c>
      <c r="Y191" s="12" t="s">
        <v>14</v>
      </c>
      <c r="Z191" s="13" t="s">
        <v>280</v>
      </c>
    </row>
    <row r="192" spans="1:26" ht="19.899999999999999" customHeight="1" x14ac:dyDescent="0.25">
      <c r="A192" s="6">
        <v>45974</v>
      </c>
      <c r="B192" s="7" t="s">
        <v>511</v>
      </c>
      <c r="C192" s="8" t="s">
        <v>681</v>
      </c>
      <c r="D192" s="8" t="s">
        <v>309</v>
      </c>
      <c r="E192" s="8" t="s">
        <v>701</v>
      </c>
      <c r="F192" s="9" t="s">
        <v>686</v>
      </c>
      <c r="G192" s="9" t="s">
        <v>684</v>
      </c>
      <c r="H192" s="9" t="s">
        <v>702</v>
      </c>
      <c r="I192" s="9" t="s">
        <v>65</v>
      </c>
      <c r="J192" s="10" t="s">
        <v>16</v>
      </c>
      <c r="K192" s="15" t="str">
        <f>VLOOKUP(J192,DADOS!$A$3:$B$105,2,FALSE)</f>
        <v>EE-GI-001-003</v>
      </c>
      <c r="L192" s="15" t="s">
        <v>278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1</v>
      </c>
      <c r="S192" s="17" t="b">
        <v>0</v>
      </c>
      <c r="T192" s="17" t="b">
        <v>0</v>
      </c>
      <c r="U192" s="17" t="b">
        <v>0</v>
      </c>
      <c r="V192" s="17" t="b">
        <v>0</v>
      </c>
      <c r="W192" s="11" t="s">
        <v>309</v>
      </c>
      <c r="X192" s="12" t="s">
        <v>14</v>
      </c>
      <c r="Y192" s="12" t="s">
        <v>14</v>
      </c>
      <c r="Z192" s="13" t="s">
        <v>280</v>
      </c>
    </row>
    <row r="193" spans="1:26" ht="19.899999999999999" customHeight="1" x14ac:dyDescent="0.25">
      <c r="A193" s="6">
        <v>45974</v>
      </c>
      <c r="B193" s="7" t="s">
        <v>511</v>
      </c>
      <c r="C193" s="8" t="s">
        <v>723</v>
      </c>
      <c r="D193" s="8" t="s">
        <v>265</v>
      </c>
      <c r="E193" s="8" t="s">
        <v>567</v>
      </c>
      <c r="F193" s="9" t="s">
        <v>724</v>
      </c>
      <c r="G193" s="9" t="s">
        <v>684</v>
      </c>
      <c r="H193" s="9" t="s">
        <v>725</v>
      </c>
      <c r="I193" s="9" t="s">
        <v>65</v>
      </c>
      <c r="J193" s="10" t="s">
        <v>16</v>
      </c>
      <c r="K193" s="15" t="str">
        <f>VLOOKUP(J193,DADOS!$A$3:$B$105,2,FALSE)</f>
        <v>EE-GI-001-003</v>
      </c>
      <c r="L193" s="15" t="s">
        <v>304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1</v>
      </c>
      <c r="S193" s="17" t="b">
        <v>0</v>
      </c>
      <c r="T193" s="17" t="b">
        <v>0</v>
      </c>
      <c r="U193" s="17" t="b">
        <v>0</v>
      </c>
      <c r="V193" s="17" t="b">
        <v>0</v>
      </c>
      <c r="W193" s="11" t="s">
        <v>14</v>
      </c>
      <c r="X193" s="12" t="s">
        <v>265</v>
      </c>
      <c r="Y193" s="12" t="s">
        <v>726</v>
      </c>
      <c r="Z193" s="12" t="s">
        <v>280</v>
      </c>
    </row>
    <row r="194" spans="1:26" ht="19.899999999999999" customHeight="1" x14ac:dyDescent="0.25">
      <c r="A194" s="6">
        <v>45974</v>
      </c>
      <c r="B194" s="7" t="s">
        <v>511</v>
      </c>
      <c r="C194" s="8" t="s">
        <v>767</v>
      </c>
      <c r="D194" s="8" t="s">
        <v>309</v>
      </c>
      <c r="E194" s="8" t="s">
        <v>768</v>
      </c>
      <c r="F194" s="9" t="s">
        <v>769</v>
      </c>
      <c r="G194" s="9" t="s">
        <v>552</v>
      </c>
      <c r="H194" s="9" t="s">
        <v>770</v>
      </c>
      <c r="I194" s="9" t="s">
        <v>65</v>
      </c>
      <c r="J194" s="10" t="s">
        <v>15</v>
      </c>
      <c r="K194" s="15" t="str">
        <f>VLOOKUP(J194,DADOS!$A$3:$B$105,2,FALSE)</f>
        <v>EE-GI-001-002</v>
      </c>
      <c r="L194" s="15" t="s">
        <v>304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1</v>
      </c>
      <c r="S194" s="17" t="b">
        <v>0</v>
      </c>
      <c r="T194" s="17" t="b">
        <v>0</v>
      </c>
      <c r="U194" s="17" t="b">
        <v>0</v>
      </c>
      <c r="V194" s="17" t="b">
        <v>0</v>
      </c>
      <c r="W194" s="11" t="s">
        <v>309</v>
      </c>
      <c r="X194" s="12" t="s">
        <v>14</v>
      </c>
      <c r="Y194" s="12" t="s">
        <v>14</v>
      </c>
      <c r="Z194" s="13" t="s">
        <v>280</v>
      </c>
    </row>
    <row r="195" spans="1:26" ht="19.899999999999999" customHeight="1" x14ac:dyDescent="0.25">
      <c r="A195" s="6">
        <v>45974</v>
      </c>
      <c r="B195" s="7" t="s">
        <v>511</v>
      </c>
      <c r="C195" s="8" t="s">
        <v>767</v>
      </c>
      <c r="D195" s="8" t="s">
        <v>352</v>
      </c>
      <c r="E195" s="8" t="s">
        <v>768</v>
      </c>
      <c r="F195" s="9" t="s">
        <v>771</v>
      </c>
      <c r="G195" s="9" t="s">
        <v>552</v>
      </c>
      <c r="H195" s="9" t="s">
        <v>770</v>
      </c>
      <c r="I195" s="9" t="s">
        <v>65</v>
      </c>
      <c r="J195" s="10" t="s">
        <v>15</v>
      </c>
      <c r="K195" s="15" t="str">
        <f>VLOOKUP(J195,DADOS!$A$3:$B$105,2,FALSE)</f>
        <v>EE-GI-001-002</v>
      </c>
      <c r="L195" s="15" t="s">
        <v>304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1</v>
      </c>
      <c r="S195" s="17" t="b">
        <v>0</v>
      </c>
      <c r="T195" s="17" t="b">
        <v>0</v>
      </c>
      <c r="U195" s="17" t="b">
        <v>0</v>
      </c>
      <c r="V195" s="17" t="b">
        <v>0</v>
      </c>
      <c r="W195" s="11" t="s">
        <v>352</v>
      </c>
      <c r="X195" s="12" t="s">
        <v>14</v>
      </c>
      <c r="Y195" s="12" t="s">
        <v>14</v>
      </c>
      <c r="Z195" s="13" t="s">
        <v>280</v>
      </c>
    </row>
    <row r="196" spans="1:26" ht="19.899999999999999" customHeight="1" x14ac:dyDescent="0.25">
      <c r="A196" s="6">
        <v>45974</v>
      </c>
      <c r="B196" s="7" t="s">
        <v>511</v>
      </c>
      <c r="C196" s="8" t="s">
        <v>772</v>
      </c>
      <c r="D196" s="8" t="s">
        <v>265</v>
      </c>
      <c r="E196" s="8" t="s">
        <v>773</v>
      </c>
      <c r="F196" s="9" t="s">
        <v>520</v>
      </c>
      <c r="G196" s="9" t="s">
        <v>515</v>
      </c>
      <c r="H196" s="9" t="s">
        <v>774</v>
      </c>
      <c r="I196" s="9" t="s">
        <v>66</v>
      </c>
      <c r="J196" s="10" t="s">
        <v>15</v>
      </c>
      <c r="K196" s="15" t="str">
        <f>VLOOKUP(J196,DADOS!$A$3:$B$105,2,FALSE)</f>
        <v>EE-GI-001-002</v>
      </c>
      <c r="L196" s="15" t="s">
        <v>332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1</v>
      </c>
      <c r="S196" s="17" t="b">
        <v>0</v>
      </c>
      <c r="T196" s="17" t="b">
        <v>0</v>
      </c>
      <c r="U196" s="17" t="b">
        <v>0</v>
      </c>
      <c r="V196" s="17" t="b">
        <v>0</v>
      </c>
      <c r="W196" s="11" t="s">
        <v>265</v>
      </c>
      <c r="X196" s="12" t="s">
        <v>14</v>
      </c>
      <c r="Y196" s="12" t="s">
        <v>14</v>
      </c>
      <c r="Z196" s="13" t="s">
        <v>280</v>
      </c>
    </row>
    <row r="197" spans="1:26" ht="19.899999999999999" customHeight="1" x14ac:dyDescent="0.25">
      <c r="A197" s="6">
        <v>45974</v>
      </c>
      <c r="B197" s="7" t="s">
        <v>511</v>
      </c>
      <c r="C197" s="8" t="s">
        <v>775</v>
      </c>
      <c r="D197" s="8" t="s">
        <v>776</v>
      </c>
      <c r="E197" s="8" t="s">
        <v>777</v>
      </c>
      <c r="F197" s="9" t="s">
        <v>778</v>
      </c>
      <c r="G197" s="9" t="s">
        <v>779</v>
      </c>
      <c r="H197" s="9" t="s">
        <v>780</v>
      </c>
      <c r="I197" s="9" t="s">
        <v>65</v>
      </c>
      <c r="J197" s="10" t="s">
        <v>16</v>
      </c>
      <c r="K197" s="15" t="str">
        <f>VLOOKUP(J197,DADOS!$A$3:$B$105,2,FALSE)</f>
        <v>EE-GI-001-003</v>
      </c>
      <c r="L197" s="15" t="s">
        <v>332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1</v>
      </c>
      <c r="S197" s="17" t="b">
        <v>0</v>
      </c>
      <c r="T197" s="17" t="b">
        <v>0</v>
      </c>
      <c r="U197" s="17" t="b">
        <v>0</v>
      </c>
      <c r="V197" s="17" t="b">
        <v>0</v>
      </c>
      <c r="W197" s="11" t="s">
        <v>776</v>
      </c>
      <c r="X197" s="12" t="s">
        <v>14</v>
      </c>
      <c r="Y197" s="12" t="s">
        <v>14</v>
      </c>
      <c r="Z197" s="13" t="s">
        <v>280</v>
      </c>
    </row>
    <row r="198" spans="1:26" ht="19.899999999999999" customHeight="1" x14ac:dyDescent="0.25">
      <c r="A198" s="6">
        <v>45974</v>
      </c>
      <c r="B198" s="7" t="s">
        <v>511</v>
      </c>
      <c r="C198" s="8" t="s">
        <v>781</v>
      </c>
      <c r="D198" s="8" t="s">
        <v>527</v>
      </c>
      <c r="E198" s="8" t="s">
        <v>782</v>
      </c>
      <c r="F198" s="9" t="s">
        <v>783</v>
      </c>
      <c r="G198" s="9" t="s">
        <v>562</v>
      </c>
      <c r="H198" s="9" t="s">
        <v>784</v>
      </c>
      <c r="I198" s="9" t="s">
        <v>66</v>
      </c>
      <c r="J198" s="10" t="s">
        <v>15</v>
      </c>
      <c r="K198" s="15" t="str">
        <f>VLOOKUP(J198,DADOS!$A$3:$B$105,2,FALSE)</f>
        <v>EE-GI-001-002</v>
      </c>
      <c r="L198" s="15" t="s">
        <v>332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1</v>
      </c>
      <c r="S198" s="17" t="b">
        <v>0</v>
      </c>
      <c r="T198" s="17" t="b">
        <v>0</v>
      </c>
      <c r="U198" s="17" t="b">
        <v>0</v>
      </c>
      <c r="V198" s="17" t="b">
        <v>0</v>
      </c>
      <c r="W198" s="11" t="s">
        <v>527</v>
      </c>
      <c r="X198" s="12" t="s">
        <v>14</v>
      </c>
      <c r="Y198" s="12" t="s">
        <v>14</v>
      </c>
      <c r="Z198" s="13" t="s">
        <v>280</v>
      </c>
    </row>
    <row r="199" spans="1:26" ht="19.899999999999999" customHeight="1" x14ac:dyDescent="0.25">
      <c r="A199" s="6">
        <v>45974</v>
      </c>
      <c r="B199" s="7" t="s">
        <v>785</v>
      </c>
      <c r="C199" s="8" t="s">
        <v>786</v>
      </c>
      <c r="D199" s="8" t="s">
        <v>352</v>
      </c>
      <c r="E199" s="8" t="s">
        <v>787</v>
      </c>
      <c r="F199" s="9" t="s">
        <v>788</v>
      </c>
      <c r="G199" s="9" t="s">
        <v>789</v>
      </c>
      <c r="H199" s="9" t="s">
        <v>791</v>
      </c>
      <c r="I199" s="9" t="s">
        <v>69</v>
      </c>
      <c r="J199" s="10" t="s">
        <v>190</v>
      </c>
      <c r="K199" s="15" t="str">
        <f>VLOOKUP(J199,DADOS!$A$3:$B$105,2,FALSE)</f>
        <v>EE-GI-001-037</v>
      </c>
      <c r="L199" s="15" t="s">
        <v>332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1</v>
      </c>
      <c r="S199" s="17" t="b">
        <v>0</v>
      </c>
      <c r="T199" s="17" t="b">
        <v>0</v>
      </c>
      <c r="U199" s="17" t="b">
        <v>0</v>
      </c>
      <c r="V199" s="17" t="b">
        <v>0</v>
      </c>
      <c r="W199" s="11" t="s">
        <v>14</v>
      </c>
      <c r="X199" s="12" t="s">
        <v>352</v>
      </c>
      <c r="Y199" s="12" t="s">
        <v>790</v>
      </c>
      <c r="Z199" s="12" t="s">
        <v>280</v>
      </c>
    </row>
    <row r="200" spans="1:26" ht="19.899999999999999" customHeight="1" x14ac:dyDescent="0.25">
      <c r="A200" s="6">
        <v>45974</v>
      </c>
      <c r="B200" s="7" t="s">
        <v>841</v>
      </c>
      <c r="C200" s="8" t="s">
        <v>983</v>
      </c>
      <c r="D200" s="8" t="s">
        <v>290</v>
      </c>
      <c r="E200" s="8" t="s">
        <v>844</v>
      </c>
      <c r="F200" s="9" t="s">
        <v>986</v>
      </c>
      <c r="G200" s="9" t="s">
        <v>847</v>
      </c>
      <c r="H200" s="9" t="s">
        <v>985</v>
      </c>
      <c r="I200" s="9" t="s">
        <v>66</v>
      </c>
      <c r="J200" s="10" t="s">
        <v>241</v>
      </c>
      <c r="K200" s="15" t="str">
        <f>VLOOKUP(J200,DADOS!$A$3:$B$105,2,FALSE)</f>
        <v>EE-GI-221-048</v>
      </c>
      <c r="L200" s="15" t="s">
        <v>982</v>
      </c>
      <c r="M200" s="18" t="b">
        <v>1</v>
      </c>
      <c r="N200" s="17" t="b">
        <v>1</v>
      </c>
      <c r="O200" s="17" t="b">
        <v>1</v>
      </c>
      <c r="P200" s="17" t="b">
        <v>1</v>
      </c>
      <c r="Q200" s="17" t="b">
        <v>1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0</v>
      </c>
      <c r="W200" s="11" t="s">
        <v>290</v>
      </c>
      <c r="X200" s="12" t="s">
        <v>14</v>
      </c>
      <c r="Y200" s="12" t="s">
        <v>14</v>
      </c>
      <c r="Z200" s="13" t="s">
        <v>322</v>
      </c>
    </row>
    <row r="201" spans="1:26" ht="19.899999999999999" customHeight="1" x14ac:dyDescent="0.25">
      <c r="A201" s="6">
        <v>45974</v>
      </c>
      <c r="B201" s="7" t="s">
        <v>841</v>
      </c>
      <c r="C201" s="8" t="s">
        <v>983</v>
      </c>
      <c r="D201" s="8" t="s">
        <v>309</v>
      </c>
      <c r="E201" s="8" t="s">
        <v>844</v>
      </c>
      <c r="F201" s="9" t="s">
        <v>984</v>
      </c>
      <c r="G201" s="9" t="s">
        <v>847</v>
      </c>
      <c r="H201" s="9" t="s">
        <v>985</v>
      </c>
      <c r="I201" s="9" t="s">
        <v>66</v>
      </c>
      <c r="J201" s="10" t="s">
        <v>241</v>
      </c>
      <c r="K201" s="15" t="str">
        <f>VLOOKUP(J201,DADOS!$A$3:$B$105,2,FALSE)</f>
        <v>EE-GI-221-048</v>
      </c>
      <c r="L201" s="15" t="s">
        <v>982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1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0</v>
      </c>
      <c r="W201" s="11" t="s">
        <v>309</v>
      </c>
      <c r="X201" s="12" t="s">
        <v>14</v>
      </c>
      <c r="Y201" s="12" t="s">
        <v>14</v>
      </c>
      <c r="Z201" s="13" t="s">
        <v>322</v>
      </c>
    </row>
    <row r="202" spans="1:26" ht="19.899999999999999" customHeight="1" x14ac:dyDescent="0.25">
      <c r="A202" s="6">
        <v>45974</v>
      </c>
      <c r="B202" s="7" t="s">
        <v>841</v>
      </c>
      <c r="C202" s="8" t="s">
        <v>979</v>
      </c>
      <c r="D202" s="8" t="s">
        <v>595</v>
      </c>
      <c r="E202" s="8" t="s">
        <v>844</v>
      </c>
      <c r="F202" s="9" t="s">
        <v>980</v>
      </c>
      <c r="G202" s="9" t="s">
        <v>847</v>
      </c>
      <c r="H202" s="9" t="s">
        <v>981</v>
      </c>
      <c r="I202" s="9" t="s">
        <v>66</v>
      </c>
      <c r="J202" s="10" t="s">
        <v>241</v>
      </c>
      <c r="K202" s="15" t="str">
        <f>VLOOKUP(J202,DADOS!$A$3:$B$105,2,FALSE)</f>
        <v>EE-GI-221-048</v>
      </c>
      <c r="L202" s="15" t="s">
        <v>982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1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0</v>
      </c>
      <c r="W202" s="11" t="s">
        <v>595</v>
      </c>
      <c r="X202" s="12" t="s">
        <v>14</v>
      </c>
      <c r="Y202" s="12" t="s">
        <v>14</v>
      </c>
      <c r="Z202" s="13" t="s">
        <v>322</v>
      </c>
    </row>
    <row r="203" spans="1:26" ht="19.899999999999999" customHeight="1" x14ac:dyDescent="0.25">
      <c r="A203" s="6">
        <v>45974</v>
      </c>
      <c r="B203" s="7" t="s">
        <v>785</v>
      </c>
      <c r="C203" s="8" t="s">
        <v>786</v>
      </c>
      <c r="D203" s="8" t="s">
        <v>352</v>
      </c>
      <c r="E203" s="8" t="s">
        <v>787</v>
      </c>
      <c r="F203" s="9" t="s">
        <v>792</v>
      </c>
      <c r="G203" s="9" t="s">
        <v>793</v>
      </c>
      <c r="H203" s="9" t="s">
        <v>794</v>
      </c>
      <c r="I203" s="9" t="s">
        <v>69</v>
      </c>
      <c r="J203" s="10" t="s">
        <v>190</v>
      </c>
      <c r="K203" s="15" t="str">
        <f>VLOOKUP(J203,DADOS!$A$3:$B$105,2,FALSE)</f>
        <v>EE-GI-001-037</v>
      </c>
      <c r="L203" s="15" t="s">
        <v>332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1</v>
      </c>
      <c r="S203" s="17" t="b">
        <v>0</v>
      </c>
      <c r="T203" s="17" t="b">
        <v>0</v>
      </c>
      <c r="U203" s="17" t="b">
        <v>0</v>
      </c>
      <c r="V203" s="17" t="b">
        <v>0</v>
      </c>
      <c r="W203" s="11" t="s">
        <v>14</v>
      </c>
      <c r="X203" s="12" t="s">
        <v>352</v>
      </c>
      <c r="Y203" s="12" t="s">
        <v>790</v>
      </c>
      <c r="Z203" s="12" t="s">
        <v>280</v>
      </c>
    </row>
    <row r="204" spans="1:26" ht="19.899999999999999" customHeight="1" x14ac:dyDescent="0.25">
      <c r="A204" s="6">
        <v>45974</v>
      </c>
      <c r="B204" s="7" t="s">
        <v>785</v>
      </c>
      <c r="C204" s="8" t="s">
        <v>795</v>
      </c>
      <c r="D204" s="8" t="s">
        <v>352</v>
      </c>
      <c r="E204" s="8" t="s">
        <v>787</v>
      </c>
      <c r="F204" s="9" t="s">
        <v>796</v>
      </c>
      <c r="G204" s="9" t="s">
        <v>797</v>
      </c>
      <c r="H204" s="9" t="s">
        <v>798</v>
      </c>
      <c r="I204" s="9" t="s">
        <v>69</v>
      </c>
      <c r="J204" s="10" t="s">
        <v>15</v>
      </c>
      <c r="K204" s="15" t="str">
        <f>VLOOKUP(J204,DADOS!$A$3:$B$105,2,FALSE)</f>
        <v>EE-GI-001-002</v>
      </c>
      <c r="L204" s="15" t="s">
        <v>332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1</v>
      </c>
      <c r="S204" s="17" t="b">
        <v>0</v>
      </c>
      <c r="T204" s="17" t="b">
        <v>0</v>
      </c>
      <c r="U204" s="17" t="b">
        <v>0</v>
      </c>
      <c r="V204" s="17" t="b">
        <v>0</v>
      </c>
      <c r="W204" s="11" t="s">
        <v>352</v>
      </c>
      <c r="X204" s="12" t="s">
        <v>14</v>
      </c>
      <c r="Y204" s="12" t="s">
        <v>14</v>
      </c>
      <c r="Z204" s="13" t="s">
        <v>280</v>
      </c>
    </row>
    <row r="205" spans="1:26" ht="19.899999999999999" customHeight="1" x14ac:dyDescent="0.25">
      <c r="A205" s="6">
        <v>45974</v>
      </c>
      <c r="B205" s="7" t="s">
        <v>785</v>
      </c>
      <c r="C205" s="8" t="s">
        <v>799</v>
      </c>
      <c r="D205" s="8" t="s">
        <v>265</v>
      </c>
      <c r="E205" s="8" t="s">
        <v>787</v>
      </c>
      <c r="F205" s="9" t="s">
        <v>800</v>
      </c>
      <c r="G205" s="9" t="s">
        <v>801</v>
      </c>
      <c r="H205" s="9" t="s">
        <v>802</v>
      </c>
      <c r="I205" s="9" t="s">
        <v>69</v>
      </c>
      <c r="J205" s="10" t="s">
        <v>190</v>
      </c>
      <c r="K205" s="15" t="str">
        <f>VLOOKUP(J205,DADOS!$A$3:$B$105,2,FALSE)</f>
        <v>EE-GI-001-037</v>
      </c>
      <c r="L205" s="15" t="s">
        <v>332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1</v>
      </c>
      <c r="S205" s="17" t="b">
        <v>0</v>
      </c>
      <c r="T205" s="17" t="b">
        <v>0</v>
      </c>
      <c r="U205" s="17" t="b">
        <v>0</v>
      </c>
      <c r="V205" s="17" t="b">
        <v>0</v>
      </c>
      <c r="W205" s="11" t="s">
        <v>265</v>
      </c>
      <c r="X205" s="12" t="s">
        <v>14</v>
      </c>
      <c r="Y205" s="12" t="s">
        <v>14</v>
      </c>
      <c r="Z205" s="13" t="s">
        <v>280</v>
      </c>
    </row>
    <row r="206" spans="1:26" ht="19.899999999999999" customHeight="1" x14ac:dyDescent="0.25">
      <c r="A206" s="6">
        <v>45974</v>
      </c>
      <c r="B206" s="7" t="s">
        <v>785</v>
      </c>
      <c r="C206" s="8" t="s">
        <v>799</v>
      </c>
      <c r="D206" s="8" t="s">
        <v>352</v>
      </c>
      <c r="E206" s="8" t="s">
        <v>787</v>
      </c>
      <c r="F206" s="9" t="s">
        <v>805</v>
      </c>
      <c r="G206" s="9" t="s">
        <v>804</v>
      </c>
      <c r="H206" s="9" t="s">
        <v>803</v>
      </c>
      <c r="I206" s="9" t="s">
        <v>69</v>
      </c>
      <c r="J206" s="10" t="s">
        <v>190</v>
      </c>
      <c r="K206" s="15" t="str">
        <f>VLOOKUP(J206,DADOS!$A$3:$B$105,2,FALSE)</f>
        <v>EE-GI-001-037</v>
      </c>
      <c r="L206" s="15" t="s">
        <v>332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1</v>
      </c>
      <c r="S206" s="17" t="b">
        <v>0</v>
      </c>
      <c r="T206" s="17" t="b">
        <v>0</v>
      </c>
      <c r="U206" s="17" t="b">
        <v>0</v>
      </c>
      <c r="V206" s="17" t="b">
        <v>0</v>
      </c>
      <c r="W206" s="11" t="s">
        <v>352</v>
      </c>
      <c r="X206" s="12" t="s">
        <v>14</v>
      </c>
      <c r="Y206" s="12" t="s">
        <v>14</v>
      </c>
      <c r="Z206" s="13" t="s">
        <v>280</v>
      </c>
    </row>
    <row r="207" spans="1:26" ht="19.899999999999999" customHeight="1" x14ac:dyDescent="0.25">
      <c r="A207" s="6">
        <v>45974</v>
      </c>
      <c r="B207" s="7" t="s">
        <v>817</v>
      </c>
      <c r="C207" s="8" t="s">
        <v>818</v>
      </c>
      <c r="D207" s="8" t="s">
        <v>309</v>
      </c>
      <c r="E207" s="8" t="s">
        <v>819</v>
      </c>
      <c r="F207" s="9" t="s">
        <v>820</v>
      </c>
      <c r="G207" s="9" t="s">
        <v>821</v>
      </c>
      <c r="H207" s="9" t="s">
        <v>822</v>
      </c>
      <c r="I207" s="9" t="s">
        <v>14</v>
      </c>
      <c r="J207" s="10" t="s">
        <v>14</v>
      </c>
      <c r="K207" s="15" t="e">
        <f>VLOOKUP(J207,DADOS!$A$3:$B$105,2,FALSE)</f>
        <v>#N/A</v>
      </c>
      <c r="L207" s="15" t="s">
        <v>278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0</v>
      </c>
      <c r="U207" s="17" t="b">
        <v>0</v>
      </c>
      <c r="V207" s="17" t="b">
        <v>0</v>
      </c>
      <c r="W207" s="11" t="s">
        <v>309</v>
      </c>
      <c r="X207" s="12" t="s">
        <v>14</v>
      </c>
      <c r="Y207" s="12" t="s">
        <v>14</v>
      </c>
      <c r="Z207" s="13" t="s">
        <v>280</v>
      </c>
    </row>
    <row r="208" spans="1:26" ht="19.899999999999999" customHeight="1" x14ac:dyDescent="0.25">
      <c r="A208" s="6">
        <v>45974</v>
      </c>
      <c r="B208" s="7" t="s">
        <v>428</v>
      </c>
      <c r="C208" s="8" t="s">
        <v>1150</v>
      </c>
      <c r="D208" s="8" t="s">
        <v>265</v>
      </c>
      <c r="E208" s="8" t="s">
        <v>1151</v>
      </c>
      <c r="F208" s="9" t="s">
        <v>1152</v>
      </c>
      <c r="G208" s="9" t="s">
        <v>1153</v>
      </c>
      <c r="H208" s="9" t="s">
        <v>1154</v>
      </c>
      <c r="I208" s="9" t="s">
        <v>65</v>
      </c>
      <c r="J208" s="10" t="s">
        <v>258</v>
      </c>
      <c r="K208" s="15" t="str">
        <f>VLOOKUP(J208,DADOS!$A$3:$B$105,2,FALSE)</f>
        <v>EE-GI-001-071</v>
      </c>
      <c r="L208" s="15" t="s">
        <v>278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0</v>
      </c>
      <c r="U208" s="17" t="b">
        <v>0</v>
      </c>
      <c r="V208" s="17" t="b">
        <v>0</v>
      </c>
      <c r="W208" s="11" t="s">
        <v>265</v>
      </c>
      <c r="X208" s="12" t="s">
        <v>14</v>
      </c>
      <c r="Y208" s="12" t="s">
        <v>14</v>
      </c>
      <c r="Z208" s="13" t="s">
        <v>280</v>
      </c>
    </row>
    <row r="209" spans="1:26" ht="19.899999999999999" customHeight="1" x14ac:dyDescent="0.25">
      <c r="A209" s="6">
        <v>45974</v>
      </c>
      <c r="B209" s="7" t="s">
        <v>428</v>
      </c>
      <c r="C209" s="8" t="s">
        <v>1155</v>
      </c>
      <c r="D209" s="8" t="s">
        <v>352</v>
      </c>
      <c r="E209" s="8" t="s">
        <v>1151</v>
      </c>
      <c r="F209" s="9" t="s">
        <v>1156</v>
      </c>
      <c r="G209" s="9" t="s">
        <v>1157</v>
      </c>
      <c r="H209" s="9" t="s">
        <v>1158</v>
      </c>
      <c r="I209" s="9" t="s">
        <v>70</v>
      </c>
      <c r="J209" s="10" t="s">
        <v>254</v>
      </c>
      <c r="K209" s="15" t="str">
        <f>VLOOKUP(J209,DADOS!$A$3:$B$105,2,FALSE)</f>
        <v>EE-GI-001-073</v>
      </c>
      <c r="L209" s="15" t="s">
        <v>304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1</v>
      </c>
      <c r="S209" s="17" t="b">
        <v>0</v>
      </c>
      <c r="T209" s="17" t="b">
        <v>0</v>
      </c>
      <c r="U209" s="17" t="b">
        <v>0</v>
      </c>
      <c r="V209" s="17" t="b">
        <v>0</v>
      </c>
      <c r="W209" s="11" t="s">
        <v>352</v>
      </c>
      <c r="X209" s="12" t="s">
        <v>14</v>
      </c>
      <c r="Y209" s="12" t="s">
        <v>14</v>
      </c>
      <c r="Z209" s="13" t="s">
        <v>280</v>
      </c>
    </row>
    <row r="210" spans="1:26" ht="19.899999999999999" customHeight="1" x14ac:dyDescent="0.25">
      <c r="A210" s="6">
        <v>45974</v>
      </c>
      <c r="B210" s="7" t="s">
        <v>1159</v>
      </c>
      <c r="C210" s="8" t="s">
        <v>1160</v>
      </c>
      <c r="D210" s="8" t="s">
        <v>352</v>
      </c>
      <c r="E210" s="8" t="s">
        <v>1161</v>
      </c>
      <c r="F210" s="9" t="s">
        <v>1162</v>
      </c>
      <c r="G210" s="9" t="s">
        <v>1163</v>
      </c>
      <c r="H210" s="9" t="s">
        <v>1164</v>
      </c>
      <c r="I210" s="9" t="s">
        <v>70</v>
      </c>
      <c r="J210" s="10" t="s">
        <v>254</v>
      </c>
      <c r="K210" s="15" t="str">
        <f>VLOOKUP(J210,DADOS!$A$3:$B$105,2,FALSE)</f>
        <v>EE-GI-001-073</v>
      </c>
      <c r="L210" s="15" t="s">
        <v>304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1</v>
      </c>
      <c r="S210" s="17" t="b">
        <v>0</v>
      </c>
      <c r="T210" s="17" t="b">
        <v>0</v>
      </c>
      <c r="U210" s="17" t="b">
        <v>0</v>
      </c>
      <c r="V210" s="17" t="b">
        <v>0</v>
      </c>
      <c r="W210" s="11" t="s">
        <v>352</v>
      </c>
      <c r="X210" s="12" t="s">
        <v>14</v>
      </c>
      <c r="Y210" s="12" t="s">
        <v>14</v>
      </c>
      <c r="Z210" s="13" t="s">
        <v>280</v>
      </c>
    </row>
    <row r="211" spans="1:26" ht="19.899999999999999" customHeight="1" x14ac:dyDescent="0.25">
      <c r="A211" s="6">
        <v>45974</v>
      </c>
      <c r="B211" s="7" t="s">
        <v>1165</v>
      </c>
      <c r="C211" s="8" t="s">
        <v>1166</v>
      </c>
      <c r="D211" s="8" t="s">
        <v>352</v>
      </c>
      <c r="E211" s="8" t="s">
        <v>1167</v>
      </c>
      <c r="F211" s="9" t="s">
        <v>1168</v>
      </c>
      <c r="G211" s="9" t="s">
        <v>1169</v>
      </c>
      <c r="H211" s="9" t="s">
        <v>1580</v>
      </c>
      <c r="I211" s="9" t="s">
        <v>69</v>
      </c>
      <c r="J211" s="10" t="s">
        <v>258</v>
      </c>
      <c r="K211" s="15" t="str">
        <f>VLOOKUP(J211,DADOS!$A$3:$B$105,2,FALSE)</f>
        <v>EE-GI-001-071</v>
      </c>
      <c r="L211" s="15" t="s">
        <v>332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0</v>
      </c>
      <c r="W211" s="11" t="s">
        <v>352</v>
      </c>
      <c r="X211" s="12" t="s">
        <v>14</v>
      </c>
      <c r="Y211" s="12" t="s">
        <v>14</v>
      </c>
      <c r="Z211" s="13" t="s">
        <v>280</v>
      </c>
    </row>
    <row r="212" spans="1:26" ht="19.899999999999999" customHeight="1" x14ac:dyDescent="0.25">
      <c r="A212" s="6">
        <v>45975</v>
      </c>
      <c r="B212" s="7" t="s">
        <v>727</v>
      </c>
      <c r="C212" s="8" t="s">
        <v>594</v>
      </c>
      <c r="D212" s="8" t="s">
        <v>323</v>
      </c>
      <c r="E212" s="8" t="s">
        <v>836</v>
      </c>
      <c r="F212" s="9" t="s">
        <v>837</v>
      </c>
      <c r="G212" s="9" t="s">
        <v>753</v>
      </c>
      <c r="H212" s="9" t="s">
        <v>14</v>
      </c>
      <c r="I212" s="9" t="s">
        <v>66</v>
      </c>
      <c r="J212" s="10" t="s">
        <v>186</v>
      </c>
      <c r="K212" s="15" t="str">
        <f>VLOOKUP(J212,DADOS!$A$3:$B$105,2,FALSE)</f>
        <v>EE-GI-001-008</v>
      </c>
      <c r="L212" s="15" t="s">
        <v>332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323</v>
      </c>
      <c r="X212" s="12" t="s">
        <v>14</v>
      </c>
      <c r="Y212" s="12" t="s">
        <v>14</v>
      </c>
      <c r="Z212" s="13" t="s">
        <v>280</v>
      </c>
    </row>
    <row r="213" spans="1:26" ht="19.899999999999999" customHeight="1" x14ac:dyDescent="0.25">
      <c r="A213" s="6">
        <v>45975</v>
      </c>
      <c r="B213" s="7" t="s">
        <v>727</v>
      </c>
      <c r="C213" s="8" t="s">
        <v>838</v>
      </c>
      <c r="D213" s="8" t="s">
        <v>309</v>
      </c>
      <c r="E213" s="8" t="s">
        <v>836</v>
      </c>
      <c r="F213" s="9" t="s">
        <v>839</v>
      </c>
      <c r="G213" s="9" t="s">
        <v>840</v>
      </c>
      <c r="H213" s="9" t="s">
        <v>14</v>
      </c>
      <c r="I213" s="9" t="s">
        <v>67</v>
      </c>
      <c r="J213" s="10" t="s">
        <v>186</v>
      </c>
      <c r="K213" s="15" t="str">
        <f>VLOOKUP(J213,DADOS!$A$3:$B$105,2,FALSE)</f>
        <v>EE-GI-001-008</v>
      </c>
      <c r="L213" s="15" t="s">
        <v>332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0</v>
      </c>
      <c r="U213" s="17" t="b">
        <v>0</v>
      </c>
      <c r="V213" s="17" t="b">
        <v>1</v>
      </c>
      <c r="W213" s="11" t="s">
        <v>309</v>
      </c>
      <c r="X213" s="12" t="s">
        <v>14</v>
      </c>
      <c r="Y213" s="12" t="s">
        <v>14</v>
      </c>
      <c r="Z213" s="13" t="s">
        <v>280</v>
      </c>
    </row>
    <row r="214" spans="1:26" ht="19.899999999999999" customHeight="1" x14ac:dyDescent="0.25">
      <c r="A214" s="6">
        <v>45975</v>
      </c>
      <c r="B214" s="7" t="s">
        <v>841</v>
      </c>
      <c r="C214" s="8" t="s">
        <v>842</v>
      </c>
      <c r="D214" s="8" t="s">
        <v>843</v>
      </c>
      <c r="E214" s="8" t="s">
        <v>844</v>
      </c>
      <c r="F214" s="9" t="s">
        <v>845</v>
      </c>
      <c r="G214" s="9" t="s">
        <v>847</v>
      </c>
      <c r="H214" s="9" t="s">
        <v>848</v>
      </c>
      <c r="I214" s="9" t="s">
        <v>66</v>
      </c>
      <c r="J214" s="10" t="s">
        <v>241</v>
      </c>
      <c r="K214" s="15" t="str">
        <f>VLOOKUP(J214,DADOS!$A$3:$B$105,2,FALSE)</f>
        <v>EE-GI-221-048</v>
      </c>
      <c r="L214" s="15" t="s">
        <v>401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1</v>
      </c>
      <c r="R214" s="17" t="b">
        <v>0</v>
      </c>
      <c r="S214" s="17" t="b">
        <v>0</v>
      </c>
      <c r="T214" s="17" t="b">
        <v>0</v>
      </c>
      <c r="U214" s="17" t="b">
        <v>0</v>
      </c>
      <c r="V214" s="17" t="b">
        <v>0</v>
      </c>
      <c r="W214" s="11" t="s">
        <v>843</v>
      </c>
      <c r="X214" s="12" t="s">
        <v>14</v>
      </c>
      <c r="Y214" s="12" t="s">
        <v>14</v>
      </c>
      <c r="Z214" s="13" t="s">
        <v>280</v>
      </c>
    </row>
    <row r="215" spans="1:26" ht="19.899999999999999" customHeight="1" x14ac:dyDescent="0.25">
      <c r="A215" s="6">
        <v>45975</v>
      </c>
      <c r="B215" s="7" t="s">
        <v>841</v>
      </c>
      <c r="C215" s="8" t="s">
        <v>842</v>
      </c>
      <c r="D215" s="8" t="s">
        <v>603</v>
      </c>
      <c r="E215" s="8" t="s">
        <v>844</v>
      </c>
      <c r="F215" s="9" t="s">
        <v>846</v>
      </c>
      <c r="G215" s="9" t="s">
        <v>847</v>
      </c>
      <c r="H215" s="9" t="s">
        <v>848</v>
      </c>
      <c r="I215" s="9" t="s">
        <v>66</v>
      </c>
      <c r="J215" s="10" t="s">
        <v>241</v>
      </c>
      <c r="K215" s="15" t="str">
        <f>VLOOKUP(J215,DADOS!$A$3:$B$105,2,FALSE)</f>
        <v>EE-GI-221-048</v>
      </c>
      <c r="L215" s="15" t="s">
        <v>401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1</v>
      </c>
      <c r="R215" s="17" t="b">
        <v>0</v>
      </c>
      <c r="S215" s="17" t="b">
        <v>0</v>
      </c>
      <c r="T215" s="17" t="b">
        <v>0</v>
      </c>
      <c r="U215" s="17" t="b">
        <v>0</v>
      </c>
      <c r="V215" s="17" t="b">
        <v>0</v>
      </c>
      <c r="W215" s="11" t="s">
        <v>603</v>
      </c>
      <c r="X215" s="12" t="s">
        <v>14</v>
      </c>
      <c r="Y215" s="12" t="s">
        <v>14</v>
      </c>
      <c r="Z215" s="13" t="s">
        <v>280</v>
      </c>
    </row>
    <row r="216" spans="1:26" ht="19.899999999999999" customHeight="1" x14ac:dyDescent="0.25">
      <c r="A216" s="6">
        <v>45975</v>
      </c>
      <c r="B216" s="7" t="s">
        <v>841</v>
      </c>
      <c r="C216" s="8" t="s">
        <v>849</v>
      </c>
      <c r="D216" s="8" t="s">
        <v>265</v>
      </c>
      <c r="E216" s="8" t="s">
        <v>975</v>
      </c>
      <c r="F216" s="9" t="s">
        <v>851</v>
      </c>
      <c r="G216" s="9" t="s">
        <v>853</v>
      </c>
      <c r="H216" s="9" t="s">
        <v>852</v>
      </c>
      <c r="I216" s="9" t="s">
        <v>66</v>
      </c>
      <c r="J216" s="10" t="s">
        <v>25</v>
      </c>
      <c r="K216" s="15" t="str">
        <f>VLOOKUP(J216,DADOS!$A$3:$B$105,2,FALSE)</f>
        <v>EE-GI-221-032</v>
      </c>
      <c r="L216" s="15" t="s">
        <v>401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1</v>
      </c>
      <c r="R216" s="17" t="b">
        <v>0</v>
      </c>
      <c r="S216" s="17" t="b">
        <v>0</v>
      </c>
      <c r="T216" s="17" t="b">
        <v>0</v>
      </c>
      <c r="U216" s="17" t="b">
        <v>0</v>
      </c>
      <c r="V216" s="17" t="b">
        <v>0</v>
      </c>
      <c r="W216" s="11" t="s">
        <v>265</v>
      </c>
      <c r="X216" s="12" t="s">
        <v>14</v>
      </c>
      <c r="Y216" s="12" t="s">
        <v>14</v>
      </c>
      <c r="Z216" s="13" t="s">
        <v>280</v>
      </c>
    </row>
    <row r="217" spans="1:26" ht="19.899999999999999" customHeight="1" x14ac:dyDescent="0.25">
      <c r="A217" s="6">
        <v>45975</v>
      </c>
      <c r="B217" s="7" t="s">
        <v>841</v>
      </c>
      <c r="C217" s="8" t="s">
        <v>849</v>
      </c>
      <c r="D217" s="8" t="s">
        <v>352</v>
      </c>
      <c r="E217" s="8" t="s">
        <v>975</v>
      </c>
      <c r="F217" s="9" t="s">
        <v>854</v>
      </c>
      <c r="G217" s="9" t="s">
        <v>853</v>
      </c>
      <c r="H217" s="9" t="s">
        <v>852</v>
      </c>
      <c r="I217" s="9" t="s">
        <v>66</v>
      </c>
      <c r="J217" s="10" t="s">
        <v>25</v>
      </c>
      <c r="K217" s="15" t="str">
        <f>VLOOKUP(J217,DADOS!$A$3:$B$105,2,FALSE)</f>
        <v>EE-GI-221-032</v>
      </c>
      <c r="L217" s="15" t="s">
        <v>401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1</v>
      </c>
      <c r="R217" s="17" t="b">
        <v>0</v>
      </c>
      <c r="S217" s="17" t="b">
        <v>0</v>
      </c>
      <c r="T217" s="17" t="b">
        <v>0</v>
      </c>
      <c r="U217" s="17" t="b">
        <v>0</v>
      </c>
      <c r="V217" s="17" t="b">
        <v>0</v>
      </c>
      <c r="W217" s="11" t="s">
        <v>14</v>
      </c>
      <c r="X217" s="12" t="s">
        <v>352</v>
      </c>
      <c r="Y217" s="12" t="s">
        <v>855</v>
      </c>
      <c r="Z217" s="12" t="s">
        <v>280</v>
      </c>
    </row>
    <row r="218" spans="1:26" ht="19.899999999999999" customHeight="1" x14ac:dyDescent="0.25">
      <c r="A218" s="6">
        <v>45975</v>
      </c>
      <c r="B218" s="7" t="s">
        <v>841</v>
      </c>
      <c r="C218" s="8" t="s">
        <v>856</v>
      </c>
      <c r="D218" s="8" t="s">
        <v>527</v>
      </c>
      <c r="E218" s="8" t="s">
        <v>975</v>
      </c>
      <c r="F218" s="9" t="s">
        <v>857</v>
      </c>
      <c r="G218" s="9" t="s">
        <v>853</v>
      </c>
      <c r="H218" s="9" t="s">
        <v>858</v>
      </c>
      <c r="I218" s="9" t="s">
        <v>66</v>
      </c>
      <c r="J218" s="10" t="s">
        <v>25</v>
      </c>
      <c r="K218" s="15" t="str">
        <f>VLOOKUP(J218,DADOS!$A$3:$B$105,2,FALSE)</f>
        <v>EE-GI-221-032</v>
      </c>
      <c r="L218" s="15" t="s">
        <v>401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1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0</v>
      </c>
      <c r="W218" s="11" t="s">
        <v>527</v>
      </c>
      <c r="X218" s="12" t="s">
        <v>14</v>
      </c>
      <c r="Y218" s="12" t="s">
        <v>14</v>
      </c>
      <c r="Z218" s="13" t="s">
        <v>280</v>
      </c>
    </row>
    <row r="219" spans="1:26" ht="19.899999999999999" customHeight="1" x14ac:dyDescent="0.25">
      <c r="A219" s="6">
        <v>45975</v>
      </c>
      <c r="B219" s="7" t="s">
        <v>841</v>
      </c>
      <c r="C219" s="8" t="s">
        <v>859</v>
      </c>
      <c r="D219" s="8" t="s">
        <v>860</v>
      </c>
      <c r="E219" s="8" t="s">
        <v>844</v>
      </c>
      <c r="F219" s="9" t="s">
        <v>861</v>
      </c>
      <c r="G219" s="9" t="s">
        <v>847</v>
      </c>
      <c r="H219" s="9" t="s">
        <v>862</v>
      </c>
      <c r="I219" s="9" t="s">
        <v>66</v>
      </c>
      <c r="J219" s="10" t="s">
        <v>241</v>
      </c>
      <c r="K219" s="15" t="str">
        <f>VLOOKUP(J219,DADOS!$A$3:$B$105,2,FALSE)</f>
        <v>EE-GI-221-048</v>
      </c>
      <c r="L219" s="15" t="s">
        <v>401</v>
      </c>
      <c r="M219" s="18" t="b">
        <v>1</v>
      </c>
      <c r="N219" s="17" t="b">
        <v>1</v>
      </c>
      <c r="O219" s="17" t="b">
        <v>1</v>
      </c>
      <c r="P219" s="17" t="b">
        <v>1</v>
      </c>
      <c r="Q219" s="17" t="b">
        <v>1</v>
      </c>
      <c r="R219" s="17" t="b">
        <v>0</v>
      </c>
      <c r="S219" s="17" t="b">
        <v>0</v>
      </c>
      <c r="T219" s="17" t="b">
        <v>0</v>
      </c>
      <c r="U219" s="17" t="b">
        <v>0</v>
      </c>
      <c r="V219" s="17" t="b">
        <v>0</v>
      </c>
      <c r="W219" s="11" t="s">
        <v>527</v>
      </c>
      <c r="X219" s="12" t="s">
        <v>863</v>
      </c>
      <c r="Y219" s="12" t="s">
        <v>864</v>
      </c>
      <c r="Z219" s="12" t="s">
        <v>280</v>
      </c>
    </row>
    <row r="220" spans="1:26" ht="19.899999999999999" customHeight="1" x14ac:dyDescent="0.25">
      <c r="A220" s="6">
        <v>45975</v>
      </c>
      <c r="B220" s="7" t="s">
        <v>841</v>
      </c>
      <c r="C220" s="8" t="s">
        <v>859</v>
      </c>
      <c r="D220" s="8" t="s">
        <v>352</v>
      </c>
      <c r="E220" s="8" t="s">
        <v>844</v>
      </c>
      <c r="F220" s="9" t="s">
        <v>865</v>
      </c>
      <c r="G220" s="9" t="s">
        <v>847</v>
      </c>
      <c r="H220" s="9" t="s">
        <v>862</v>
      </c>
      <c r="I220" s="9" t="s">
        <v>66</v>
      </c>
      <c r="J220" s="10" t="s">
        <v>241</v>
      </c>
      <c r="K220" s="15" t="str">
        <f>VLOOKUP(J220,DADOS!$A$3:$B$105,2,FALSE)</f>
        <v>EE-GI-221-048</v>
      </c>
      <c r="L220" s="15" t="s">
        <v>401</v>
      </c>
      <c r="M220" s="18" t="b">
        <v>1</v>
      </c>
      <c r="N220" s="17" t="b">
        <v>1</v>
      </c>
      <c r="O220" s="17" t="b">
        <v>1</v>
      </c>
      <c r="P220" s="17" t="b">
        <v>1</v>
      </c>
      <c r="Q220" s="17" t="b">
        <v>1</v>
      </c>
      <c r="R220" s="17" t="b">
        <v>0</v>
      </c>
      <c r="S220" s="17" t="b">
        <v>0</v>
      </c>
      <c r="T220" s="17" t="b">
        <v>0</v>
      </c>
      <c r="U220" s="17" t="b">
        <v>0</v>
      </c>
      <c r="V220" s="17" t="b">
        <v>0</v>
      </c>
      <c r="W220" s="11" t="s">
        <v>352</v>
      </c>
      <c r="X220" s="12" t="s">
        <v>14</v>
      </c>
      <c r="Y220" s="12" t="s">
        <v>14</v>
      </c>
      <c r="Z220" s="13" t="s">
        <v>280</v>
      </c>
    </row>
    <row r="221" spans="1:26" ht="19.899999999999999" customHeight="1" x14ac:dyDescent="0.25">
      <c r="A221" s="6">
        <v>45975</v>
      </c>
      <c r="B221" s="7" t="s">
        <v>841</v>
      </c>
      <c r="C221" s="8" t="s">
        <v>859</v>
      </c>
      <c r="D221" s="8" t="s">
        <v>461</v>
      </c>
      <c r="E221" s="8" t="s">
        <v>850</v>
      </c>
      <c r="F221" s="9" t="s">
        <v>861</v>
      </c>
      <c r="G221" s="9" t="s">
        <v>847</v>
      </c>
      <c r="H221" s="9" t="s">
        <v>866</v>
      </c>
      <c r="I221" s="9" t="s">
        <v>66</v>
      </c>
      <c r="J221" s="10" t="s">
        <v>241</v>
      </c>
      <c r="K221" s="15" t="str">
        <f>VLOOKUP(J221,DADOS!$A$3:$B$105,2,FALSE)</f>
        <v>EE-GI-221-048</v>
      </c>
      <c r="L221" s="15" t="s">
        <v>401</v>
      </c>
      <c r="M221" s="18" t="b">
        <v>1</v>
      </c>
      <c r="N221" s="17" t="b">
        <v>1</v>
      </c>
      <c r="O221" s="17" t="b">
        <v>1</v>
      </c>
      <c r="P221" s="17" t="b">
        <v>1</v>
      </c>
      <c r="Q221" s="17" t="b">
        <v>1</v>
      </c>
      <c r="R221" s="17" t="b">
        <v>0</v>
      </c>
      <c r="S221" s="17" t="b">
        <v>0</v>
      </c>
      <c r="T221" s="17" t="b">
        <v>0</v>
      </c>
      <c r="U221" s="17" t="b">
        <v>0</v>
      </c>
      <c r="V221" s="17" t="b">
        <v>0</v>
      </c>
      <c r="W221" s="11" t="s">
        <v>461</v>
      </c>
      <c r="X221" s="12" t="s">
        <v>14</v>
      </c>
      <c r="Y221" s="12" t="s">
        <v>14</v>
      </c>
      <c r="Z221" s="13" t="s">
        <v>280</v>
      </c>
    </row>
    <row r="222" spans="1:26" ht="19.899999999999999" customHeight="1" x14ac:dyDescent="0.25">
      <c r="A222" s="6">
        <v>45975</v>
      </c>
      <c r="B222" s="7" t="s">
        <v>841</v>
      </c>
      <c r="C222" s="8" t="s">
        <v>867</v>
      </c>
      <c r="D222" s="8" t="s">
        <v>265</v>
      </c>
      <c r="E222" s="8" t="s">
        <v>868</v>
      </c>
      <c r="F222" s="9" t="s">
        <v>869</v>
      </c>
      <c r="G222" s="9" t="s">
        <v>871</v>
      </c>
      <c r="H222" s="9" t="s">
        <v>872</v>
      </c>
      <c r="I222" s="9" t="s">
        <v>70</v>
      </c>
      <c r="J222" s="10" t="s">
        <v>19</v>
      </c>
      <c r="K222" s="15" t="str">
        <f>VLOOKUP(J222,DADOS!$A$3:$B$105,2,FALSE)</f>
        <v>EE-GI-221-033</v>
      </c>
      <c r="L222" s="15" t="s">
        <v>401</v>
      </c>
      <c r="M222" s="18" t="b">
        <v>1</v>
      </c>
      <c r="N222" s="17" t="b">
        <v>1</v>
      </c>
      <c r="O222" s="17" t="b">
        <v>1</v>
      </c>
      <c r="P222" s="17" t="b">
        <v>1</v>
      </c>
      <c r="Q222" s="17" t="b">
        <v>1</v>
      </c>
      <c r="R222" s="17" t="b">
        <v>0</v>
      </c>
      <c r="S222" s="17" t="b">
        <v>0</v>
      </c>
      <c r="T222" s="17" t="b">
        <v>0</v>
      </c>
      <c r="U222" s="17" t="b">
        <v>0</v>
      </c>
      <c r="V222" s="17" t="b">
        <v>0</v>
      </c>
      <c r="W222" s="11" t="s">
        <v>265</v>
      </c>
      <c r="X222" s="12" t="s">
        <v>14</v>
      </c>
      <c r="Y222" s="12" t="s">
        <v>14</v>
      </c>
      <c r="Z222" s="13" t="s">
        <v>280</v>
      </c>
    </row>
    <row r="223" spans="1:26" ht="19.899999999999999" customHeight="1" x14ac:dyDescent="0.25">
      <c r="A223" s="6">
        <v>45975</v>
      </c>
      <c r="B223" s="7" t="s">
        <v>841</v>
      </c>
      <c r="C223" s="8" t="s">
        <v>867</v>
      </c>
      <c r="D223" s="8" t="s">
        <v>352</v>
      </c>
      <c r="E223" s="8" t="s">
        <v>868</v>
      </c>
      <c r="F223" s="9" t="s">
        <v>870</v>
      </c>
      <c r="G223" s="9" t="s">
        <v>871</v>
      </c>
      <c r="H223" s="9" t="s">
        <v>872</v>
      </c>
      <c r="I223" s="9" t="s">
        <v>70</v>
      </c>
      <c r="J223" s="10" t="s">
        <v>19</v>
      </c>
      <c r="K223" s="15" t="str">
        <f>VLOOKUP(J223,DADOS!$A$3:$B$105,2,FALSE)</f>
        <v>EE-GI-221-033</v>
      </c>
      <c r="L223" s="15" t="s">
        <v>401</v>
      </c>
      <c r="M223" s="18" t="b">
        <v>1</v>
      </c>
      <c r="N223" s="17" t="b">
        <v>1</v>
      </c>
      <c r="O223" s="17" t="b">
        <v>1</v>
      </c>
      <c r="P223" s="17" t="b">
        <v>1</v>
      </c>
      <c r="Q223" s="17" t="b">
        <v>1</v>
      </c>
      <c r="R223" s="17" t="b">
        <v>0</v>
      </c>
      <c r="S223" s="17" t="b">
        <v>0</v>
      </c>
      <c r="T223" s="17" t="b">
        <v>0</v>
      </c>
      <c r="U223" s="17" t="b">
        <v>0</v>
      </c>
      <c r="V223" s="17" t="b">
        <v>0</v>
      </c>
      <c r="W223" s="11" t="s">
        <v>352</v>
      </c>
      <c r="X223" s="12" t="s">
        <v>14</v>
      </c>
      <c r="Y223" s="12" t="s">
        <v>14</v>
      </c>
      <c r="Z223" s="13" t="s">
        <v>280</v>
      </c>
    </row>
    <row r="224" spans="1:26" ht="19.899999999999999" customHeight="1" x14ac:dyDescent="0.25">
      <c r="A224" s="6">
        <v>45975</v>
      </c>
      <c r="B224" s="7" t="s">
        <v>841</v>
      </c>
      <c r="C224" s="8" t="s">
        <v>873</v>
      </c>
      <c r="D224" s="8" t="s">
        <v>352</v>
      </c>
      <c r="E224" s="8" t="s">
        <v>868</v>
      </c>
      <c r="F224" s="9" t="s">
        <v>874</v>
      </c>
      <c r="G224" s="9" t="s">
        <v>871</v>
      </c>
      <c r="H224" s="9" t="s">
        <v>880</v>
      </c>
      <c r="I224" s="9" t="s">
        <v>70</v>
      </c>
      <c r="J224" s="10" t="s">
        <v>19</v>
      </c>
      <c r="K224" s="15" t="str">
        <f>VLOOKUP(J224,DADOS!$A$3:$B$105,2,FALSE)</f>
        <v>EE-GI-221-033</v>
      </c>
      <c r="L224" s="15" t="s">
        <v>401</v>
      </c>
      <c r="M224" s="18" t="b">
        <v>1</v>
      </c>
      <c r="N224" s="17" t="b">
        <v>1</v>
      </c>
      <c r="O224" s="17" t="b">
        <v>1</v>
      </c>
      <c r="P224" s="17" t="b">
        <v>1</v>
      </c>
      <c r="Q224" s="17" t="b">
        <v>1</v>
      </c>
      <c r="R224" s="17" t="b">
        <v>0</v>
      </c>
      <c r="S224" s="17" t="b">
        <v>0</v>
      </c>
      <c r="T224" s="17" t="b">
        <v>0</v>
      </c>
      <c r="U224" s="17" t="b">
        <v>0</v>
      </c>
      <c r="V224" s="17" t="b">
        <v>0</v>
      </c>
      <c r="W224" s="11" t="s">
        <v>352</v>
      </c>
      <c r="X224" s="12" t="s">
        <v>14</v>
      </c>
      <c r="Y224" s="12" t="s">
        <v>14</v>
      </c>
      <c r="Z224" s="13" t="s">
        <v>280</v>
      </c>
    </row>
    <row r="225" spans="1:27" ht="19.899999999999999" customHeight="1" x14ac:dyDescent="0.25">
      <c r="A225" s="6">
        <v>45975</v>
      </c>
      <c r="B225" s="7" t="s">
        <v>841</v>
      </c>
      <c r="C225" s="8" t="s">
        <v>873</v>
      </c>
      <c r="D225" s="8" t="s">
        <v>352</v>
      </c>
      <c r="E225" s="8" t="s">
        <v>868</v>
      </c>
      <c r="F225" s="9" t="s">
        <v>875</v>
      </c>
      <c r="G225" s="9" t="s">
        <v>871</v>
      </c>
      <c r="H225" s="9" t="s">
        <v>880</v>
      </c>
      <c r="I225" s="9" t="s">
        <v>70</v>
      </c>
      <c r="J225" s="10" t="s">
        <v>19</v>
      </c>
      <c r="K225" s="15" t="str">
        <f>VLOOKUP(J225,DADOS!$A$3:$B$105,2,FALSE)</f>
        <v>EE-GI-221-033</v>
      </c>
      <c r="L225" s="15" t="s">
        <v>401</v>
      </c>
      <c r="M225" s="18" t="b">
        <v>1</v>
      </c>
      <c r="N225" s="17" t="b">
        <v>1</v>
      </c>
      <c r="O225" s="17" t="b">
        <v>1</v>
      </c>
      <c r="P225" s="17" t="b">
        <v>1</v>
      </c>
      <c r="Q225" s="17" t="b">
        <v>1</v>
      </c>
      <c r="R225" s="17" t="b">
        <v>0</v>
      </c>
      <c r="S225" s="17" t="b">
        <v>0</v>
      </c>
      <c r="T225" s="17" t="b">
        <v>0</v>
      </c>
      <c r="U225" s="17" t="b">
        <v>0</v>
      </c>
      <c r="V225" s="17" t="b">
        <v>0</v>
      </c>
      <c r="W225" s="11" t="s">
        <v>352</v>
      </c>
      <c r="X225" s="12" t="s">
        <v>14</v>
      </c>
      <c r="Y225" s="12" t="s">
        <v>14</v>
      </c>
      <c r="Z225" s="13" t="s">
        <v>280</v>
      </c>
    </row>
    <row r="226" spans="1:27" ht="19.899999999999999" customHeight="1" x14ac:dyDescent="0.25">
      <c r="A226" s="6">
        <v>45975</v>
      </c>
      <c r="B226" s="7" t="s">
        <v>841</v>
      </c>
      <c r="C226" s="8" t="s">
        <v>873</v>
      </c>
      <c r="D226" s="8" t="s">
        <v>352</v>
      </c>
      <c r="E226" s="8" t="s">
        <v>868</v>
      </c>
      <c r="F226" s="9" t="s">
        <v>876</v>
      </c>
      <c r="G226" s="9" t="s">
        <v>871</v>
      </c>
      <c r="H226" s="9" t="s">
        <v>880</v>
      </c>
      <c r="I226" s="9" t="s">
        <v>70</v>
      </c>
      <c r="J226" s="10" t="s">
        <v>19</v>
      </c>
      <c r="K226" s="15" t="str">
        <f>VLOOKUP(J226,DADOS!$A$3:$B$105,2,FALSE)</f>
        <v>EE-GI-221-033</v>
      </c>
      <c r="L226" s="15" t="s">
        <v>401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1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0</v>
      </c>
      <c r="W226" s="11" t="s">
        <v>352</v>
      </c>
      <c r="X226" s="12" t="s">
        <v>14</v>
      </c>
      <c r="Y226" s="12" t="s">
        <v>14</v>
      </c>
      <c r="Z226" s="13" t="s">
        <v>280</v>
      </c>
    </row>
    <row r="227" spans="1:27" ht="19.899999999999999" customHeight="1" x14ac:dyDescent="0.25">
      <c r="A227" s="6">
        <v>45975</v>
      </c>
      <c r="B227" s="7" t="s">
        <v>841</v>
      </c>
      <c r="C227" s="8" t="s">
        <v>873</v>
      </c>
      <c r="D227" s="8" t="s">
        <v>352</v>
      </c>
      <c r="E227" s="8" t="s">
        <v>868</v>
      </c>
      <c r="F227" s="9" t="s">
        <v>877</v>
      </c>
      <c r="G227" s="9" t="s">
        <v>871</v>
      </c>
      <c r="H227" s="9" t="s">
        <v>880</v>
      </c>
      <c r="I227" s="9" t="s">
        <v>70</v>
      </c>
      <c r="J227" s="10" t="s">
        <v>19</v>
      </c>
      <c r="K227" s="15" t="str">
        <f>VLOOKUP(J227,DADOS!$A$3:$B$105,2,FALSE)</f>
        <v>EE-GI-221-033</v>
      </c>
      <c r="L227" s="15" t="s">
        <v>401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1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0</v>
      </c>
      <c r="W227" s="11" t="s">
        <v>352</v>
      </c>
      <c r="X227" s="12" t="s">
        <v>14</v>
      </c>
      <c r="Y227" s="12" t="s">
        <v>14</v>
      </c>
      <c r="Z227" s="13" t="s">
        <v>280</v>
      </c>
    </row>
    <row r="228" spans="1:27" ht="19.899999999999999" customHeight="1" x14ac:dyDescent="0.25">
      <c r="A228" s="6">
        <v>45975</v>
      </c>
      <c r="B228" s="7" t="s">
        <v>841</v>
      </c>
      <c r="C228" s="8" t="s">
        <v>873</v>
      </c>
      <c r="D228" s="8" t="s">
        <v>352</v>
      </c>
      <c r="E228" s="8" t="s">
        <v>868</v>
      </c>
      <c r="F228" s="9" t="s">
        <v>878</v>
      </c>
      <c r="G228" s="9" t="s">
        <v>871</v>
      </c>
      <c r="H228" s="9" t="s">
        <v>880</v>
      </c>
      <c r="I228" s="9" t="s">
        <v>70</v>
      </c>
      <c r="J228" s="10" t="s">
        <v>19</v>
      </c>
      <c r="K228" s="15" t="str">
        <f>VLOOKUP(J228,DADOS!$A$3:$B$105,2,FALSE)</f>
        <v>EE-GI-221-033</v>
      </c>
      <c r="L228" s="15" t="s">
        <v>401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1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0</v>
      </c>
      <c r="W228" s="11" t="s">
        <v>352</v>
      </c>
      <c r="X228" s="12" t="s">
        <v>14</v>
      </c>
      <c r="Y228" s="12" t="s">
        <v>14</v>
      </c>
      <c r="Z228" s="13" t="s">
        <v>280</v>
      </c>
    </row>
    <row r="229" spans="1:27" ht="19.899999999999999" customHeight="1" x14ac:dyDescent="0.25">
      <c r="A229" s="6">
        <v>45975</v>
      </c>
      <c r="B229" s="7" t="s">
        <v>841</v>
      </c>
      <c r="C229" s="8" t="s">
        <v>873</v>
      </c>
      <c r="D229" s="8" t="s">
        <v>352</v>
      </c>
      <c r="E229" s="8" t="s">
        <v>868</v>
      </c>
      <c r="F229" s="9" t="s">
        <v>879</v>
      </c>
      <c r="G229" s="9" t="s">
        <v>871</v>
      </c>
      <c r="H229" s="9" t="s">
        <v>880</v>
      </c>
      <c r="I229" s="9" t="s">
        <v>70</v>
      </c>
      <c r="J229" s="10" t="s">
        <v>19</v>
      </c>
      <c r="K229" s="15" t="str">
        <f>VLOOKUP(J229,DADOS!$A$3:$B$105,2,FALSE)</f>
        <v>EE-GI-221-033</v>
      </c>
      <c r="L229" s="15" t="s">
        <v>401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1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0</v>
      </c>
      <c r="W229" s="11" t="s">
        <v>352</v>
      </c>
      <c r="X229" s="12" t="s">
        <v>14</v>
      </c>
      <c r="Y229" s="12" t="s">
        <v>14</v>
      </c>
      <c r="Z229" s="13" t="s">
        <v>280</v>
      </c>
    </row>
    <row r="230" spans="1:27" ht="19.899999999999999" customHeight="1" x14ac:dyDescent="0.25">
      <c r="A230" s="6">
        <v>45975</v>
      </c>
      <c r="B230" s="7" t="s">
        <v>841</v>
      </c>
      <c r="C230" s="8" t="s">
        <v>881</v>
      </c>
      <c r="D230" s="8" t="s">
        <v>309</v>
      </c>
      <c r="E230" s="8" t="s">
        <v>975</v>
      </c>
      <c r="F230" s="9" t="s">
        <v>882</v>
      </c>
      <c r="G230" s="9" t="s">
        <v>883</v>
      </c>
      <c r="H230" s="9" t="s">
        <v>884</v>
      </c>
      <c r="I230" s="9" t="s">
        <v>66</v>
      </c>
      <c r="J230" s="10" t="s">
        <v>60</v>
      </c>
      <c r="K230" s="15" t="str">
        <f>VLOOKUP(J230,DADOS!$A$3:$B$105,2,FALSE)</f>
        <v>EE-GI-221-038</v>
      </c>
      <c r="L230" s="15" t="s">
        <v>401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1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0</v>
      </c>
      <c r="W230" s="11" t="s">
        <v>309</v>
      </c>
      <c r="X230" s="12" t="s">
        <v>14</v>
      </c>
      <c r="Y230" s="12" t="s">
        <v>14</v>
      </c>
      <c r="Z230" s="13" t="s">
        <v>280</v>
      </c>
    </row>
    <row r="231" spans="1:27" ht="19.899999999999999" customHeight="1" x14ac:dyDescent="0.25">
      <c r="A231" s="6">
        <v>45975</v>
      </c>
      <c r="B231" s="7" t="s">
        <v>841</v>
      </c>
      <c r="C231" s="8" t="s">
        <v>885</v>
      </c>
      <c r="D231" s="8" t="s">
        <v>603</v>
      </c>
      <c r="E231" s="8" t="s">
        <v>886</v>
      </c>
      <c r="F231" s="9" t="s">
        <v>887</v>
      </c>
      <c r="G231" s="9" t="s">
        <v>888</v>
      </c>
      <c r="H231" s="9" t="s">
        <v>889</v>
      </c>
      <c r="I231" s="9" t="s">
        <v>66</v>
      </c>
      <c r="J231" s="10" t="s">
        <v>233</v>
      </c>
      <c r="K231" s="15" t="str">
        <f>VLOOKUP(J231,DADOS!$A$3:$B$105,2,FALSE)</f>
        <v>EE-GI-221-031</v>
      </c>
      <c r="L231" s="15" t="s">
        <v>401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1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0</v>
      </c>
      <c r="W231" s="11" t="s">
        <v>603</v>
      </c>
      <c r="X231" s="12" t="s">
        <v>14</v>
      </c>
      <c r="Y231" s="12" t="s">
        <v>14</v>
      </c>
      <c r="Z231" s="13" t="s">
        <v>280</v>
      </c>
    </row>
    <row r="232" spans="1:27" ht="19.899999999999999" customHeight="1" x14ac:dyDescent="0.25">
      <c r="A232" s="6">
        <v>45975</v>
      </c>
      <c r="B232" s="7" t="s">
        <v>841</v>
      </c>
      <c r="C232" s="8" t="s">
        <v>890</v>
      </c>
      <c r="D232" s="8" t="s">
        <v>595</v>
      </c>
      <c r="E232" s="8" t="s">
        <v>844</v>
      </c>
      <c r="F232" s="9" t="s">
        <v>891</v>
      </c>
      <c r="G232" s="9" t="s">
        <v>847</v>
      </c>
      <c r="H232" s="9" t="s">
        <v>892</v>
      </c>
      <c r="I232" s="9" t="s">
        <v>66</v>
      </c>
      <c r="J232" s="10" t="s">
        <v>241</v>
      </c>
      <c r="K232" s="15" t="str">
        <f>VLOOKUP(J232,DADOS!$A$3:$B$105,2,FALSE)</f>
        <v>EE-GI-221-048</v>
      </c>
      <c r="L232" s="15" t="s">
        <v>401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1</v>
      </c>
      <c r="R232" s="17" t="b">
        <v>0</v>
      </c>
      <c r="S232" s="17" t="b">
        <v>0</v>
      </c>
      <c r="T232" s="17" t="b">
        <v>0</v>
      </c>
      <c r="U232" s="17" t="b">
        <v>0</v>
      </c>
      <c r="V232" s="17" t="b">
        <v>0</v>
      </c>
      <c r="W232" s="11" t="s">
        <v>595</v>
      </c>
      <c r="X232" s="12" t="s">
        <v>14</v>
      </c>
      <c r="Y232" s="12" t="s">
        <v>14</v>
      </c>
      <c r="Z232" s="13" t="s">
        <v>280</v>
      </c>
    </row>
    <row r="233" spans="1:27" ht="19.899999999999999" customHeight="1" x14ac:dyDescent="0.25">
      <c r="A233" s="6">
        <v>45975</v>
      </c>
      <c r="B233" s="7" t="s">
        <v>841</v>
      </c>
      <c r="C233" s="8" t="s">
        <v>893</v>
      </c>
      <c r="D233" s="8" t="s">
        <v>265</v>
      </c>
      <c r="E233" s="8" t="s">
        <v>975</v>
      </c>
      <c r="F233" s="9" t="s">
        <v>896</v>
      </c>
      <c r="G233" s="9" t="s">
        <v>894</v>
      </c>
      <c r="H233" s="9" t="s">
        <v>897</v>
      </c>
      <c r="I233" s="9" t="s">
        <v>66</v>
      </c>
      <c r="J233" s="10" t="s">
        <v>236</v>
      </c>
      <c r="K233" s="15" t="str">
        <f>VLOOKUP(J233,DADOS!$A$3:$B$105,2,FALSE)</f>
        <v>EE-GI-221-036</v>
      </c>
      <c r="L233" s="15" t="s">
        <v>401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1</v>
      </c>
      <c r="R233" s="17" t="b">
        <v>0</v>
      </c>
      <c r="S233" s="17" t="b">
        <v>0</v>
      </c>
      <c r="T233" s="17" t="b">
        <v>0</v>
      </c>
      <c r="U233" s="17" t="b">
        <v>0</v>
      </c>
      <c r="V233" s="17" t="b">
        <v>0</v>
      </c>
      <c r="W233" s="11" t="s">
        <v>265</v>
      </c>
      <c r="X233" s="12" t="s">
        <v>14</v>
      </c>
      <c r="Y233" s="12" t="s">
        <v>14</v>
      </c>
      <c r="Z233" s="13" t="s">
        <v>280</v>
      </c>
    </row>
    <row r="234" spans="1:27" ht="19.899999999999999" customHeight="1" x14ac:dyDescent="0.25">
      <c r="A234" s="6">
        <v>45975</v>
      </c>
      <c r="B234" s="7" t="s">
        <v>841</v>
      </c>
      <c r="C234" s="8" t="s">
        <v>893</v>
      </c>
      <c r="D234" s="8" t="s">
        <v>298</v>
      </c>
      <c r="E234" s="8" t="s">
        <v>975</v>
      </c>
      <c r="F234" s="9" t="s">
        <v>895</v>
      </c>
      <c r="G234" s="9" t="s">
        <v>894</v>
      </c>
      <c r="H234" s="9" t="s">
        <v>897</v>
      </c>
      <c r="I234" s="9" t="s">
        <v>66</v>
      </c>
      <c r="J234" s="10" t="s">
        <v>236</v>
      </c>
      <c r="K234" s="15" t="str">
        <f>VLOOKUP(J234,DADOS!$A$3:$B$105,2,FALSE)</f>
        <v>EE-GI-221-036</v>
      </c>
      <c r="L234" s="15" t="s">
        <v>401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1</v>
      </c>
      <c r="R234" s="17" t="b">
        <v>0</v>
      </c>
      <c r="S234" s="17" t="b">
        <v>0</v>
      </c>
      <c r="T234" s="17" t="b">
        <v>0</v>
      </c>
      <c r="U234" s="17" t="b">
        <v>0</v>
      </c>
      <c r="V234" s="17" t="b">
        <v>0</v>
      </c>
      <c r="W234" s="11" t="s">
        <v>298</v>
      </c>
      <c r="X234" s="12" t="s">
        <v>14</v>
      </c>
      <c r="Y234" s="12" t="s">
        <v>14</v>
      </c>
      <c r="Z234" s="13" t="s">
        <v>280</v>
      </c>
    </row>
    <row r="235" spans="1:27" ht="19.899999999999999" customHeight="1" x14ac:dyDescent="0.25">
      <c r="A235" s="6">
        <v>45975</v>
      </c>
      <c r="B235" s="7" t="s">
        <v>841</v>
      </c>
      <c r="C235" s="8" t="s">
        <v>898</v>
      </c>
      <c r="D235" s="8" t="s">
        <v>899</v>
      </c>
      <c r="E235" s="8" t="s">
        <v>844</v>
      </c>
      <c r="F235" s="9" t="s">
        <v>902</v>
      </c>
      <c r="G235" s="9" t="s">
        <v>847</v>
      </c>
      <c r="H235" s="9" t="s">
        <v>900</v>
      </c>
      <c r="I235" s="9" t="s">
        <v>66</v>
      </c>
      <c r="J235" s="10" t="s">
        <v>241</v>
      </c>
      <c r="K235" s="15" t="str">
        <f>VLOOKUP(J235,DADOS!$A$3:$B$105,2,FALSE)</f>
        <v>EE-GI-221-048</v>
      </c>
      <c r="L235" s="15" t="s">
        <v>401</v>
      </c>
      <c r="M235" s="18" t="b">
        <v>1</v>
      </c>
      <c r="N235" s="17" t="b">
        <v>1</v>
      </c>
      <c r="O235" s="17" t="b">
        <v>1</v>
      </c>
      <c r="P235" s="17" t="b">
        <v>1</v>
      </c>
      <c r="Q235" s="17" t="b">
        <v>1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0</v>
      </c>
      <c r="W235" s="11" t="s">
        <v>899</v>
      </c>
      <c r="X235" s="12" t="s">
        <v>14</v>
      </c>
      <c r="Y235" s="12" t="s">
        <v>14</v>
      </c>
      <c r="Z235" s="13" t="s">
        <v>280</v>
      </c>
    </row>
    <row r="236" spans="1:27" ht="19.899999999999999" customHeight="1" x14ac:dyDescent="0.25">
      <c r="A236" s="6">
        <v>45975</v>
      </c>
      <c r="B236" s="7" t="s">
        <v>841</v>
      </c>
      <c r="C236" s="8" t="s">
        <v>898</v>
      </c>
      <c r="D236" s="8" t="s">
        <v>977</v>
      </c>
      <c r="E236" s="8" t="s">
        <v>844</v>
      </c>
      <c r="F236" s="9" t="s">
        <v>978</v>
      </c>
      <c r="G236" s="9" t="s">
        <v>847</v>
      </c>
      <c r="H236" s="9" t="s">
        <v>900</v>
      </c>
      <c r="I236" s="9" t="s">
        <v>66</v>
      </c>
      <c r="J236" s="10" t="s">
        <v>241</v>
      </c>
      <c r="K236" s="15" t="str">
        <f>VLOOKUP(J236,DADOS!$A$3:$B$105,2,FALSE)</f>
        <v>EE-GI-221-048</v>
      </c>
      <c r="L236" s="15" t="s">
        <v>401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1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0</v>
      </c>
      <c r="W236" s="11" t="s">
        <v>977</v>
      </c>
      <c r="X236" s="12" t="s">
        <v>14</v>
      </c>
      <c r="Y236" s="12" t="s">
        <v>14</v>
      </c>
      <c r="Z236" s="13" t="s">
        <v>280</v>
      </c>
      <c r="AA236" s="35"/>
    </row>
    <row r="237" spans="1:27" ht="19.899999999999999" customHeight="1" x14ac:dyDescent="0.25">
      <c r="A237" s="6">
        <v>45975</v>
      </c>
      <c r="B237" s="7" t="s">
        <v>841</v>
      </c>
      <c r="C237" s="8" t="s">
        <v>901</v>
      </c>
      <c r="D237" s="8" t="s">
        <v>518</v>
      </c>
      <c r="E237" s="8" t="s">
        <v>886</v>
      </c>
      <c r="F237" s="9" t="s">
        <v>903</v>
      </c>
      <c r="G237" s="9" t="s">
        <v>883</v>
      </c>
      <c r="H237" s="9" t="s">
        <v>889</v>
      </c>
      <c r="I237" s="9" t="s">
        <v>66</v>
      </c>
      <c r="J237" s="10" t="s">
        <v>60</v>
      </c>
      <c r="K237" s="15" t="str">
        <f>VLOOKUP(J237,DADOS!$A$3:$B$105,2,FALSE)</f>
        <v>EE-GI-221-038</v>
      </c>
      <c r="L237" s="15" t="s">
        <v>401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1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0</v>
      </c>
      <c r="W237" s="11" t="s">
        <v>518</v>
      </c>
      <c r="X237" s="12" t="s">
        <v>14</v>
      </c>
      <c r="Y237" s="12" t="s">
        <v>14</v>
      </c>
      <c r="Z237" s="13" t="s">
        <v>280</v>
      </c>
    </row>
    <row r="238" spans="1:27" ht="19.899999999999999" customHeight="1" x14ac:dyDescent="0.25">
      <c r="A238" s="6">
        <v>45975</v>
      </c>
      <c r="B238" s="7" t="s">
        <v>841</v>
      </c>
      <c r="C238" s="8" t="s">
        <v>904</v>
      </c>
      <c r="D238" s="8" t="s">
        <v>265</v>
      </c>
      <c r="E238" s="8" t="s">
        <v>975</v>
      </c>
      <c r="F238" s="9" t="s">
        <v>905</v>
      </c>
      <c r="G238" s="9" t="s">
        <v>906</v>
      </c>
      <c r="H238" s="9" t="s">
        <v>907</v>
      </c>
      <c r="I238" s="9" t="s">
        <v>66</v>
      </c>
      <c r="J238" s="10" t="s">
        <v>27</v>
      </c>
      <c r="K238" s="15" t="str">
        <f>VLOOKUP(J238,DADOS!$A$3:$B$105,2,FALSE)</f>
        <v>EE-GI-221-041</v>
      </c>
      <c r="L238" s="15" t="s">
        <v>401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1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0</v>
      </c>
      <c r="W238" s="11" t="s">
        <v>265</v>
      </c>
      <c r="X238" s="12" t="s">
        <v>14</v>
      </c>
      <c r="Y238" s="12" t="s">
        <v>14</v>
      </c>
      <c r="Z238" s="13" t="s">
        <v>280</v>
      </c>
    </row>
    <row r="239" spans="1:27" ht="19.899999999999999" customHeight="1" x14ac:dyDescent="0.25">
      <c r="A239" s="6">
        <v>45975</v>
      </c>
      <c r="B239" s="7" t="s">
        <v>296</v>
      </c>
      <c r="C239" s="8" t="s">
        <v>1208</v>
      </c>
      <c r="D239" s="8" t="s">
        <v>265</v>
      </c>
      <c r="E239" s="8" t="s">
        <v>1209</v>
      </c>
      <c r="F239" s="9" t="s">
        <v>1210</v>
      </c>
      <c r="G239" s="9" t="s">
        <v>1211</v>
      </c>
      <c r="H239" s="9" t="s">
        <v>1212</v>
      </c>
      <c r="I239" s="9" t="s">
        <v>69</v>
      </c>
      <c r="J239" s="10" t="s">
        <v>251</v>
      </c>
      <c r="K239" s="15" t="str">
        <f>VLOOKUP(J239,DADOS!$A$3:$B$105,2,FALSE)</f>
        <v>EE-GI-001-030</v>
      </c>
      <c r="L239" s="15" t="s">
        <v>321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265</v>
      </c>
      <c r="X239" s="12"/>
      <c r="Y239" s="12"/>
      <c r="Z239" s="13" t="s">
        <v>322</v>
      </c>
    </row>
    <row r="240" spans="1:27" ht="19.899999999999999" customHeight="1" x14ac:dyDescent="0.25">
      <c r="A240" s="6">
        <v>45975</v>
      </c>
      <c r="B240" s="7" t="s">
        <v>841</v>
      </c>
      <c r="C240" s="8" t="s">
        <v>974</v>
      </c>
      <c r="D240" s="8" t="s">
        <v>473</v>
      </c>
      <c r="E240" s="8" t="s">
        <v>975</v>
      </c>
      <c r="F240" s="9" t="s">
        <v>908</v>
      </c>
      <c r="G240" s="9" t="s">
        <v>909</v>
      </c>
      <c r="H240" s="9" t="s">
        <v>913</v>
      </c>
      <c r="I240" s="9" t="s">
        <v>66</v>
      </c>
      <c r="J240" s="10" t="s">
        <v>21</v>
      </c>
      <c r="K240" s="15" t="str">
        <f>VLOOKUP(J240,DADOS!$A$3:$B$105,2,FALSE)</f>
        <v>EE-GI-221-064</v>
      </c>
      <c r="L240" s="15" t="s">
        <v>401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1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473</v>
      </c>
      <c r="X240" s="12" t="s">
        <v>14</v>
      </c>
      <c r="Y240" s="12" t="s">
        <v>14</v>
      </c>
      <c r="Z240" s="13" t="s">
        <v>280</v>
      </c>
    </row>
    <row r="241" spans="1:26" ht="19.899999999999999" customHeight="1" x14ac:dyDescent="0.25">
      <c r="A241" s="6">
        <v>45975</v>
      </c>
      <c r="B241" s="7" t="s">
        <v>1113</v>
      </c>
      <c r="C241" s="8" t="s">
        <v>1134</v>
      </c>
      <c r="D241" s="8" t="s">
        <v>1135</v>
      </c>
      <c r="E241" s="8" t="s">
        <v>1136</v>
      </c>
      <c r="F241" s="9" t="s">
        <v>1137</v>
      </c>
      <c r="G241" s="9" t="s">
        <v>1118</v>
      </c>
      <c r="H241" s="9" t="s">
        <v>1138</v>
      </c>
      <c r="I241" s="9" t="s">
        <v>66</v>
      </c>
      <c r="J241" s="10" t="s">
        <v>174</v>
      </c>
      <c r="K241" s="15" t="str">
        <f>VLOOKUP(J241,DADOS!$A$3:$B$105,2,FALSE)</f>
        <v>EE-GI-001-007</v>
      </c>
      <c r="L241" s="15" t="s">
        <v>321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1</v>
      </c>
      <c r="R241" s="17" t="b">
        <v>0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1135</v>
      </c>
      <c r="X241" s="12" t="s">
        <v>14</v>
      </c>
      <c r="Y241" s="12" t="s">
        <v>14</v>
      </c>
      <c r="Z241" s="13" t="s">
        <v>322</v>
      </c>
    </row>
    <row r="242" spans="1:26" ht="19.899999999999999" customHeight="1" x14ac:dyDescent="0.25">
      <c r="A242" s="6">
        <v>45975</v>
      </c>
      <c r="B242" s="7" t="s">
        <v>1113</v>
      </c>
      <c r="C242" s="8" t="s">
        <v>1128</v>
      </c>
      <c r="D242" s="8" t="s">
        <v>1129</v>
      </c>
      <c r="E242" s="8" t="s">
        <v>1130</v>
      </c>
      <c r="F242" s="9" t="s">
        <v>1131</v>
      </c>
      <c r="G242" s="9" t="s">
        <v>1132</v>
      </c>
      <c r="H242" s="9" t="s">
        <v>1133</v>
      </c>
      <c r="I242" s="9" t="s">
        <v>66</v>
      </c>
      <c r="J242" s="10" t="s">
        <v>174</v>
      </c>
      <c r="K242" s="15" t="str">
        <f>VLOOKUP(J242,DADOS!$A$3:$B$105,2,FALSE)</f>
        <v>EE-GI-001-007</v>
      </c>
      <c r="L242" s="15" t="s">
        <v>321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1</v>
      </c>
      <c r="R242" s="17" t="b">
        <v>0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1129</v>
      </c>
      <c r="X242" s="12" t="s">
        <v>14</v>
      </c>
      <c r="Y242" s="12" t="s">
        <v>14</v>
      </c>
      <c r="Z242" s="13" t="s">
        <v>322</v>
      </c>
    </row>
    <row r="243" spans="1:26" ht="19.899999999999999" customHeight="1" x14ac:dyDescent="0.25">
      <c r="A243" s="6">
        <v>45975</v>
      </c>
      <c r="B243" s="7" t="s">
        <v>1113</v>
      </c>
      <c r="C243" s="8" t="s">
        <v>1123</v>
      </c>
      <c r="D243" s="8" t="s">
        <v>323</v>
      </c>
      <c r="E243" s="8" t="s">
        <v>1124</v>
      </c>
      <c r="F243" s="9" t="s">
        <v>1125</v>
      </c>
      <c r="G243" s="9" t="s">
        <v>1126</v>
      </c>
      <c r="H243" s="9" t="s">
        <v>1127</v>
      </c>
      <c r="I243" s="9" t="s">
        <v>66</v>
      </c>
      <c r="J243" s="10" t="s">
        <v>174</v>
      </c>
      <c r="K243" s="15" t="str">
        <f>VLOOKUP(J243,DADOS!$A$3:$B$105,2,FALSE)</f>
        <v>EE-GI-001-007</v>
      </c>
      <c r="L243" s="15" t="s">
        <v>321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1</v>
      </c>
      <c r="R243" s="17" t="b">
        <v>0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323</v>
      </c>
      <c r="X243" s="12" t="s">
        <v>14</v>
      </c>
      <c r="Y243" s="12" t="s">
        <v>14</v>
      </c>
      <c r="Z243" s="13" t="s">
        <v>322</v>
      </c>
    </row>
    <row r="244" spans="1:26" ht="19.899999999999999" customHeight="1" x14ac:dyDescent="0.25">
      <c r="A244" s="6">
        <v>45975</v>
      </c>
      <c r="B244" s="7" t="s">
        <v>1113</v>
      </c>
      <c r="C244" s="8" t="s">
        <v>1114</v>
      </c>
      <c r="D244" s="8" t="s">
        <v>608</v>
      </c>
      <c r="E244" s="8" t="s">
        <v>1116</v>
      </c>
      <c r="F244" s="9" t="s">
        <v>1122</v>
      </c>
      <c r="G244" s="9" t="s">
        <v>1118</v>
      </c>
      <c r="H244" s="9" t="s">
        <v>1119</v>
      </c>
      <c r="I244" s="9" t="s">
        <v>66</v>
      </c>
      <c r="J244" s="10" t="s">
        <v>174</v>
      </c>
      <c r="K244" s="15" t="str">
        <f>VLOOKUP(J244,DADOS!$A$3:$B$105,2,FALSE)</f>
        <v>EE-GI-001-007</v>
      </c>
      <c r="L244" s="15" t="s">
        <v>321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1</v>
      </c>
      <c r="R244" s="17" t="b">
        <v>0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608</v>
      </c>
      <c r="X244" s="12" t="s">
        <v>14</v>
      </c>
      <c r="Y244" s="12" t="s">
        <v>14</v>
      </c>
      <c r="Z244" s="13" t="s">
        <v>322</v>
      </c>
    </row>
    <row r="245" spans="1:26" ht="19.899999999999999" customHeight="1" x14ac:dyDescent="0.25">
      <c r="A245" s="6">
        <v>45975</v>
      </c>
      <c r="B245" s="7" t="s">
        <v>1113</v>
      </c>
      <c r="C245" s="8" t="s">
        <v>1114</v>
      </c>
      <c r="D245" s="8" t="s">
        <v>1120</v>
      </c>
      <c r="E245" s="8" t="s">
        <v>1116</v>
      </c>
      <c r="F245" s="9" t="s">
        <v>1121</v>
      </c>
      <c r="G245" s="9" t="s">
        <v>1118</v>
      </c>
      <c r="H245" s="9" t="s">
        <v>1119</v>
      </c>
      <c r="I245" s="9" t="s">
        <v>66</v>
      </c>
      <c r="J245" s="10" t="s">
        <v>174</v>
      </c>
      <c r="K245" s="15" t="str">
        <f>VLOOKUP(J245,DADOS!$A$3:$B$105,2,FALSE)</f>
        <v>EE-GI-001-007</v>
      </c>
      <c r="L245" s="15" t="s">
        <v>321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1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1</v>
      </c>
      <c r="W245" s="11" t="s">
        <v>1120</v>
      </c>
      <c r="X245" s="12" t="s">
        <v>14</v>
      </c>
      <c r="Y245" s="12" t="s">
        <v>14</v>
      </c>
      <c r="Z245" s="13" t="s">
        <v>322</v>
      </c>
    </row>
    <row r="246" spans="1:26" ht="19.899999999999999" customHeight="1" x14ac:dyDescent="0.25">
      <c r="A246" s="6">
        <v>45975</v>
      </c>
      <c r="B246" s="7" t="s">
        <v>1113</v>
      </c>
      <c r="C246" s="8" t="s">
        <v>1114</v>
      </c>
      <c r="D246" s="8" t="s">
        <v>1115</v>
      </c>
      <c r="E246" s="8" t="s">
        <v>1116</v>
      </c>
      <c r="F246" s="9" t="s">
        <v>1117</v>
      </c>
      <c r="G246" s="9" t="s">
        <v>1118</v>
      </c>
      <c r="H246" s="9" t="s">
        <v>1119</v>
      </c>
      <c r="I246" s="9" t="s">
        <v>66</v>
      </c>
      <c r="J246" s="10" t="s">
        <v>174</v>
      </c>
      <c r="K246" s="15" t="str">
        <f>VLOOKUP(J246,DADOS!$A$3:$B$105,2,FALSE)</f>
        <v>EE-GI-001-007</v>
      </c>
      <c r="L246" s="15" t="s">
        <v>321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1</v>
      </c>
      <c r="R246" s="17" t="b">
        <v>0</v>
      </c>
      <c r="S246" s="17" t="b">
        <v>0</v>
      </c>
      <c r="T246" s="17" t="b">
        <v>0</v>
      </c>
      <c r="U246" s="17" t="b">
        <v>0</v>
      </c>
      <c r="V246" s="17" t="b">
        <v>1</v>
      </c>
      <c r="W246" s="11" t="s">
        <v>1115</v>
      </c>
      <c r="X246" s="12" t="s">
        <v>14</v>
      </c>
      <c r="Y246" s="12" t="s">
        <v>14</v>
      </c>
      <c r="Z246" s="13" t="s">
        <v>322</v>
      </c>
    </row>
    <row r="247" spans="1:26" ht="19.899999999999999" customHeight="1" x14ac:dyDescent="0.25">
      <c r="A247" s="6">
        <v>45975</v>
      </c>
      <c r="B247" s="7" t="s">
        <v>841</v>
      </c>
      <c r="C247" s="8" t="s">
        <v>974</v>
      </c>
      <c r="D247" s="8" t="s">
        <v>309</v>
      </c>
      <c r="E247" s="8" t="s">
        <v>975</v>
      </c>
      <c r="F247" s="9" t="s">
        <v>976</v>
      </c>
      <c r="G247" s="9" t="s">
        <v>909</v>
      </c>
      <c r="H247" s="9" t="s">
        <v>913</v>
      </c>
      <c r="I247" s="9" t="s">
        <v>66</v>
      </c>
      <c r="J247" s="10" t="s">
        <v>21</v>
      </c>
      <c r="K247" s="15" t="str">
        <f>VLOOKUP(J247,DADOS!$A$3:$B$105,2,FALSE)</f>
        <v>EE-GI-221-064</v>
      </c>
      <c r="L247" s="15" t="s">
        <v>401</v>
      </c>
      <c r="M247" s="18" t="b">
        <v>1</v>
      </c>
      <c r="N247" s="17" t="b">
        <v>1</v>
      </c>
      <c r="O247" s="17" t="b">
        <v>1</v>
      </c>
      <c r="P247" s="17" t="b">
        <v>1</v>
      </c>
      <c r="Q247" s="17" t="b">
        <v>1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0</v>
      </c>
      <c r="W247" s="11" t="s">
        <v>309</v>
      </c>
      <c r="X247" s="12" t="s">
        <v>14</v>
      </c>
      <c r="Y247" s="12" t="s">
        <v>14</v>
      </c>
      <c r="Z247" s="13" t="s">
        <v>280</v>
      </c>
    </row>
    <row r="248" spans="1:26" ht="19.899999999999999" customHeight="1" x14ac:dyDescent="0.25">
      <c r="A248" s="6">
        <v>45975</v>
      </c>
      <c r="B248" s="7" t="s">
        <v>841</v>
      </c>
      <c r="C248" s="8" t="s">
        <v>910</v>
      </c>
      <c r="D248" s="8" t="s">
        <v>595</v>
      </c>
      <c r="E248" s="8" t="s">
        <v>844</v>
      </c>
      <c r="F248" s="9" t="s">
        <v>911</v>
      </c>
      <c r="G248" s="9" t="s">
        <v>847</v>
      </c>
      <c r="H248" s="9" t="s">
        <v>912</v>
      </c>
      <c r="I248" s="9" t="s">
        <v>68</v>
      </c>
      <c r="J248" s="10" t="s">
        <v>241</v>
      </c>
      <c r="K248" s="15" t="str">
        <f>VLOOKUP(J248,DADOS!$A$3:$B$105,2,FALSE)</f>
        <v>EE-GI-221-048</v>
      </c>
      <c r="L248" s="15" t="s">
        <v>401</v>
      </c>
      <c r="M248" s="18" t="b">
        <v>1</v>
      </c>
      <c r="N248" s="17" t="b">
        <v>1</v>
      </c>
      <c r="O248" s="17" t="b">
        <v>1</v>
      </c>
      <c r="P248" s="17" t="b">
        <v>1</v>
      </c>
      <c r="Q248" s="17" t="b">
        <v>1</v>
      </c>
      <c r="R248" s="17" t="b">
        <v>0</v>
      </c>
      <c r="S248" s="17" t="b">
        <v>0</v>
      </c>
      <c r="T248" s="17" t="b">
        <v>0</v>
      </c>
      <c r="U248" s="17" t="b">
        <v>0</v>
      </c>
      <c r="V248" s="17" t="b">
        <v>0</v>
      </c>
      <c r="W248" s="11" t="s">
        <v>595</v>
      </c>
      <c r="X248" s="12" t="s">
        <v>14</v>
      </c>
      <c r="Y248" s="12" t="s">
        <v>14</v>
      </c>
      <c r="Z248" s="13" t="s">
        <v>280</v>
      </c>
    </row>
    <row r="249" spans="1:26" ht="19.899999999999999" customHeight="1" x14ac:dyDescent="0.25">
      <c r="A249" s="6">
        <v>45975</v>
      </c>
      <c r="B249" s="7" t="s">
        <v>841</v>
      </c>
      <c r="C249" s="8" t="s">
        <v>914</v>
      </c>
      <c r="D249" s="8" t="s">
        <v>265</v>
      </c>
      <c r="E249" s="8" t="s">
        <v>886</v>
      </c>
      <c r="F249" s="9" t="s">
        <v>915</v>
      </c>
      <c r="G249" s="9" t="s">
        <v>916</v>
      </c>
      <c r="H249" s="9" t="s">
        <v>917</v>
      </c>
      <c r="I249" s="9" t="s">
        <v>66</v>
      </c>
      <c r="J249" s="10" t="s">
        <v>20</v>
      </c>
      <c r="K249" s="15" t="str">
        <f>VLOOKUP(J249,DADOS!$A$3:$B$105,2,FALSE)</f>
        <v>EE-GI-221-034</v>
      </c>
      <c r="L249" s="15" t="s">
        <v>401</v>
      </c>
      <c r="M249" s="18" t="b">
        <v>1</v>
      </c>
      <c r="N249" s="17" t="b">
        <v>1</v>
      </c>
      <c r="O249" s="17" t="b">
        <v>1</v>
      </c>
      <c r="P249" s="17" t="b">
        <v>1</v>
      </c>
      <c r="Q249" s="17" t="b">
        <v>1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0</v>
      </c>
      <c r="W249" s="11" t="s">
        <v>265</v>
      </c>
      <c r="X249" s="12" t="s">
        <v>14</v>
      </c>
      <c r="Y249" s="12" t="s">
        <v>14</v>
      </c>
      <c r="Z249" s="13" t="s">
        <v>280</v>
      </c>
    </row>
    <row r="250" spans="1:26" ht="19.899999999999999" customHeight="1" x14ac:dyDescent="0.25">
      <c r="A250" s="6">
        <v>45975</v>
      </c>
      <c r="B250" s="7" t="s">
        <v>841</v>
      </c>
      <c r="C250" s="8" t="s">
        <v>918</v>
      </c>
      <c r="D250" s="8" t="s">
        <v>518</v>
      </c>
      <c r="E250" s="8" t="s">
        <v>975</v>
      </c>
      <c r="F250" s="9" t="s">
        <v>919</v>
      </c>
      <c r="G250" s="9" t="s">
        <v>920</v>
      </c>
      <c r="H250" s="9" t="s">
        <v>921</v>
      </c>
      <c r="I250" s="9" t="s">
        <v>66</v>
      </c>
      <c r="J250" s="10" t="s">
        <v>235</v>
      </c>
      <c r="K250" s="15" t="str">
        <f>VLOOKUP(J250,DADOS!$A$3:$B$105,2,FALSE)</f>
        <v>EE-GI-221-035</v>
      </c>
      <c r="L250" s="15" t="s">
        <v>401</v>
      </c>
      <c r="M250" s="18" t="b">
        <v>1</v>
      </c>
      <c r="N250" s="17" t="b">
        <v>1</v>
      </c>
      <c r="O250" s="17" t="b">
        <v>1</v>
      </c>
      <c r="P250" s="17" t="b">
        <v>1</v>
      </c>
      <c r="Q250" s="17" t="b">
        <v>1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0</v>
      </c>
      <c r="W250" s="11" t="s">
        <v>518</v>
      </c>
      <c r="X250" s="12" t="s">
        <v>14</v>
      </c>
      <c r="Y250" s="12" t="s">
        <v>14</v>
      </c>
      <c r="Z250" s="13" t="s">
        <v>280</v>
      </c>
    </row>
    <row r="251" spans="1:26" ht="19.899999999999999" customHeight="1" x14ac:dyDescent="0.25">
      <c r="A251" s="6">
        <v>45975</v>
      </c>
      <c r="B251" s="7" t="s">
        <v>841</v>
      </c>
      <c r="C251" s="8" t="s">
        <v>918</v>
      </c>
      <c r="D251" s="8" t="s">
        <v>776</v>
      </c>
      <c r="E251" s="8" t="s">
        <v>975</v>
      </c>
      <c r="F251" s="9" t="s">
        <v>922</v>
      </c>
      <c r="G251" s="9" t="s">
        <v>920</v>
      </c>
      <c r="H251" s="9" t="s">
        <v>921</v>
      </c>
      <c r="I251" s="9" t="s">
        <v>66</v>
      </c>
      <c r="J251" s="10" t="s">
        <v>235</v>
      </c>
      <c r="K251" s="15" t="str">
        <f>VLOOKUP(J251,DADOS!$A$3:$B$105,2,FALSE)</f>
        <v>EE-GI-221-035</v>
      </c>
      <c r="L251" s="15" t="s">
        <v>401</v>
      </c>
      <c r="M251" s="18" t="b">
        <v>1</v>
      </c>
      <c r="N251" s="17" t="b">
        <v>1</v>
      </c>
      <c r="O251" s="17" t="b">
        <v>1</v>
      </c>
      <c r="P251" s="17" t="b">
        <v>1</v>
      </c>
      <c r="Q251" s="17" t="b">
        <v>1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0</v>
      </c>
      <c r="W251" s="11" t="s">
        <v>776</v>
      </c>
      <c r="X251" s="12" t="s">
        <v>14</v>
      </c>
      <c r="Y251" s="12" t="s">
        <v>14</v>
      </c>
      <c r="Z251" s="13" t="s">
        <v>280</v>
      </c>
    </row>
    <row r="252" spans="1:26" ht="19.899999999999999" customHeight="1" x14ac:dyDescent="0.25">
      <c r="A252" s="6">
        <v>45975</v>
      </c>
      <c r="B252" s="7" t="s">
        <v>841</v>
      </c>
      <c r="C252" s="8" t="s">
        <v>901</v>
      </c>
      <c r="D252" s="8" t="s">
        <v>327</v>
      </c>
      <c r="E252" s="8" t="s">
        <v>975</v>
      </c>
      <c r="F252" s="9" t="s">
        <v>903</v>
      </c>
      <c r="G252" s="9" t="s">
        <v>883</v>
      </c>
      <c r="H252" s="9" t="s">
        <v>923</v>
      </c>
      <c r="I252" s="9" t="s">
        <v>66</v>
      </c>
      <c r="J252" s="10" t="s">
        <v>60</v>
      </c>
      <c r="K252" s="15" t="str">
        <f>VLOOKUP(J252,DADOS!$A$3:$B$105,2,FALSE)</f>
        <v>EE-GI-221-038</v>
      </c>
      <c r="L252" s="15" t="s">
        <v>401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1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0</v>
      </c>
      <c r="W252" s="11" t="s">
        <v>327</v>
      </c>
      <c r="X252" s="12" t="s">
        <v>14</v>
      </c>
      <c r="Y252" s="12" t="s">
        <v>14</v>
      </c>
      <c r="Z252" s="13" t="s">
        <v>280</v>
      </c>
    </row>
    <row r="253" spans="1:26" ht="19.899999999999999" customHeight="1" x14ac:dyDescent="0.25">
      <c r="A253" s="6">
        <v>45975</v>
      </c>
      <c r="B253" s="7" t="s">
        <v>402</v>
      </c>
      <c r="C253" s="8" t="s">
        <v>927</v>
      </c>
      <c r="D253" s="8" t="s">
        <v>290</v>
      </c>
      <c r="E253" s="8" t="s">
        <v>928</v>
      </c>
      <c r="F253" s="9" t="s">
        <v>929</v>
      </c>
      <c r="G253" s="9" t="s">
        <v>584</v>
      </c>
      <c r="H253" s="9" t="s">
        <v>930</v>
      </c>
      <c r="I253" s="9" t="s">
        <v>65</v>
      </c>
      <c r="J253" s="10" t="s">
        <v>17</v>
      </c>
      <c r="K253" s="15" t="str">
        <f>VLOOKUP(J253,DADOS!$A$3:$B$105,2,FALSE)</f>
        <v>EE-GI-001-001</v>
      </c>
      <c r="L253" s="15" t="s">
        <v>321</v>
      </c>
      <c r="M253" s="18" t="b">
        <v>1</v>
      </c>
      <c r="N253" s="17" t="b">
        <v>1</v>
      </c>
      <c r="O253" s="17" t="b">
        <v>1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290</v>
      </c>
      <c r="X253" s="12" t="s">
        <v>14</v>
      </c>
      <c r="Y253" s="12" t="s">
        <v>14</v>
      </c>
      <c r="Z253" s="13" t="s">
        <v>322</v>
      </c>
    </row>
    <row r="254" spans="1:26" ht="19.899999999999999" customHeight="1" x14ac:dyDescent="0.25">
      <c r="A254" s="6">
        <v>45975</v>
      </c>
      <c r="B254" s="7" t="s">
        <v>841</v>
      </c>
      <c r="C254" s="8" t="s">
        <v>924</v>
      </c>
      <c r="D254" s="8" t="s">
        <v>309</v>
      </c>
      <c r="E254" s="8" t="s">
        <v>975</v>
      </c>
      <c r="F254" s="9" t="s">
        <v>925</v>
      </c>
      <c r="G254" s="9" t="s">
        <v>888</v>
      </c>
      <c r="H254" s="9" t="s">
        <v>926</v>
      </c>
      <c r="I254" s="9" t="s">
        <v>66</v>
      </c>
      <c r="J254" s="10" t="s">
        <v>233</v>
      </c>
      <c r="K254" s="15" t="str">
        <f>VLOOKUP(J254,DADOS!$A$3:$B$105,2,FALSE)</f>
        <v>EE-GI-221-031</v>
      </c>
      <c r="L254" s="15" t="s">
        <v>401</v>
      </c>
      <c r="M254" s="18" t="b">
        <v>1</v>
      </c>
      <c r="N254" s="17" t="b">
        <v>1</v>
      </c>
      <c r="O254" s="17" t="b">
        <v>1</v>
      </c>
      <c r="P254" s="17" t="b">
        <v>1</v>
      </c>
      <c r="Q254" s="17" t="b">
        <v>1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0</v>
      </c>
      <c r="W254" s="11" t="s">
        <v>309</v>
      </c>
      <c r="X254" s="12" t="s">
        <v>14</v>
      </c>
      <c r="Y254" s="12" t="s">
        <v>14</v>
      </c>
      <c r="Z254" s="13" t="s">
        <v>280</v>
      </c>
    </row>
    <row r="255" spans="1:26" ht="19.899999999999999" customHeight="1" x14ac:dyDescent="0.25">
      <c r="A255" s="6">
        <v>45975</v>
      </c>
      <c r="B255" s="7" t="s">
        <v>339</v>
      </c>
      <c r="C255" s="8" t="s">
        <v>931</v>
      </c>
      <c r="D255" s="8" t="s">
        <v>932</v>
      </c>
      <c r="E255" s="8" t="s">
        <v>933</v>
      </c>
      <c r="F255" s="9" t="s">
        <v>934</v>
      </c>
      <c r="G255" s="9" t="s">
        <v>935</v>
      </c>
      <c r="H255" s="9" t="s">
        <v>936</v>
      </c>
      <c r="I255" s="9" t="s">
        <v>66</v>
      </c>
      <c r="J255" s="10" t="s">
        <v>15</v>
      </c>
      <c r="K255" s="15" t="str">
        <f>VLOOKUP(J255,DADOS!$A$3:$B$105,2,FALSE)</f>
        <v>EE-GI-001-002</v>
      </c>
      <c r="L255" s="15" t="s">
        <v>321</v>
      </c>
      <c r="M255" s="18" t="b">
        <v>1</v>
      </c>
      <c r="N255" s="17" t="b">
        <v>1</v>
      </c>
      <c r="O255" s="17" t="b">
        <v>1</v>
      </c>
      <c r="P255" s="17" t="b">
        <v>1</v>
      </c>
      <c r="Q255" s="17" t="b">
        <v>1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932</v>
      </c>
      <c r="X255" s="12" t="s">
        <v>14</v>
      </c>
      <c r="Y255" s="12" t="s">
        <v>14</v>
      </c>
      <c r="Z255" s="13" t="s">
        <v>322</v>
      </c>
    </row>
    <row r="256" spans="1:26" ht="19.899999999999999" customHeight="1" x14ac:dyDescent="0.25">
      <c r="A256" s="6">
        <v>45975</v>
      </c>
      <c r="B256" s="7" t="s">
        <v>987</v>
      </c>
      <c r="C256" s="8" t="s">
        <v>988</v>
      </c>
      <c r="D256" s="8" t="s">
        <v>352</v>
      </c>
      <c r="E256" s="8" t="s">
        <v>989</v>
      </c>
      <c r="F256" s="9" t="s">
        <v>990</v>
      </c>
      <c r="G256" s="9" t="s">
        <v>991</v>
      </c>
      <c r="H256" s="9" t="s">
        <v>992</v>
      </c>
      <c r="I256" s="9" t="s">
        <v>67</v>
      </c>
      <c r="J256" s="10" t="s">
        <v>186</v>
      </c>
      <c r="K256" s="15" t="str">
        <f>VLOOKUP(J256,DADOS!$A$3:$B$105,2,FALSE)</f>
        <v>EE-GI-001-008</v>
      </c>
      <c r="L256" s="15" t="s">
        <v>270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352</v>
      </c>
      <c r="X256" s="12" t="s">
        <v>14</v>
      </c>
      <c r="Y256" s="12" t="s">
        <v>14</v>
      </c>
      <c r="Z256" s="13" t="s">
        <v>271</v>
      </c>
    </row>
    <row r="257" spans="1:26" ht="19.899999999999999" customHeight="1" x14ac:dyDescent="0.25">
      <c r="A257" s="6">
        <v>45975</v>
      </c>
      <c r="B257" s="7" t="s">
        <v>987</v>
      </c>
      <c r="C257" s="8" t="s">
        <v>993</v>
      </c>
      <c r="D257" s="8" t="s">
        <v>265</v>
      </c>
      <c r="E257" s="8" t="s">
        <v>994</v>
      </c>
      <c r="F257" s="9" t="s">
        <v>995</v>
      </c>
      <c r="G257" s="9" t="s">
        <v>996</v>
      </c>
      <c r="H257" s="9" t="s">
        <v>997</v>
      </c>
      <c r="I257" s="9" t="s">
        <v>14</v>
      </c>
      <c r="J257" s="10" t="s">
        <v>14</v>
      </c>
      <c r="K257" s="15" t="e">
        <f>VLOOKUP(J257,DADOS!$A$3:$B$105,2,FALSE)</f>
        <v>#N/A</v>
      </c>
      <c r="L257" s="15" t="s">
        <v>270</v>
      </c>
      <c r="M257" s="18" t="b">
        <v>1</v>
      </c>
      <c r="N257" s="17" t="b">
        <v>1</v>
      </c>
      <c r="O257" s="17" t="b">
        <v>1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265</v>
      </c>
      <c r="X257" s="12" t="s">
        <v>14</v>
      </c>
      <c r="Y257" s="12" t="s">
        <v>14</v>
      </c>
      <c r="Z257" s="13" t="s">
        <v>271</v>
      </c>
    </row>
    <row r="258" spans="1:26" ht="19.899999999999999" customHeight="1" x14ac:dyDescent="0.25">
      <c r="A258" s="6">
        <v>45975</v>
      </c>
      <c r="B258" s="7" t="s">
        <v>1035</v>
      </c>
      <c r="C258" s="8" t="s">
        <v>1907</v>
      </c>
      <c r="D258" s="8" t="s">
        <v>352</v>
      </c>
      <c r="E258" s="8" t="s">
        <v>928</v>
      </c>
      <c r="F258" s="9" t="s">
        <v>1908</v>
      </c>
      <c r="G258" s="9" t="s">
        <v>1909</v>
      </c>
      <c r="H258" s="9" t="s">
        <v>1910</v>
      </c>
      <c r="I258" s="9" t="s">
        <v>69</v>
      </c>
      <c r="J258" s="10" t="s">
        <v>17</v>
      </c>
      <c r="K258" s="15" t="str">
        <f>VLOOKUP(J258,[3]DADOS!$A$3:$B$105,2,FALSE)</f>
        <v>EE-GI-001-001</v>
      </c>
      <c r="L258" s="15" t="s">
        <v>941</v>
      </c>
      <c r="M258" s="18" t="b">
        <v>1</v>
      </c>
      <c r="N258" s="17" t="b">
        <v>1</v>
      </c>
      <c r="O258" s="17" t="b">
        <v>1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1</v>
      </c>
      <c r="U258" s="17" t="b">
        <v>1</v>
      </c>
      <c r="V258" s="17" t="b">
        <v>1</v>
      </c>
      <c r="W258" s="11" t="s">
        <v>352</v>
      </c>
      <c r="X258" s="12" t="s">
        <v>14</v>
      </c>
      <c r="Y258" s="12" t="s">
        <v>14</v>
      </c>
      <c r="Z258" s="9" t="s">
        <v>271</v>
      </c>
    </row>
    <row r="259" spans="1:26" ht="19.899999999999999" customHeight="1" x14ac:dyDescent="0.25">
      <c r="A259" s="6">
        <v>45975</v>
      </c>
      <c r="B259" s="7" t="s">
        <v>402</v>
      </c>
      <c r="C259" s="8" t="s">
        <v>1957</v>
      </c>
      <c r="D259" s="8" t="s">
        <v>352</v>
      </c>
      <c r="E259" s="8" t="s">
        <v>1970</v>
      </c>
      <c r="F259" s="9" t="s">
        <v>1971</v>
      </c>
      <c r="G259" s="9" t="s">
        <v>814</v>
      </c>
      <c r="H259" s="9" t="s">
        <v>1910</v>
      </c>
      <c r="I259" s="9" t="s">
        <v>69</v>
      </c>
      <c r="J259" s="10" t="s">
        <v>15</v>
      </c>
      <c r="K259" s="15" t="str">
        <f>VLOOKUP(J259,DADOS!$A$3:$B$105,2,FALSE)</f>
        <v>EE-GI-001-002</v>
      </c>
      <c r="L259" s="15" t="s">
        <v>941</v>
      </c>
      <c r="M259" s="18" t="b">
        <v>1</v>
      </c>
      <c r="N259" s="17" t="b">
        <v>1</v>
      </c>
      <c r="O259" s="17" t="b">
        <v>1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1</v>
      </c>
      <c r="W259" s="11" t="s">
        <v>352</v>
      </c>
      <c r="X259" s="12" t="s">
        <v>14</v>
      </c>
      <c r="Y259" s="12" t="s">
        <v>14</v>
      </c>
      <c r="Z259" s="13" t="s">
        <v>271</v>
      </c>
    </row>
    <row r="260" spans="1:26" ht="19.899999999999999" customHeight="1" x14ac:dyDescent="0.25">
      <c r="A260" s="6">
        <v>45976</v>
      </c>
      <c r="B260" s="7" t="s">
        <v>402</v>
      </c>
      <c r="C260" s="8" t="s">
        <v>970</v>
      </c>
      <c r="D260" s="8" t="s">
        <v>352</v>
      </c>
      <c r="E260" s="8" t="s">
        <v>579</v>
      </c>
      <c r="F260" s="9" t="s">
        <v>971</v>
      </c>
      <c r="G260" s="9" t="s">
        <v>972</v>
      </c>
      <c r="H260" s="34"/>
      <c r="I260" s="9" t="s">
        <v>69</v>
      </c>
      <c r="J260" s="10" t="s">
        <v>186</v>
      </c>
      <c r="K260" s="15" t="str">
        <f>VLOOKUP(J260,[1]DADOS!$A$3:$B$105,2,FALSE)</f>
        <v>EE-GI-001-008</v>
      </c>
      <c r="L260" s="15" t="s">
        <v>941</v>
      </c>
      <c r="M260" s="18" t="b">
        <v>1</v>
      </c>
      <c r="N260" s="17" t="b">
        <v>1</v>
      </c>
      <c r="O260" s="17" t="b">
        <v>1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1</v>
      </c>
      <c r="U260" s="17" t="b">
        <v>1</v>
      </c>
      <c r="V260" s="17" t="b">
        <v>1</v>
      </c>
      <c r="W260" s="11" t="s">
        <v>14</v>
      </c>
      <c r="X260" s="12" t="s">
        <v>352</v>
      </c>
      <c r="Y260" s="12" t="s">
        <v>973</v>
      </c>
      <c r="Z260" s="12" t="s">
        <v>271</v>
      </c>
    </row>
    <row r="261" spans="1:26" ht="19.899999999999999" customHeight="1" x14ac:dyDescent="0.25">
      <c r="A261" s="6">
        <v>45978</v>
      </c>
      <c r="B261" s="7" t="s">
        <v>402</v>
      </c>
      <c r="C261" s="8" t="s">
        <v>998</v>
      </c>
      <c r="D261" s="8" t="s">
        <v>352</v>
      </c>
      <c r="E261" s="8" t="s">
        <v>999</v>
      </c>
      <c r="F261" s="9" t="s">
        <v>1000</v>
      </c>
      <c r="G261" s="9" t="s">
        <v>1001</v>
      </c>
      <c r="H261" s="9" t="s">
        <v>1002</v>
      </c>
      <c r="I261" s="9" t="s">
        <v>64</v>
      </c>
      <c r="J261" s="10" t="s">
        <v>186</v>
      </c>
      <c r="K261" s="15" t="str">
        <f>VLOOKUP(J261,DADOS!$A$3:$B$105,2,FALSE)</f>
        <v>EE-GI-001-008</v>
      </c>
      <c r="L261" s="15" t="s">
        <v>332</v>
      </c>
      <c r="M261" s="18" t="b">
        <v>1</v>
      </c>
      <c r="N261" s="17" t="b">
        <v>1</v>
      </c>
      <c r="O261" s="17" t="b">
        <v>1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0</v>
      </c>
      <c r="U261" s="17" t="b">
        <v>0</v>
      </c>
      <c r="V261" s="17" t="b">
        <v>1</v>
      </c>
      <c r="W261" s="11" t="s">
        <v>352</v>
      </c>
      <c r="X261" s="12" t="s">
        <v>14</v>
      </c>
      <c r="Y261" s="12" t="s">
        <v>14</v>
      </c>
      <c r="Z261" s="13" t="s">
        <v>280</v>
      </c>
    </row>
    <row r="262" spans="1:26" ht="19.899999999999999" customHeight="1" x14ac:dyDescent="0.25">
      <c r="A262" s="6">
        <v>45978</v>
      </c>
      <c r="B262" s="7" t="s">
        <v>402</v>
      </c>
      <c r="C262" s="8" t="s">
        <v>578</v>
      </c>
      <c r="D262" s="8" t="s">
        <v>527</v>
      </c>
      <c r="E262" s="8" t="s">
        <v>1008</v>
      </c>
      <c r="F262" s="9" t="s">
        <v>580</v>
      </c>
      <c r="G262" s="9" t="s">
        <v>1010</v>
      </c>
      <c r="H262" s="9" t="s">
        <v>1012</v>
      </c>
      <c r="I262" s="9" t="s">
        <v>64</v>
      </c>
      <c r="J262" s="10" t="s">
        <v>186</v>
      </c>
      <c r="K262" s="15" t="str">
        <f>VLOOKUP(J262,DADOS!$A$3:$B$105,2,FALSE)</f>
        <v>EE-GI-001-008</v>
      </c>
      <c r="L262" s="15" t="s">
        <v>332</v>
      </c>
      <c r="M262" s="18" t="b">
        <v>1</v>
      </c>
      <c r="N262" s="17" t="b">
        <v>1</v>
      </c>
      <c r="O262" s="17" t="b">
        <v>1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1</v>
      </c>
      <c r="W262" s="11" t="s">
        <v>527</v>
      </c>
      <c r="X262" s="12" t="s">
        <v>14</v>
      </c>
      <c r="Y262" s="12" t="s">
        <v>14</v>
      </c>
      <c r="Z262" s="13" t="s">
        <v>280</v>
      </c>
    </row>
    <row r="263" spans="1:26" ht="19.899999999999999" customHeight="1" x14ac:dyDescent="0.25">
      <c r="A263" s="6">
        <v>45978</v>
      </c>
      <c r="B263" s="7" t="s">
        <v>402</v>
      </c>
      <c r="C263" s="8" t="s">
        <v>578</v>
      </c>
      <c r="D263" s="8" t="s">
        <v>309</v>
      </c>
      <c r="E263" s="8" t="s">
        <v>1008</v>
      </c>
      <c r="F263" s="9" t="s">
        <v>1009</v>
      </c>
      <c r="G263" s="9" t="s">
        <v>1011</v>
      </c>
      <c r="H263" s="9" t="s">
        <v>1012</v>
      </c>
      <c r="I263" s="9" t="s">
        <v>64</v>
      </c>
      <c r="J263" s="10" t="s">
        <v>226</v>
      </c>
      <c r="K263" s="15" t="str">
        <f>VLOOKUP(J263,DADOS!$A$3:$B$105,2,FALSE)</f>
        <v>EE-GI-024-012</v>
      </c>
      <c r="L263" s="15" t="s">
        <v>332</v>
      </c>
      <c r="M263" s="18" t="b">
        <v>1</v>
      </c>
      <c r="N263" s="17" t="b">
        <v>1</v>
      </c>
      <c r="O263" s="17" t="b">
        <v>1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1</v>
      </c>
      <c r="W263" s="11" t="s">
        <v>309</v>
      </c>
      <c r="X263" s="12" t="s">
        <v>14</v>
      </c>
      <c r="Y263" s="12" t="s">
        <v>14</v>
      </c>
      <c r="Z263" s="13" t="s">
        <v>280</v>
      </c>
    </row>
    <row r="264" spans="1:26" ht="19.899999999999999" customHeight="1" x14ac:dyDescent="0.25">
      <c r="A264" s="6">
        <v>45978</v>
      </c>
      <c r="B264" s="7" t="s">
        <v>402</v>
      </c>
      <c r="C264" s="8" t="s">
        <v>1017</v>
      </c>
      <c r="D264" s="8" t="s">
        <v>309</v>
      </c>
      <c r="E264" s="8" t="s">
        <v>999</v>
      </c>
      <c r="F264" s="9" t="s">
        <v>1018</v>
      </c>
      <c r="G264" s="9" t="s">
        <v>1019</v>
      </c>
      <c r="H264" s="9" t="s">
        <v>1020</v>
      </c>
      <c r="I264" s="9" t="s">
        <v>93</v>
      </c>
      <c r="J264" s="10" t="s">
        <v>14</v>
      </c>
      <c r="K264" s="15" t="e">
        <f>VLOOKUP(J264,DADOS!$A$3:$B$105,2,FALSE)</f>
        <v>#N/A</v>
      </c>
      <c r="L264" s="15" t="s">
        <v>332</v>
      </c>
      <c r="M264" s="18" t="b">
        <v>1</v>
      </c>
      <c r="N264" s="17" t="b">
        <v>1</v>
      </c>
      <c r="O264" s="17" t="b">
        <v>1</v>
      </c>
      <c r="P264" s="17" t="b">
        <v>1</v>
      </c>
      <c r="Q264" s="17" t="b">
        <v>0</v>
      </c>
      <c r="R264" s="17" t="b">
        <v>1</v>
      </c>
      <c r="S264" s="17" t="b">
        <v>0</v>
      </c>
      <c r="T264" s="17" t="b">
        <v>0</v>
      </c>
      <c r="U264" s="17" t="b">
        <v>0</v>
      </c>
      <c r="V264" s="17" t="b">
        <v>1</v>
      </c>
      <c r="W264" s="11" t="s">
        <v>309</v>
      </c>
      <c r="X264" s="12" t="s">
        <v>14</v>
      </c>
      <c r="Y264" s="12" t="s">
        <v>14</v>
      </c>
      <c r="Z264" s="13" t="s">
        <v>280</v>
      </c>
    </row>
    <row r="265" spans="1:26" ht="19.899999999999999" customHeight="1" x14ac:dyDescent="0.25">
      <c r="A265" s="6">
        <v>45978</v>
      </c>
      <c r="B265" s="7" t="s">
        <v>339</v>
      </c>
      <c r="C265" s="8" t="s">
        <v>1028</v>
      </c>
      <c r="D265" s="8" t="s">
        <v>290</v>
      </c>
      <c r="E265" s="8" t="s">
        <v>1029</v>
      </c>
      <c r="F265" s="9" t="s">
        <v>1030</v>
      </c>
      <c r="G265" s="9" t="s">
        <v>1033</v>
      </c>
      <c r="H265" s="9" t="s">
        <v>1034</v>
      </c>
      <c r="I265" s="9" t="s">
        <v>69</v>
      </c>
      <c r="J265" s="10" t="s">
        <v>15</v>
      </c>
      <c r="K265" s="15" t="str">
        <f>VLOOKUP(J265,DADOS!$A$3:$B$105,2,FALSE)</f>
        <v>EE-GI-001-002</v>
      </c>
      <c r="L265" s="15" t="s">
        <v>304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1</v>
      </c>
      <c r="S265" s="17" t="b">
        <v>0</v>
      </c>
      <c r="T265" s="17" t="b">
        <v>0</v>
      </c>
      <c r="U265" s="17" t="b">
        <v>0</v>
      </c>
      <c r="V265" s="17" t="b">
        <v>0</v>
      </c>
      <c r="W265" s="11" t="s">
        <v>290</v>
      </c>
      <c r="X265" s="12" t="s">
        <v>14</v>
      </c>
      <c r="Y265" s="12" t="s">
        <v>14</v>
      </c>
      <c r="Z265" s="13" t="s">
        <v>280</v>
      </c>
    </row>
    <row r="266" spans="1:26" ht="19.899999999999999" customHeight="1" x14ac:dyDescent="0.25">
      <c r="A266" s="6">
        <v>45978</v>
      </c>
      <c r="B266" s="7" t="s">
        <v>339</v>
      </c>
      <c r="C266" s="8" t="s">
        <v>1028</v>
      </c>
      <c r="D266" s="8" t="s">
        <v>290</v>
      </c>
      <c r="E266" s="8" t="s">
        <v>1029</v>
      </c>
      <c r="F266" s="9" t="s">
        <v>1031</v>
      </c>
      <c r="G266" s="9" t="s">
        <v>1033</v>
      </c>
      <c r="H266" s="9" t="s">
        <v>1034</v>
      </c>
      <c r="I266" s="9" t="s">
        <v>65</v>
      </c>
      <c r="J266" s="10" t="s">
        <v>15</v>
      </c>
      <c r="K266" s="15" t="str">
        <f>VLOOKUP(J266,DADOS!$A$3:$B$105,2,FALSE)</f>
        <v>EE-GI-001-002</v>
      </c>
      <c r="L266" s="15" t="s">
        <v>304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1</v>
      </c>
      <c r="S266" s="17" t="b">
        <v>0</v>
      </c>
      <c r="T266" s="17" t="b">
        <v>0</v>
      </c>
      <c r="U266" s="17" t="b">
        <v>0</v>
      </c>
      <c r="V266" s="17" t="b">
        <v>0</v>
      </c>
      <c r="W266" s="11" t="s">
        <v>290</v>
      </c>
      <c r="X266" s="12" t="s">
        <v>14</v>
      </c>
      <c r="Y266" s="12" t="s">
        <v>14</v>
      </c>
      <c r="Z266" s="13" t="s">
        <v>280</v>
      </c>
    </row>
    <row r="267" spans="1:26" ht="19.899999999999999" customHeight="1" x14ac:dyDescent="0.25">
      <c r="A267" s="6">
        <v>45978</v>
      </c>
      <c r="B267" s="7" t="s">
        <v>339</v>
      </c>
      <c r="C267" s="8" t="s">
        <v>1028</v>
      </c>
      <c r="D267" s="8" t="s">
        <v>290</v>
      </c>
      <c r="E267" s="8" t="s">
        <v>1029</v>
      </c>
      <c r="F267" s="9" t="s">
        <v>1032</v>
      </c>
      <c r="G267" s="9" t="s">
        <v>1033</v>
      </c>
      <c r="H267" s="9" t="s">
        <v>1034</v>
      </c>
      <c r="I267" s="9" t="s">
        <v>69</v>
      </c>
      <c r="J267" s="10" t="s">
        <v>15</v>
      </c>
      <c r="K267" s="15" t="str">
        <f>VLOOKUP(J267,DADOS!$A$3:$B$105,2,FALSE)</f>
        <v>EE-GI-001-002</v>
      </c>
      <c r="L267" s="15" t="s">
        <v>304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1</v>
      </c>
      <c r="S267" s="17" t="b">
        <v>0</v>
      </c>
      <c r="T267" s="17" t="b">
        <v>0</v>
      </c>
      <c r="U267" s="17" t="b">
        <v>0</v>
      </c>
      <c r="V267" s="17" t="b">
        <v>0</v>
      </c>
      <c r="W267" s="11" t="s">
        <v>290</v>
      </c>
      <c r="X267" s="12" t="s">
        <v>14</v>
      </c>
      <c r="Y267" s="12" t="s">
        <v>14</v>
      </c>
      <c r="Z267" s="13" t="s">
        <v>280</v>
      </c>
    </row>
    <row r="268" spans="1:26" ht="19.899999999999999" customHeight="1" x14ac:dyDescent="0.25">
      <c r="A268" s="6">
        <v>45978</v>
      </c>
      <c r="B268" s="7" t="s">
        <v>1035</v>
      </c>
      <c r="C268" s="8" t="s">
        <v>1036</v>
      </c>
      <c r="D268" s="8" t="s">
        <v>559</v>
      </c>
      <c r="E268" s="8" t="s">
        <v>1008</v>
      </c>
      <c r="F268" s="9" t="s">
        <v>1037</v>
      </c>
      <c r="G268" s="9" t="s">
        <v>1038</v>
      </c>
      <c r="H268" s="9" t="s">
        <v>1039</v>
      </c>
      <c r="I268" s="9" t="s">
        <v>65</v>
      </c>
      <c r="J268" s="10" t="s">
        <v>16</v>
      </c>
      <c r="K268" s="15" t="str">
        <f>VLOOKUP(J268,DADOS!$A$3:$B$105,2,FALSE)</f>
        <v>EE-GI-001-003</v>
      </c>
      <c r="L268" s="15" t="s">
        <v>321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559</v>
      </c>
      <c r="X268" s="12" t="s">
        <v>14</v>
      </c>
      <c r="Y268" s="12" t="s">
        <v>14</v>
      </c>
      <c r="Z268" s="13" t="s">
        <v>322</v>
      </c>
    </row>
    <row r="269" spans="1:26" ht="19.899999999999999" customHeight="1" x14ac:dyDescent="0.25">
      <c r="A269" s="6">
        <v>45978</v>
      </c>
      <c r="B269" s="7" t="s">
        <v>1035</v>
      </c>
      <c r="C269" s="8" t="s">
        <v>1036</v>
      </c>
      <c r="D269" s="8" t="s">
        <v>518</v>
      </c>
      <c r="E269" s="8" t="s">
        <v>1008</v>
      </c>
      <c r="F269" s="9" t="s">
        <v>1040</v>
      </c>
      <c r="G269" s="9" t="s">
        <v>1038</v>
      </c>
      <c r="H269" s="9" t="s">
        <v>1039</v>
      </c>
      <c r="I269" s="9" t="s">
        <v>65</v>
      </c>
      <c r="J269" s="10" t="s">
        <v>16</v>
      </c>
      <c r="K269" s="15" t="str">
        <f>VLOOKUP(J269,DADOS!$A$3:$B$105,2,FALSE)</f>
        <v>EE-GI-001-003</v>
      </c>
      <c r="L269" s="15" t="s">
        <v>321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518</v>
      </c>
      <c r="X269" s="12" t="s">
        <v>14</v>
      </c>
      <c r="Y269" s="12" t="s">
        <v>14</v>
      </c>
      <c r="Z269" s="13" t="s">
        <v>322</v>
      </c>
    </row>
    <row r="270" spans="1:26" ht="19.899999999999999" customHeight="1" x14ac:dyDescent="0.25">
      <c r="A270" s="6">
        <v>45978</v>
      </c>
      <c r="B270" s="7" t="s">
        <v>1035</v>
      </c>
      <c r="C270" s="8" t="s">
        <v>1036</v>
      </c>
      <c r="D270" s="8" t="s">
        <v>527</v>
      </c>
      <c r="E270" s="8" t="s">
        <v>1008</v>
      </c>
      <c r="F270" s="9" t="s">
        <v>1041</v>
      </c>
      <c r="G270" s="9" t="s">
        <v>1038</v>
      </c>
      <c r="H270" s="9" t="s">
        <v>1039</v>
      </c>
      <c r="I270" s="9" t="s">
        <v>65</v>
      </c>
      <c r="J270" s="10" t="s">
        <v>16</v>
      </c>
      <c r="K270" s="15" t="str">
        <f>VLOOKUP(J270,DADOS!$A$3:$B$105,2,FALSE)</f>
        <v>EE-GI-001-003</v>
      </c>
      <c r="L270" s="15" t="s">
        <v>321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527</v>
      </c>
      <c r="X270" s="12" t="s">
        <v>14</v>
      </c>
      <c r="Y270" s="12" t="s">
        <v>14</v>
      </c>
      <c r="Z270" s="13" t="s">
        <v>322</v>
      </c>
    </row>
    <row r="271" spans="1:26" ht="19.899999999999999" customHeight="1" x14ac:dyDescent="0.25">
      <c r="A271" s="6">
        <v>45978</v>
      </c>
      <c r="B271" s="7" t="s">
        <v>1035</v>
      </c>
      <c r="C271" s="8" t="s">
        <v>1042</v>
      </c>
      <c r="D271" s="8" t="s">
        <v>352</v>
      </c>
      <c r="E271" s="8" t="s">
        <v>1008</v>
      </c>
      <c r="F271" s="9" t="s">
        <v>1043</v>
      </c>
      <c r="G271" s="9" t="s">
        <v>1038</v>
      </c>
      <c r="H271" s="9" t="s">
        <v>1039</v>
      </c>
      <c r="I271" s="9" t="s">
        <v>65</v>
      </c>
      <c r="J271" s="10" t="s">
        <v>16</v>
      </c>
      <c r="K271" s="15" t="str">
        <f>VLOOKUP(J271,DADOS!$A$3:$B$105,2,FALSE)</f>
        <v>EE-GI-001-003</v>
      </c>
      <c r="L271" s="15" t="s">
        <v>321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352</v>
      </c>
      <c r="X271" s="12" t="s">
        <v>14</v>
      </c>
      <c r="Y271" s="12" t="s">
        <v>14</v>
      </c>
      <c r="Z271" s="13" t="s">
        <v>322</v>
      </c>
    </row>
    <row r="272" spans="1:26" ht="19.899999999999999" customHeight="1" x14ac:dyDescent="0.25">
      <c r="A272" s="6">
        <v>45978</v>
      </c>
      <c r="B272" s="7" t="s">
        <v>511</v>
      </c>
      <c r="C272" s="8" t="s">
        <v>1044</v>
      </c>
      <c r="D272" s="8" t="s">
        <v>518</v>
      </c>
      <c r="E272" s="8" t="s">
        <v>1045</v>
      </c>
      <c r="F272" s="9" t="s">
        <v>1046</v>
      </c>
      <c r="G272" s="9" t="s">
        <v>552</v>
      </c>
      <c r="H272" s="9" t="s">
        <v>1047</v>
      </c>
      <c r="I272" s="9" t="s">
        <v>69</v>
      </c>
      <c r="J272" s="10" t="s">
        <v>15</v>
      </c>
      <c r="K272" s="15" t="str">
        <f>VLOOKUP(J272,DADOS!$A$3:$B$105,2,FALSE)</f>
        <v>EE-GI-001-002</v>
      </c>
      <c r="L272" s="15" t="s">
        <v>332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1</v>
      </c>
      <c r="S272" s="17" t="b">
        <v>0</v>
      </c>
      <c r="T272" s="17" t="b">
        <v>0</v>
      </c>
      <c r="U272" s="17" t="b">
        <v>0</v>
      </c>
      <c r="V272" s="17" t="b">
        <v>0</v>
      </c>
      <c r="W272" s="11" t="s">
        <v>518</v>
      </c>
      <c r="X272" s="12" t="s">
        <v>14</v>
      </c>
      <c r="Y272" s="12" t="s">
        <v>14</v>
      </c>
      <c r="Z272" s="13" t="s">
        <v>280</v>
      </c>
    </row>
    <row r="273" spans="1:26" ht="19.899999999999999" customHeight="1" x14ac:dyDescent="0.25">
      <c r="A273" s="6">
        <v>45978</v>
      </c>
      <c r="B273" s="7" t="s">
        <v>511</v>
      </c>
      <c r="C273" s="8" t="s">
        <v>1044</v>
      </c>
      <c r="D273" s="8" t="s">
        <v>327</v>
      </c>
      <c r="E273" s="8" t="s">
        <v>1045</v>
      </c>
      <c r="F273" s="9" t="s">
        <v>1048</v>
      </c>
      <c r="G273" s="9" t="s">
        <v>552</v>
      </c>
      <c r="H273" s="9" t="s">
        <v>1047</v>
      </c>
      <c r="I273" s="9" t="s">
        <v>69</v>
      </c>
      <c r="J273" s="10" t="s">
        <v>15</v>
      </c>
      <c r="K273" s="15" t="str">
        <f>VLOOKUP(J273,DADOS!$A$3:$B$105,2,FALSE)</f>
        <v>EE-GI-001-002</v>
      </c>
      <c r="L273" s="15" t="s">
        <v>332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1</v>
      </c>
      <c r="S273" s="17" t="b">
        <v>0</v>
      </c>
      <c r="T273" s="17" t="b">
        <v>0</v>
      </c>
      <c r="U273" s="17" t="b">
        <v>0</v>
      </c>
      <c r="V273" s="17" t="b">
        <v>0</v>
      </c>
      <c r="W273" s="11" t="s">
        <v>327</v>
      </c>
      <c r="X273" s="12" t="s">
        <v>14</v>
      </c>
      <c r="Y273" s="12" t="s">
        <v>14</v>
      </c>
      <c r="Z273" s="13" t="s">
        <v>280</v>
      </c>
    </row>
    <row r="274" spans="1:26" ht="19.899999999999999" customHeight="1" x14ac:dyDescent="0.25">
      <c r="A274" s="6">
        <v>45978</v>
      </c>
      <c r="B274" s="7" t="s">
        <v>511</v>
      </c>
      <c r="C274" s="8" t="s">
        <v>669</v>
      </c>
      <c r="D274" s="8" t="s">
        <v>352</v>
      </c>
      <c r="E274" s="8" t="s">
        <v>1049</v>
      </c>
      <c r="F274" s="9" t="s">
        <v>1050</v>
      </c>
      <c r="G274" s="9" t="s">
        <v>552</v>
      </c>
      <c r="H274" s="9" t="s">
        <v>1052</v>
      </c>
      <c r="I274" s="9" t="s">
        <v>65</v>
      </c>
      <c r="J274" s="10" t="s">
        <v>15</v>
      </c>
      <c r="K274" s="15" t="str">
        <f>VLOOKUP(J274,DADOS!$A$3:$B$105,2,FALSE)</f>
        <v>EE-GI-001-002</v>
      </c>
      <c r="L274" s="15" t="s">
        <v>278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1</v>
      </c>
      <c r="S274" s="17" t="b">
        <v>0</v>
      </c>
      <c r="T274" s="17" t="b">
        <v>0</v>
      </c>
      <c r="U274" s="17" t="b">
        <v>0</v>
      </c>
      <c r="V274" s="17" t="b">
        <v>0</v>
      </c>
      <c r="W274" s="11" t="s">
        <v>352</v>
      </c>
      <c r="X274" s="12" t="s">
        <v>14</v>
      </c>
      <c r="Y274" s="12" t="s">
        <v>14</v>
      </c>
      <c r="Z274" s="13" t="s">
        <v>280</v>
      </c>
    </row>
    <row r="275" spans="1:26" ht="19.899999999999999" customHeight="1" x14ac:dyDescent="0.25">
      <c r="A275" s="6">
        <v>45978</v>
      </c>
      <c r="B275" s="7" t="s">
        <v>511</v>
      </c>
      <c r="C275" s="8" t="s">
        <v>1053</v>
      </c>
      <c r="D275" s="8" t="s">
        <v>352</v>
      </c>
      <c r="E275" s="8" t="s">
        <v>1054</v>
      </c>
      <c r="F275" s="9" t="s">
        <v>1055</v>
      </c>
      <c r="G275" s="9" t="s">
        <v>1056</v>
      </c>
      <c r="H275" s="9" t="s">
        <v>1051</v>
      </c>
      <c r="I275" s="9" t="s">
        <v>65</v>
      </c>
      <c r="J275" s="10" t="s">
        <v>14</v>
      </c>
      <c r="K275" s="15" t="e">
        <f>VLOOKUP(J275,DADOS!$A$3:$B$105,2,FALSE)</f>
        <v>#N/A</v>
      </c>
      <c r="L275" s="15" t="s">
        <v>278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0</v>
      </c>
      <c r="W275" s="11" t="s">
        <v>352</v>
      </c>
      <c r="X275" s="12" t="s">
        <v>14</v>
      </c>
      <c r="Y275" s="12" t="s">
        <v>14</v>
      </c>
      <c r="Z275" s="13" t="s">
        <v>280</v>
      </c>
    </row>
    <row r="276" spans="1:26" ht="19.899999999999999" customHeight="1" x14ac:dyDescent="0.25">
      <c r="A276" s="6">
        <v>45978</v>
      </c>
      <c r="B276" s="7" t="s">
        <v>307</v>
      </c>
      <c r="C276" s="8" t="s">
        <v>1057</v>
      </c>
      <c r="D276" s="8" t="s">
        <v>309</v>
      </c>
      <c r="E276" s="8" t="s">
        <v>1058</v>
      </c>
      <c r="F276" s="9" t="s">
        <v>1059</v>
      </c>
      <c r="G276" s="9" t="s">
        <v>1060</v>
      </c>
      <c r="H276" s="9" t="s">
        <v>1061</v>
      </c>
      <c r="I276" s="9" t="s">
        <v>97</v>
      </c>
      <c r="J276" s="10" t="s">
        <v>185</v>
      </c>
      <c r="K276" s="15" t="str">
        <f>VLOOKUP(J276,DADOS!$A$3:$B$105,2,FALSE)</f>
        <v>EE-GI-001-031</v>
      </c>
      <c r="L276" s="15" t="s">
        <v>332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0</v>
      </c>
      <c r="W276" s="11" t="s">
        <v>309</v>
      </c>
      <c r="X276" s="12" t="s">
        <v>14</v>
      </c>
      <c r="Y276" s="12" t="s">
        <v>14</v>
      </c>
      <c r="Z276" s="13" t="s">
        <v>280</v>
      </c>
    </row>
    <row r="277" spans="1:26" ht="19.899999999999999" customHeight="1" x14ac:dyDescent="0.25">
      <c r="A277" s="6">
        <v>45978</v>
      </c>
      <c r="B277" s="7" t="s">
        <v>307</v>
      </c>
      <c r="C277" s="8" t="s">
        <v>1062</v>
      </c>
      <c r="D277" s="8" t="s">
        <v>352</v>
      </c>
      <c r="E277" s="8" t="s">
        <v>1063</v>
      </c>
      <c r="F277" s="9" t="s">
        <v>1064</v>
      </c>
      <c r="G277" s="9" t="s">
        <v>1065</v>
      </c>
      <c r="H277" s="9" t="s">
        <v>1066</v>
      </c>
      <c r="I277" s="9" t="s">
        <v>69</v>
      </c>
      <c r="J277" s="10" t="s">
        <v>185</v>
      </c>
      <c r="K277" s="15" t="str">
        <f>VLOOKUP(J277,DADOS!$A$3:$B$105,2,FALSE)</f>
        <v>EE-GI-001-031</v>
      </c>
      <c r="L277" s="15" t="s">
        <v>278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0</v>
      </c>
      <c r="W277" s="11" t="s">
        <v>352</v>
      </c>
      <c r="X277" s="12" t="s">
        <v>14</v>
      </c>
      <c r="Y277" s="12" t="s">
        <v>14</v>
      </c>
      <c r="Z277" s="13" t="s">
        <v>280</v>
      </c>
    </row>
    <row r="278" spans="1:26" ht="19.899999999999999" customHeight="1" x14ac:dyDescent="0.25">
      <c r="A278" s="6">
        <v>45978</v>
      </c>
      <c r="B278" s="7" t="s">
        <v>307</v>
      </c>
      <c r="C278" s="8" t="s">
        <v>1067</v>
      </c>
      <c r="D278" s="8" t="s">
        <v>265</v>
      </c>
      <c r="E278" s="8" t="s">
        <v>1068</v>
      </c>
      <c r="F278" s="9" t="s">
        <v>1069</v>
      </c>
      <c r="G278" s="9" t="s">
        <v>1070</v>
      </c>
      <c r="H278" s="9" t="s">
        <v>1071</v>
      </c>
      <c r="I278" s="9" t="s">
        <v>69</v>
      </c>
      <c r="J278" s="10" t="s">
        <v>185</v>
      </c>
      <c r="K278" s="15" t="str">
        <f>VLOOKUP(J278,DADOS!$A$3:$B$105,2,FALSE)</f>
        <v>EE-GI-001-031</v>
      </c>
      <c r="L278" s="15" t="s">
        <v>332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0</v>
      </c>
      <c r="W278" s="11" t="s">
        <v>265</v>
      </c>
      <c r="X278" s="12" t="s">
        <v>14</v>
      </c>
      <c r="Y278" s="12" t="s">
        <v>14</v>
      </c>
      <c r="Z278" s="13" t="s">
        <v>280</v>
      </c>
    </row>
    <row r="279" spans="1:26" ht="19.899999999999999" customHeight="1" x14ac:dyDescent="0.25">
      <c r="A279" s="6">
        <v>45978</v>
      </c>
      <c r="B279" s="7" t="s">
        <v>314</v>
      </c>
      <c r="C279" s="8" t="s">
        <v>315</v>
      </c>
      <c r="D279" s="8" t="s">
        <v>1192</v>
      </c>
      <c r="E279" s="8" t="s">
        <v>1193</v>
      </c>
      <c r="F279" s="9" t="s">
        <v>324</v>
      </c>
      <c r="G279" s="9" t="s">
        <v>1194</v>
      </c>
      <c r="H279" s="9" t="s">
        <v>1195</v>
      </c>
      <c r="I279" s="9" t="s">
        <v>66</v>
      </c>
      <c r="J279" s="10" t="s">
        <v>186</v>
      </c>
      <c r="K279" s="15" t="str">
        <f>VLOOKUP(J279,[1]DADOS!$A$3:$B$105,2,FALSE)</f>
        <v>EE-GI-001-008</v>
      </c>
      <c r="L279" s="15" t="s">
        <v>1180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1192</v>
      </c>
      <c r="X279" s="12" t="s">
        <v>14</v>
      </c>
      <c r="Y279" s="12" t="s">
        <v>14</v>
      </c>
      <c r="Z279" s="13" t="s">
        <v>322</v>
      </c>
    </row>
    <row r="280" spans="1:26" ht="19.899999999999999" customHeight="1" x14ac:dyDescent="0.25">
      <c r="A280" s="6">
        <v>45978</v>
      </c>
      <c r="B280" s="7" t="s">
        <v>346</v>
      </c>
      <c r="C280" s="8" t="s">
        <v>1771</v>
      </c>
      <c r="D280" s="8" t="s">
        <v>776</v>
      </c>
      <c r="E280" s="8" t="s">
        <v>1772</v>
      </c>
      <c r="F280" s="9" t="s">
        <v>1773</v>
      </c>
      <c r="G280" s="9" t="s">
        <v>1774</v>
      </c>
      <c r="H280" s="36" t="s">
        <v>1776</v>
      </c>
      <c r="I280" s="9" t="s">
        <v>66</v>
      </c>
      <c r="J280" s="10" t="s">
        <v>186</v>
      </c>
      <c r="K280" s="15" t="str">
        <f>VLOOKUP(J280,[1]DADOS!$A$3:$B$105,2,FALSE)</f>
        <v>EE-GI-001-008</v>
      </c>
      <c r="L280" s="15" t="s">
        <v>332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0</v>
      </c>
      <c r="W280" s="11" t="s">
        <v>776</v>
      </c>
      <c r="X280" s="12" t="s">
        <v>14</v>
      </c>
      <c r="Y280" s="12" t="s">
        <v>14</v>
      </c>
      <c r="Z280" s="13" t="s">
        <v>280</v>
      </c>
    </row>
    <row r="281" spans="1:26" ht="19.899999999999999" customHeight="1" x14ac:dyDescent="0.25">
      <c r="A281" s="6">
        <v>45978</v>
      </c>
      <c r="B281" s="7" t="s">
        <v>346</v>
      </c>
      <c r="C281" s="8" t="s">
        <v>1771</v>
      </c>
      <c r="D281" s="8" t="s">
        <v>327</v>
      </c>
      <c r="E281" s="8" t="s">
        <v>1772</v>
      </c>
      <c r="F281" s="9" t="s">
        <v>1775</v>
      </c>
      <c r="G281" s="9" t="s">
        <v>1774</v>
      </c>
      <c r="H281" s="36" t="s">
        <v>1776</v>
      </c>
      <c r="I281" s="9" t="s">
        <v>66</v>
      </c>
      <c r="J281" s="10" t="s">
        <v>186</v>
      </c>
      <c r="K281" s="15" t="str">
        <f>VLOOKUP(J281,[1]DADOS!$A$3:$B$105,2,FALSE)</f>
        <v>EE-GI-001-008</v>
      </c>
      <c r="L281" s="15" t="s">
        <v>332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0</v>
      </c>
      <c r="W281" s="11" t="s">
        <v>327</v>
      </c>
      <c r="X281" s="12" t="s">
        <v>14</v>
      </c>
      <c r="Y281" s="12" t="s">
        <v>14</v>
      </c>
      <c r="Z281" s="13" t="s">
        <v>280</v>
      </c>
    </row>
    <row r="282" spans="1:26" ht="19.899999999999999" customHeight="1" x14ac:dyDescent="0.25">
      <c r="A282" s="6">
        <v>45978</v>
      </c>
      <c r="B282" s="7" t="s">
        <v>346</v>
      </c>
      <c r="C282" s="8" t="s">
        <v>1777</v>
      </c>
      <c r="D282" s="8" t="s">
        <v>527</v>
      </c>
      <c r="E282" s="8" t="s">
        <v>1772</v>
      </c>
      <c r="F282" s="9" t="s">
        <v>1780</v>
      </c>
      <c r="G282" s="9" t="s">
        <v>1779</v>
      </c>
      <c r="H282" s="9" t="s">
        <v>1781</v>
      </c>
      <c r="I282" s="9" t="s">
        <v>66</v>
      </c>
      <c r="J282" s="10" t="s">
        <v>186</v>
      </c>
      <c r="K282" s="15" t="str">
        <f>VLOOKUP(J282,[1]DADOS!$A$3:$B$105,2,FALSE)</f>
        <v>EE-GI-001-008</v>
      </c>
      <c r="L282" s="15" t="s">
        <v>332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0</v>
      </c>
      <c r="W282" s="11" t="s">
        <v>527</v>
      </c>
      <c r="X282" s="12" t="s">
        <v>14</v>
      </c>
      <c r="Y282" s="12" t="s">
        <v>14</v>
      </c>
      <c r="Z282" s="13" t="s">
        <v>280</v>
      </c>
    </row>
    <row r="283" spans="1:26" ht="19.899999999999999" customHeight="1" x14ac:dyDescent="0.25">
      <c r="A283" s="6">
        <v>45978</v>
      </c>
      <c r="B283" s="7" t="s">
        <v>346</v>
      </c>
      <c r="C283" s="8" t="s">
        <v>1777</v>
      </c>
      <c r="D283" s="8" t="s">
        <v>290</v>
      </c>
      <c r="E283" s="8" t="s">
        <v>1772</v>
      </c>
      <c r="F283" s="9" t="s">
        <v>1778</v>
      </c>
      <c r="G283" s="9" t="s">
        <v>1779</v>
      </c>
      <c r="H283" s="9" t="s">
        <v>1781</v>
      </c>
      <c r="I283" s="9" t="s">
        <v>66</v>
      </c>
      <c r="J283" s="10" t="s">
        <v>186</v>
      </c>
      <c r="K283" s="15" t="str">
        <f>VLOOKUP(J283,[1]DADOS!$A$3:$B$105,2,FALSE)</f>
        <v>EE-GI-001-008</v>
      </c>
      <c r="L283" s="15" t="s">
        <v>332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0</v>
      </c>
      <c r="W283" s="11" t="s">
        <v>290</v>
      </c>
      <c r="X283" s="12" t="s">
        <v>14</v>
      </c>
      <c r="Y283" s="12" t="s">
        <v>14</v>
      </c>
      <c r="Z283" s="13" t="s">
        <v>280</v>
      </c>
    </row>
    <row r="284" spans="1:26" ht="19.899999999999999" customHeight="1" x14ac:dyDescent="0.25">
      <c r="A284" s="6">
        <v>45978</v>
      </c>
      <c r="B284" s="7" t="s">
        <v>346</v>
      </c>
      <c r="C284" s="8" t="s">
        <v>1785</v>
      </c>
      <c r="D284" s="8" t="s">
        <v>298</v>
      </c>
      <c r="E284" s="8" t="s">
        <v>1772</v>
      </c>
      <c r="F284" s="9" t="s">
        <v>1782</v>
      </c>
      <c r="G284" s="9" t="s">
        <v>1774</v>
      </c>
      <c r="H284" s="9" t="s">
        <v>1783</v>
      </c>
      <c r="I284" s="9" t="s">
        <v>66</v>
      </c>
      <c r="J284" s="10" t="s">
        <v>186</v>
      </c>
      <c r="K284" s="15" t="str">
        <f>VLOOKUP(J284,[1]DADOS!$A$3:$B$105,2,FALSE)</f>
        <v>EE-GI-001-008</v>
      </c>
      <c r="L284" s="15" t="s">
        <v>332</v>
      </c>
      <c r="M284" s="18" t="b">
        <v>1</v>
      </c>
      <c r="N284" s="17" t="b">
        <v>1</v>
      </c>
      <c r="O284" s="17" t="b">
        <v>1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0</v>
      </c>
      <c r="W284" s="11" t="s">
        <v>298</v>
      </c>
      <c r="X284" s="12" t="s">
        <v>14</v>
      </c>
      <c r="Y284" s="12" t="s">
        <v>14</v>
      </c>
      <c r="Z284" s="13" t="s">
        <v>280</v>
      </c>
    </row>
    <row r="285" spans="1:26" ht="19.899999999999999" customHeight="1" x14ac:dyDescent="0.25">
      <c r="A285" s="6">
        <v>45978</v>
      </c>
      <c r="B285" s="7" t="s">
        <v>346</v>
      </c>
      <c r="C285" s="8" t="s">
        <v>1785</v>
      </c>
      <c r="D285" s="8" t="s">
        <v>518</v>
      </c>
      <c r="E285" s="8" t="s">
        <v>1772</v>
      </c>
      <c r="F285" s="9" t="s">
        <v>1786</v>
      </c>
      <c r="G285" s="9" t="s">
        <v>1774</v>
      </c>
      <c r="H285" s="9" t="s">
        <v>1783</v>
      </c>
      <c r="I285" s="9" t="s">
        <v>66</v>
      </c>
      <c r="J285" s="10" t="s">
        <v>186</v>
      </c>
      <c r="K285" s="15" t="str">
        <f>VLOOKUP(J285,[1]DADOS!$A$3:$B$105,2,FALSE)</f>
        <v>EE-GI-001-008</v>
      </c>
      <c r="L285" s="15" t="s">
        <v>332</v>
      </c>
      <c r="M285" s="18" t="b">
        <v>1</v>
      </c>
      <c r="N285" s="17" t="b">
        <v>1</v>
      </c>
      <c r="O285" s="17" t="b">
        <v>1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0</v>
      </c>
      <c r="W285" s="11" t="s">
        <v>518</v>
      </c>
      <c r="X285" s="12" t="s">
        <v>14</v>
      </c>
      <c r="Y285" s="12" t="s">
        <v>14</v>
      </c>
      <c r="Z285" s="13" t="s">
        <v>280</v>
      </c>
    </row>
    <row r="286" spans="1:26" ht="19.899999999999999" customHeight="1" x14ac:dyDescent="0.25">
      <c r="A286" s="6">
        <v>45978</v>
      </c>
      <c r="B286" s="7" t="s">
        <v>346</v>
      </c>
      <c r="C286" s="8" t="s">
        <v>1784</v>
      </c>
      <c r="D286" s="8" t="s">
        <v>419</v>
      </c>
      <c r="E286" s="8" t="s">
        <v>1772</v>
      </c>
      <c r="F286" s="9" t="s">
        <v>1787</v>
      </c>
      <c r="G286" s="9" t="s">
        <v>1774</v>
      </c>
      <c r="H286" s="9" t="s">
        <v>1788</v>
      </c>
      <c r="I286" s="9" t="s">
        <v>66</v>
      </c>
      <c r="J286" s="10" t="s">
        <v>186</v>
      </c>
      <c r="K286" s="15" t="str">
        <f>VLOOKUP(J286,[1]DADOS!$A$3:$B$105,2,FALSE)</f>
        <v>EE-GI-001-008</v>
      </c>
      <c r="L286" s="15" t="s">
        <v>332</v>
      </c>
      <c r="M286" s="18" t="b">
        <v>1</v>
      </c>
      <c r="N286" s="17" t="b">
        <v>1</v>
      </c>
      <c r="O286" s="17" t="b">
        <v>1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0</v>
      </c>
      <c r="W286" s="11" t="s">
        <v>419</v>
      </c>
      <c r="X286" s="12" t="s">
        <v>14</v>
      </c>
      <c r="Y286" s="12" t="s">
        <v>14</v>
      </c>
      <c r="Z286" s="13" t="s">
        <v>280</v>
      </c>
    </row>
    <row r="287" spans="1:26" ht="19.899999999999999" customHeight="1" x14ac:dyDescent="0.25">
      <c r="A287" s="6">
        <v>45978</v>
      </c>
      <c r="B287" s="7" t="s">
        <v>346</v>
      </c>
      <c r="C287" s="8" t="s">
        <v>1784</v>
      </c>
      <c r="D287" s="8" t="s">
        <v>352</v>
      </c>
      <c r="E287" s="8" t="s">
        <v>1772</v>
      </c>
      <c r="F287" s="9" t="s">
        <v>1789</v>
      </c>
      <c r="G287" s="9" t="s">
        <v>1774</v>
      </c>
      <c r="H287" s="9" t="s">
        <v>1788</v>
      </c>
      <c r="I287" s="9" t="s">
        <v>66</v>
      </c>
      <c r="J287" s="10" t="s">
        <v>186</v>
      </c>
      <c r="K287" s="15" t="str">
        <f>VLOOKUP(J287,[1]DADOS!$A$3:$B$105,2,FALSE)</f>
        <v>EE-GI-001-008</v>
      </c>
      <c r="L287" s="15" t="s">
        <v>332</v>
      </c>
      <c r="M287" s="18" t="b">
        <v>1</v>
      </c>
      <c r="N287" s="17" t="b">
        <v>1</v>
      </c>
      <c r="O287" s="17" t="b">
        <v>1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0</v>
      </c>
      <c r="W287" s="11" t="s">
        <v>352</v>
      </c>
      <c r="X287" s="12" t="s">
        <v>14</v>
      </c>
      <c r="Y287" s="12" t="s">
        <v>14</v>
      </c>
      <c r="Z287" s="13" t="s">
        <v>280</v>
      </c>
    </row>
    <row r="288" spans="1:26" ht="19.899999999999999" customHeight="1" x14ac:dyDescent="0.25">
      <c r="A288" s="6">
        <v>45978</v>
      </c>
      <c r="B288" s="7" t="s">
        <v>346</v>
      </c>
      <c r="C288" s="8" t="s">
        <v>1790</v>
      </c>
      <c r="D288" s="8" t="s">
        <v>352</v>
      </c>
      <c r="E288" s="8" t="s">
        <v>1772</v>
      </c>
      <c r="F288" s="9" t="s">
        <v>1791</v>
      </c>
      <c r="G288" s="9" t="s">
        <v>1774</v>
      </c>
      <c r="H288" s="9" t="s">
        <v>1792</v>
      </c>
      <c r="I288" s="9" t="s">
        <v>66</v>
      </c>
      <c r="J288" s="10" t="s">
        <v>186</v>
      </c>
      <c r="K288" s="15" t="str">
        <f>VLOOKUP(J288,[1]DADOS!$A$3:$B$105,2,FALSE)</f>
        <v>EE-GI-001-008</v>
      </c>
      <c r="L288" s="15" t="s">
        <v>304</v>
      </c>
      <c r="M288" s="18" t="b">
        <v>1</v>
      </c>
      <c r="N288" s="17" t="b">
        <v>1</v>
      </c>
      <c r="O288" s="17" t="b">
        <v>1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0</v>
      </c>
      <c r="W288" s="11" t="s">
        <v>352</v>
      </c>
      <c r="X288" s="12" t="s">
        <v>14</v>
      </c>
      <c r="Y288" s="12" t="s">
        <v>14</v>
      </c>
      <c r="Z288" s="13" t="s">
        <v>280</v>
      </c>
    </row>
    <row r="289" spans="1:26" ht="19.899999999999999" customHeight="1" x14ac:dyDescent="0.25">
      <c r="A289" s="6">
        <v>45978</v>
      </c>
      <c r="B289" s="7" t="s">
        <v>346</v>
      </c>
      <c r="C289" s="8" t="s">
        <v>1790</v>
      </c>
      <c r="D289" s="8" t="s">
        <v>559</v>
      </c>
      <c r="E289" s="8" t="s">
        <v>1772</v>
      </c>
      <c r="F289" s="9" t="s">
        <v>1793</v>
      </c>
      <c r="G289" s="9" t="s">
        <v>1774</v>
      </c>
      <c r="H289" s="9" t="s">
        <v>1792</v>
      </c>
      <c r="I289" s="9" t="s">
        <v>66</v>
      </c>
      <c r="J289" s="10" t="s">
        <v>186</v>
      </c>
      <c r="K289" s="15" t="str">
        <f>VLOOKUP(J289,[1]DADOS!$A$3:$B$105,2,FALSE)</f>
        <v>EE-GI-001-008</v>
      </c>
      <c r="L289" s="15" t="s">
        <v>304</v>
      </c>
      <c r="M289" s="18" t="b">
        <v>1</v>
      </c>
      <c r="N289" s="17" t="b">
        <v>1</v>
      </c>
      <c r="O289" s="17" t="b">
        <v>1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0</v>
      </c>
      <c r="W289" s="11" t="s">
        <v>559</v>
      </c>
      <c r="X289" s="12" t="s">
        <v>14</v>
      </c>
      <c r="Y289" s="12" t="s">
        <v>14</v>
      </c>
      <c r="Z289" s="13" t="s">
        <v>280</v>
      </c>
    </row>
    <row r="290" spans="1:26" ht="19.899999999999999" customHeight="1" x14ac:dyDescent="0.25">
      <c r="A290" s="6">
        <v>45978</v>
      </c>
      <c r="B290" s="7" t="s">
        <v>346</v>
      </c>
      <c r="C290" s="8" t="s">
        <v>1794</v>
      </c>
      <c r="D290" s="8" t="s">
        <v>518</v>
      </c>
      <c r="E290" s="8" t="s">
        <v>1772</v>
      </c>
      <c r="F290" s="9" t="s">
        <v>1796</v>
      </c>
      <c r="G290" s="9" t="s">
        <v>1774</v>
      </c>
      <c r="H290" s="9" t="s">
        <v>1797</v>
      </c>
      <c r="I290" s="9" t="s">
        <v>66</v>
      </c>
      <c r="J290" s="10" t="s">
        <v>186</v>
      </c>
      <c r="K290" s="15" t="str">
        <f>VLOOKUP(J290,[1]DADOS!$A$3:$B$105,2,FALSE)</f>
        <v>EE-GI-001-008</v>
      </c>
      <c r="L290" s="15" t="s">
        <v>304</v>
      </c>
      <c r="M290" s="18" t="b">
        <v>1</v>
      </c>
      <c r="N290" s="17" t="b">
        <v>1</v>
      </c>
      <c r="O290" s="17" t="b">
        <v>1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0</v>
      </c>
      <c r="W290" s="11" t="s">
        <v>518</v>
      </c>
      <c r="X290" s="12" t="s">
        <v>14</v>
      </c>
      <c r="Y290" s="12" t="s">
        <v>14</v>
      </c>
      <c r="Z290" s="13" t="s">
        <v>280</v>
      </c>
    </row>
    <row r="291" spans="1:26" ht="19.899999999999999" customHeight="1" x14ac:dyDescent="0.25">
      <c r="A291" s="6">
        <v>45978</v>
      </c>
      <c r="B291" s="7" t="s">
        <v>346</v>
      </c>
      <c r="C291" s="8" t="s">
        <v>1794</v>
      </c>
      <c r="D291" s="8" t="s">
        <v>327</v>
      </c>
      <c r="E291" s="8" t="s">
        <v>1772</v>
      </c>
      <c r="F291" s="9" t="s">
        <v>1795</v>
      </c>
      <c r="G291" s="9" t="s">
        <v>1774</v>
      </c>
      <c r="H291" s="9" t="s">
        <v>1797</v>
      </c>
      <c r="I291" s="9" t="s">
        <v>66</v>
      </c>
      <c r="J291" s="10" t="s">
        <v>186</v>
      </c>
      <c r="K291" s="15" t="str">
        <f>VLOOKUP(J291,[1]DADOS!$A$3:$B$105,2,FALSE)</f>
        <v>EE-GI-001-008</v>
      </c>
      <c r="L291" s="15" t="s">
        <v>304</v>
      </c>
      <c r="M291" s="18" t="b">
        <v>1</v>
      </c>
      <c r="N291" s="17" t="b">
        <v>1</v>
      </c>
      <c r="O291" s="17" t="b">
        <v>1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0</v>
      </c>
      <c r="W291" s="11" t="s">
        <v>327</v>
      </c>
      <c r="X291" s="12" t="s">
        <v>14</v>
      </c>
      <c r="Y291" s="12" t="s">
        <v>14</v>
      </c>
      <c r="Z291" s="13" t="s">
        <v>280</v>
      </c>
    </row>
    <row r="292" spans="1:26" ht="19.899999999999999" customHeight="1" x14ac:dyDescent="0.25">
      <c r="A292" s="6">
        <v>45978</v>
      </c>
      <c r="B292" s="7" t="s">
        <v>307</v>
      </c>
      <c r="C292" s="8" t="s">
        <v>482</v>
      </c>
      <c r="D292" s="8" t="s">
        <v>352</v>
      </c>
      <c r="E292" s="8" t="s">
        <v>1058</v>
      </c>
      <c r="F292" s="9" t="s">
        <v>484</v>
      </c>
      <c r="G292" s="9" t="s">
        <v>1072</v>
      </c>
      <c r="H292" s="9" t="s">
        <v>1073</v>
      </c>
      <c r="I292" s="9" t="s">
        <v>97</v>
      </c>
      <c r="J292" s="10" t="s">
        <v>185</v>
      </c>
      <c r="K292" s="15" t="str">
        <f>VLOOKUP(J292,DADOS!$A$3:$B$105,2,FALSE)</f>
        <v>EE-GI-001-031</v>
      </c>
      <c r="L292" s="15" t="s">
        <v>332</v>
      </c>
      <c r="M292" s="18" t="b">
        <v>1</v>
      </c>
      <c r="N292" s="17" t="b">
        <v>1</v>
      </c>
      <c r="O292" s="17" t="b">
        <v>1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0</v>
      </c>
      <c r="W292" s="11" t="s">
        <v>352</v>
      </c>
      <c r="X292" s="12" t="s">
        <v>14</v>
      </c>
      <c r="Y292" s="12" t="s">
        <v>14</v>
      </c>
      <c r="Z292" s="13" t="s">
        <v>280</v>
      </c>
    </row>
    <row r="293" spans="1:26" ht="19.899999999999999" customHeight="1" x14ac:dyDescent="0.25">
      <c r="A293" s="6">
        <v>45979</v>
      </c>
      <c r="B293" s="7" t="s">
        <v>1187</v>
      </c>
      <c r="C293" s="8" t="s">
        <v>1427</v>
      </c>
      <c r="D293" s="8" t="s">
        <v>265</v>
      </c>
      <c r="E293" s="8" t="s">
        <v>1428</v>
      </c>
      <c r="F293" s="9" t="s">
        <v>1429</v>
      </c>
      <c r="G293" s="9" t="s">
        <v>1591</v>
      </c>
      <c r="H293" s="9" t="s">
        <v>1591</v>
      </c>
      <c r="I293" s="9" t="s">
        <v>69</v>
      </c>
      <c r="J293" s="10" t="s">
        <v>250</v>
      </c>
      <c r="K293" s="15" t="str">
        <f>VLOOKUP(J293,DADOS!$A$3:$B$105,2,FALSE)</f>
        <v>EE-GI-001-028</v>
      </c>
      <c r="L293" s="15" t="s">
        <v>408</v>
      </c>
      <c r="M293" s="18" t="b">
        <v>1</v>
      </c>
      <c r="N293" s="17" t="b">
        <v>1</v>
      </c>
      <c r="O293" s="17" t="b">
        <v>1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1</v>
      </c>
      <c r="W293" s="11" t="s">
        <v>265</v>
      </c>
      <c r="X293" s="12" t="s">
        <v>14</v>
      </c>
      <c r="Y293" s="12" t="s">
        <v>14</v>
      </c>
      <c r="Z293" s="13" t="s">
        <v>322</v>
      </c>
    </row>
    <row r="294" spans="1:26" ht="19.899999999999999" customHeight="1" x14ac:dyDescent="0.25">
      <c r="A294" s="6">
        <v>45979</v>
      </c>
      <c r="B294" s="7" t="s">
        <v>1187</v>
      </c>
      <c r="C294" s="8" t="s">
        <v>1588</v>
      </c>
      <c r="D294" s="8" t="s">
        <v>352</v>
      </c>
      <c r="E294" s="8" t="s">
        <v>1428</v>
      </c>
      <c r="F294" s="9" t="s">
        <v>1589</v>
      </c>
      <c r="G294" s="9" t="s">
        <v>1590</v>
      </c>
      <c r="H294" s="9" t="s">
        <v>1590</v>
      </c>
      <c r="I294" s="9" t="s">
        <v>69</v>
      </c>
      <c r="J294" s="10" t="s">
        <v>24</v>
      </c>
      <c r="K294" s="15" t="str">
        <f>VLOOKUP(J294,DADOS!$A$3:$B$105,2,FALSE)</f>
        <v>EE-GI-021-005</v>
      </c>
      <c r="L294" s="15" t="s">
        <v>332</v>
      </c>
      <c r="M294" s="18" t="b">
        <v>1</v>
      </c>
      <c r="N294" s="17" t="b">
        <v>1</v>
      </c>
      <c r="O294" s="17" t="b">
        <v>1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1</v>
      </c>
      <c r="W294" s="11" t="s">
        <v>352</v>
      </c>
      <c r="X294" s="12" t="s">
        <v>14</v>
      </c>
      <c r="Y294" s="12" t="s">
        <v>14</v>
      </c>
      <c r="Z294" s="13" t="s">
        <v>280</v>
      </c>
    </row>
    <row r="295" spans="1:26" ht="19.899999999999999" customHeight="1" x14ac:dyDescent="0.25">
      <c r="A295" s="6">
        <v>45979</v>
      </c>
      <c r="B295" s="7" t="s">
        <v>1187</v>
      </c>
      <c r="C295" s="8" t="s">
        <v>1592</v>
      </c>
      <c r="D295" s="8" t="s">
        <v>352</v>
      </c>
      <c r="E295" s="8" t="s">
        <v>1428</v>
      </c>
      <c r="F295" s="9" t="s">
        <v>1593</v>
      </c>
      <c r="G295" s="9" t="s">
        <v>1594</v>
      </c>
      <c r="H295" s="9" t="s">
        <v>1594</v>
      </c>
      <c r="I295" s="9" t="s">
        <v>69</v>
      </c>
      <c r="J295" s="10" t="s">
        <v>24</v>
      </c>
      <c r="K295" s="15" t="str">
        <f>VLOOKUP(J295,DADOS!$A$3:$B$105,2,FALSE)</f>
        <v>EE-GI-021-005</v>
      </c>
      <c r="L295" s="15" t="s">
        <v>332</v>
      </c>
      <c r="M295" s="18" t="b">
        <v>1</v>
      </c>
      <c r="N295" s="17" t="b">
        <v>1</v>
      </c>
      <c r="O295" s="17" t="b">
        <v>1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1</v>
      </c>
      <c r="W295" s="11" t="s">
        <v>352</v>
      </c>
      <c r="X295" s="12" t="s">
        <v>14</v>
      </c>
      <c r="Y295" s="12" t="s">
        <v>14</v>
      </c>
      <c r="Z295" s="13" t="s">
        <v>280</v>
      </c>
    </row>
    <row r="296" spans="1:26" ht="19.899999999999999" customHeight="1" x14ac:dyDescent="0.25">
      <c r="A296" s="6">
        <v>45979</v>
      </c>
      <c r="B296" s="7" t="s">
        <v>402</v>
      </c>
      <c r="C296" s="8" t="s">
        <v>1074</v>
      </c>
      <c r="D296" s="8" t="s">
        <v>290</v>
      </c>
      <c r="E296" s="8" t="s">
        <v>1075</v>
      </c>
      <c r="F296" s="9" t="s">
        <v>1076</v>
      </c>
      <c r="G296" s="9" t="s">
        <v>1077</v>
      </c>
      <c r="H296" s="9" t="s">
        <v>1078</v>
      </c>
      <c r="I296" s="9" t="s">
        <v>65</v>
      </c>
      <c r="J296" s="10" t="s">
        <v>17</v>
      </c>
      <c r="K296" s="15" t="str">
        <f>VLOOKUP(J296,DADOS!$A$3:$B$105,2,FALSE)</f>
        <v>EE-GI-001-001</v>
      </c>
      <c r="L296" s="15" t="s">
        <v>332</v>
      </c>
      <c r="M296" s="18" t="b">
        <v>1</v>
      </c>
      <c r="N296" s="17" t="b">
        <v>1</v>
      </c>
      <c r="O296" s="17" t="b">
        <v>1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1</v>
      </c>
      <c r="U296" s="17" t="b">
        <v>1</v>
      </c>
      <c r="V296" s="17" t="b">
        <v>1</v>
      </c>
      <c r="W296" s="11" t="s">
        <v>290</v>
      </c>
      <c r="X296" s="12" t="s">
        <v>14</v>
      </c>
      <c r="Y296" s="12" t="s">
        <v>14</v>
      </c>
      <c r="Z296" s="13" t="s">
        <v>280</v>
      </c>
    </row>
    <row r="297" spans="1:26" ht="19.899999999999999" customHeight="1" x14ac:dyDescent="0.25">
      <c r="A297" s="6">
        <v>45979</v>
      </c>
      <c r="B297" s="7" t="s">
        <v>402</v>
      </c>
      <c r="C297" s="8" t="s">
        <v>582</v>
      </c>
      <c r="D297" s="8" t="s">
        <v>518</v>
      </c>
      <c r="E297" s="8" t="s">
        <v>1075</v>
      </c>
      <c r="F297" s="9" t="s">
        <v>583</v>
      </c>
      <c r="G297" s="9" t="s">
        <v>584</v>
      </c>
      <c r="H297" s="9" t="s">
        <v>1080</v>
      </c>
      <c r="I297" s="9" t="s">
        <v>65</v>
      </c>
      <c r="J297" s="10" t="s">
        <v>17</v>
      </c>
      <c r="K297" s="15" t="str">
        <f>VLOOKUP(J297,DADOS!$A$3:$B$105,2,FALSE)</f>
        <v>EE-GI-001-001</v>
      </c>
      <c r="L297" s="15" t="s">
        <v>332</v>
      </c>
      <c r="M297" s="18" t="b">
        <v>1</v>
      </c>
      <c r="N297" s="17" t="b">
        <v>1</v>
      </c>
      <c r="O297" s="17" t="b">
        <v>1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1</v>
      </c>
      <c r="U297" s="17" t="b">
        <v>1</v>
      </c>
      <c r="V297" s="17" t="b">
        <v>1</v>
      </c>
      <c r="W297" s="11" t="s">
        <v>518</v>
      </c>
      <c r="X297" s="12" t="s">
        <v>14</v>
      </c>
      <c r="Y297" s="12" t="s">
        <v>14</v>
      </c>
      <c r="Z297" s="13" t="s">
        <v>280</v>
      </c>
    </row>
    <row r="298" spans="1:26" ht="19.899999999999999" customHeight="1" x14ac:dyDescent="0.25">
      <c r="A298" s="6">
        <v>45979</v>
      </c>
      <c r="B298" s="7" t="s">
        <v>402</v>
      </c>
      <c r="C298" s="8" t="s">
        <v>582</v>
      </c>
      <c r="D298" s="8" t="s">
        <v>309</v>
      </c>
      <c r="E298" s="8" t="s">
        <v>1075</v>
      </c>
      <c r="F298" s="9" t="s">
        <v>1079</v>
      </c>
      <c r="G298" s="9" t="s">
        <v>584</v>
      </c>
      <c r="H298" s="9" t="s">
        <v>1080</v>
      </c>
      <c r="I298" s="9" t="s">
        <v>65</v>
      </c>
      <c r="J298" s="10" t="s">
        <v>17</v>
      </c>
      <c r="K298" s="15" t="str">
        <f>VLOOKUP(J298,DADOS!$A$3:$B$105,2,FALSE)</f>
        <v>EE-GI-001-001</v>
      </c>
      <c r="L298" s="15" t="s">
        <v>332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1</v>
      </c>
      <c r="U298" s="17" t="b">
        <v>1</v>
      </c>
      <c r="V298" s="17" t="b">
        <v>1</v>
      </c>
      <c r="W298" s="11" t="s">
        <v>309</v>
      </c>
      <c r="X298" s="12" t="s">
        <v>14</v>
      </c>
      <c r="Y298" s="12" t="s">
        <v>14</v>
      </c>
      <c r="Z298" s="13" t="s">
        <v>280</v>
      </c>
    </row>
    <row r="299" spans="1:26" ht="19.899999999999999" customHeight="1" x14ac:dyDescent="0.25">
      <c r="A299" s="6">
        <v>45979</v>
      </c>
      <c r="B299" s="7" t="s">
        <v>1175</v>
      </c>
      <c r="C299" s="8" t="s">
        <v>1181</v>
      </c>
      <c r="D299" s="8" t="s">
        <v>352</v>
      </c>
      <c r="E299" s="8" t="s">
        <v>1182</v>
      </c>
      <c r="F299" s="9" t="s">
        <v>1185</v>
      </c>
      <c r="G299" s="9" t="s">
        <v>1186</v>
      </c>
      <c r="H299" s="9" t="s">
        <v>977</v>
      </c>
      <c r="I299" s="9" t="s">
        <v>67</v>
      </c>
      <c r="J299" s="10" t="s">
        <v>15</v>
      </c>
      <c r="K299" s="15" t="str">
        <f>VLOOKUP(J299,DADOS!$A$3:$B$105,2,FALSE)</f>
        <v>EE-GI-001-002</v>
      </c>
      <c r="L299" s="15" t="s">
        <v>1180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1</v>
      </c>
      <c r="W299" s="11" t="s">
        <v>352</v>
      </c>
      <c r="X299" s="12" t="s">
        <v>14</v>
      </c>
      <c r="Y299" s="12" t="s">
        <v>14</v>
      </c>
      <c r="Z299" s="13" t="s">
        <v>322</v>
      </c>
    </row>
    <row r="300" spans="1:26" ht="19.899999999999999" customHeight="1" x14ac:dyDescent="0.25">
      <c r="A300" s="6">
        <v>45979</v>
      </c>
      <c r="B300" s="7" t="s">
        <v>410</v>
      </c>
      <c r="C300" s="8" t="s">
        <v>1300</v>
      </c>
      <c r="D300" s="8" t="s">
        <v>518</v>
      </c>
      <c r="E300" s="8" t="s">
        <v>1301</v>
      </c>
      <c r="F300" s="9" t="s">
        <v>1302</v>
      </c>
      <c r="G300" s="9" t="s">
        <v>1303</v>
      </c>
      <c r="H300" s="9" t="s">
        <v>1304</v>
      </c>
      <c r="I300" s="9" t="s">
        <v>65</v>
      </c>
      <c r="J300" s="10" t="s">
        <v>174</v>
      </c>
      <c r="K300" s="15" t="str">
        <f>VLOOKUP(J300,DADOS!$A$3:$B$105,2,FALSE)</f>
        <v>EE-GI-001-007</v>
      </c>
      <c r="L300" s="15" t="s">
        <v>321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1305</v>
      </c>
      <c r="X300" s="12" t="s">
        <v>518</v>
      </c>
      <c r="Y300" s="12" t="s">
        <v>1306</v>
      </c>
      <c r="Z300" s="13" t="s">
        <v>322</v>
      </c>
    </row>
    <row r="301" spans="1:26" ht="19.899999999999999" customHeight="1" x14ac:dyDescent="0.25">
      <c r="A301" s="6">
        <v>45979</v>
      </c>
      <c r="B301" s="7" t="s">
        <v>1175</v>
      </c>
      <c r="C301" s="8" t="s">
        <v>1181</v>
      </c>
      <c r="D301" s="8" t="s">
        <v>352</v>
      </c>
      <c r="E301" s="8" t="s">
        <v>1182</v>
      </c>
      <c r="F301" s="9" t="s">
        <v>1183</v>
      </c>
      <c r="G301" s="9" t="s">
        <v>1184</v>
      </c>
      <c r="H301" s="9" t="s">
        <v>977</v>
      </c>
      <c r="I301" s="9" t="s">
        <v>67</v>
      </c>
      <c r="J301" s="10" t="s">
        <v>15</v>
      </c>
      <c r="K301" s="15" t="str">
        <f>VLOOKUP(J301,DADOS!$A$3:$B$105,2,FALSE)</f>
        <v>EE-GI-001-002</v>
      </c>
      <c r="L301" s="15" t="s">
        <v>1180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1</v>
      </c>
      <c r="W301" s="11" t="s">
        <v>352</v>
      </c>
      <c r="X301" s="12" t="s">
        <v>14</v>
      </c>
      <c r="Y301" s="12" t="s">
        <v>14</v>
      </c>
      <c r="Z301" s="13" t="s">
        <v>322</v>
      </c>
    </row>
    <row r="302" spans="1:26" ht="19.899999999999999" customHeight="1" x14ac:dyDescent="0.25">
      <c r="A302" s="6">
        <v>45979</v>
      </c>
      <c r="B302" s="7" t="s">
        <v>1175</v>
      </c>
      <c r="C302" s="8" t="s">
        <v>1176</v>
      </c>
      <c r="D302" s="8" t="s">
        <v>352</v>
      </c>
      <c r="E302" s="8" t="s">
        <v>1177</v>
      </c>
      <c r="F302" s="9" t="s">
        <v>1178</v>
      </c>
      <c r="G302" s="9" t="s">
        <v>1179</v>
      </c>
      <c r="H302" s="9" t="s">
        <v>977</v>
      </c>
      <c r="I302" s="9" t="s">
        <v>67</v>
      </c>
      <c r="J302" s="10" t="s">
        <v>15</v>
      </c>
      <c r="K302" s="15" t="str">
        <f>VLOOKUP(J302,DADOS!$A$3:$B$105,2,FALSE)</f>
        <v>EE-GI-001-002</v>
      </c>
      <c r="L302" s="15" t="s">
        <v>1180</v>
      </c>
      <c r="M302" s="18" t="b">
        <v>1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0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352</v>
      </c>
      <c r="X302" s="12" t="s">
        <v>14</v>
      </c>
      <c r="Y302" s="12" t="s">
        <v>14</v>
      </c>
      <c r="Z302" s="13" t="s">
        <v>322</v>
      </c>
    </row>
    <row r="303" spans="1:26" ht="19.899999999999999" customHeight="1" x14ac:dyDescent="0.25">
      <c r="A303" s="6">
        <v>45979</v>
      </c>
      <c r="B303" s="7" t="s">
        <v>402</v>
      </c>
      <c r="C303" s="8" t="s">
        <v>1081</v>
      </c>
      <c r="D303" s="8" t="s">
        <v>1082</v>
      </c>
      <c r="E303" s="8" t="s">
        <v>1075</v>
      </c>
      <c r="F303" s="9" t="s">
        <v>1083</v>
      </c>
      <c r="G303" s="9" t="s">
        <v>1084</v>
      </c>
      <c r="H303" s="9" t="s">
        <v>1085</v>
      </c>
      <c r="I303" s="9" t="s">
        <v>65</v>
      </c>
      <c r="J303" s="10" t="s">
        <v>16</v>
      </c>
      <c r="K303" s="15" t="str">
        <f>VLOOKUP(J303,DADOS!$A$3:$B$105,2,FALSE)</f>
        <v>EE-GI-001-003</v>
      </c>
      <c r="L303" s="15" t="s">
        <v>332</v>
      </c>
      <c r="M303" s="18" t="b">
        <v>1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1</v>
      </c>
      <c r="U303" s="17" t="b">
        <v>1</v>
      </c>
      <c r="V303" s="17" t="b">
        <v>1</v>
      </c>
      <c r="W303" s="11" t="s">
        <v>1082</v>
      </c>
      <c r="X303" s="12" t="s">
        <v>14</v>
      </c>
      <c r="Y303" s="12" t="s">
        <v>14</v>
      </c>
      <c r="Z303" s="13" t="s">
        <v>280</v>
      </c>
    </row>
    <row r="304" spans="1:26" ht="19.899999999999999" customHeight="1" x14ac:dyDescent="0.25">
      <c r="A304" s="6">
        <v>45979</v>
      </c>
      <c r="B304" s="7" t="s">
        <v>402</v>
      </c>
      <c r="C304" s="8" t="s">
        <v>1086</v>
      </c>
      <c r="D304" s="8" t="s">
        <v>265</v>
      </c>
      <c r="E304" s="8" t="s">
        <v>1087</v>
      </c>
      <c r="F304" s="9" t="s">
        <v>1088</v>
      </c>
      <c r="G304" s="9" t="s">
        <v>1089</v>
      </c>
      <c r="H304" s="9" t="s">
        <v>1090</v>
      </c>
      <c r="I304" s="9" t="s">
        <v>65</v>
      </c>
      <c r="J304" s="10" t="s">
        <v>15</v>
      </c>
      <c r="K304" s="15" t="str">
        <f>VLOOKUP(J304,DADOS!$A$3:$B$105,2,FALSE)</f>
        <v>EE-GI-001-002</v>
      </c>
      <c r="L304" s="15" t="s">
        <v>332</v>
      </c>
      <c r="M304" s="18" t="b">
        <v>1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1</v>
      </c>
      <c r="U304" s="17" t="b">
        <v>1</v>
      </c>
      <c r="V304" s="17" t="b">
        <v>1</v>
      </c>
      <c r="W304" s="11" t="s">
        <v>265</v>
      </c>
      <c r="X304" s="12" t="s">
        <v>14</v>
      </c>
      <c r="Y304" s="12" t="s">
        <v>14</v>
      </c>
      <c r="Z304" s="13" t="s">
        <v>280</v>
      </c>
    </row>
    <row r="305" spans="1:26" ht="19.899999999999999" customHeight="1" x14ac:dyDescent="0.25">
      <c r="A305" s="6">
        <v>45979</v>
      </c>
      <c r="B305" s="7" t="s">
        <v>402</v>
      </c>
      <c r="C305" s="8" t="s">
        <v>1086</v>
      </c>
      <c r="D305" s="8" t="s">
        <v>352</v>
      </c>
      <c r="E305" s="8" t="s">
        <v>1087</v>
      </c>
      <c r="F305" s="9" t="s">
        <v>1091</v>
      </c>
      <c r="G305" s="9" t="s">
        <v>1089</v>
      </c>
      <c r="H305" s="9" t="s">
        <v>1090</v>
      </c>
      <c r="I305" s="9" t="s">
        <v>65</v>
      </c>
      <c r="J305" s="10" t="s">
        <v>15</v>
      </c>
      <c r="K305" s="15" t="str">
        <f>VLOOKUP(J305,DADOS!$A$3:$B$105,2,FALSE)</f>
        <v>EE-GI-001-002</v>
      </c>
      <c r="L305" s="15" t="s">
        <v>332</v>
      </c>
      <c r="M305" s="18" t="b">
        <v>1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1</v>
      </c>
      <c r="U305" s="17" t="b">
        <v>1</v>
      </c>
      <c r="V305" s="17" t="b">
        <v>1</v>
      </c>
      <c r="W305" s="11" t="s">
        <v>352</v>
      </c>
      <c r="X305" s="12" t="s">
        <v>14</v>
      </c>
      <c r="Y305" s="12" t="s">
        <v>14</v>
      </c>
      <c r="Z305" s="13" t="s">
        <v>280</v>
      </c>
    </row>
    <row r="306" spans="1:26" ht="19.899999999999999" customHeight="1" x14ac:dyDescent="0.25">
      <c r="A306" s="6">
        <v>45979</v>
      </c>
      <c r="B306" s="7" t="s">
        <v>823</v>
      </c>
      <c r="C306" s="8" t="s">
        <v>1145</v>
      </c>
      <c r="D306" s="8" t="s">
        <v>473</v>
      </c>
      <c r="E306" s="8" t="s">
        <v>1146</v>
      </c>
      <c r="F306" s="9" t="s">
        <v>1147</v>
      </c>
      <c r="G306" s="9" t="s">
        <v>1148</v>
      </c>
      <c r="H306" s="9" t="s">
        <v>1149</v>
      </c>
      <c r="I306" s="9" t="s">
        <v>66</v>
      </c>
      <c r="J306" s="10" t="s">
        <v>186</v>
      </c>
      <c r="K306" s="15" t="str">
        <f>VLOOKUP(J306,DADOS!$A$3:$B$105,2,FALSE)</f>
        <v>EE-GI-001-008</v>
      </c>
      <c r="L306" s="15" t="s">
        <v>321</v>
      </c>
      <c r="M306" s="18" t="b">
        <v>1</v>
      </c>
      <c r="N306" s="17" t="b">
        <v>1</v>
      </c>
      <c r="O306" s="17" t="b">
        <v>1</v>
      </c>
      <c r="P306" s="17" t="b">
        <v>1</v>
      </c>
      <c r="Q306" s="17"/>
      <c r="R306" s="17"/>
      <c r="S306" s="17"/>
      <c r="T306" s="17"/>
      <c r="U306" s="17"/>
      <c r="V306" s="17" t="b">
        <v>1</v>
      </c>
      <c r="W306" s="11" t="s">
        <v>473</v>
      </c>
      <c r="X306" s="12" t="s">
        <v>14</v>
      </c>
      <c r="Y306" s="12" t="s">
        <v>14</v>
      </c>
      <c r="Z306" s="13" t="s">
        <v>322</v>
      </c>
    </row>
    <row r="307" spans="1:26" ht="19.899999999999999" customHeight="1" x14ac:dyDescent="0.25">
      <c r="A307" s="6">
        <v>45979</v>
      </c>
      <c r="B307" s="7" t="s">
        <v>402</v>
      </c>
      <c r="C307" s="8" t="s">
        <v>1109</v>
      </c>
      <c r="D307" s="8" t="s">
        <v>352</v>
      </c>
      <c r="E307" s="8" t="s">
        <v>1075</v>
      </c>
      <c r="F307" s="9" t="s">
        <v>1110</v>
      </c>
      <c r="G307" s="9" t="s">
        <v>684</v>
      </c>
      <c r="H307" s="9" t="s">
        <v>1112</v>
      </c>
      <c r="I307" s="9" t="s">
        <v>65</v>
      </c>
      <c r="J307" s="10" t="s">
        <v>16</v>
      </c>
      <c r="K307" s="15" t="str">
        <f>VLOOKUP(J307,DADOS!$A$3:$B$105,2,FALSE)</f>
        <v>EE-GI-001-003</v>
      </c>
      <c r="L307" s="15" t="s">
        <v>332</v>
      </c>
      <c r="M307" s="18" t="b">
        <v>1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1</v>
      </c>
      <c r="U307" s="17" t="b">
        <v>1</v>
      </c>
      <c r="V307" s="17" t="b">
        <v>1</v>
      </c>
      <c r="W307" s="11" t="s">
        <v>352</v>
      </c>
      <c r="X307" s="12" t="s">
        <v>14</v>
      </c>
      <c r="Y307" s="12" t="s">
        <v>14</v>
      </c>
      <c r="Z307" s="13" t="s">
        <v>280</v>
      </c>
    </row>
    <row r="308" spans="1:26" ht="19.899999999999999" customHeight="1" x14ac:dyDescent="0.25">
      <c r="A308" s="6">
        <v>45979</v>
      </c>
      <c r="B308" s="7" t="s">
        <v>410</v>
      </c>
      <c r="C308" s="8" t="s">
        <v>1308</v>
      </c>
      <c r="D308" s="8" t="s">
        <v>1309</v>
      </c>
      <c r="E308" s="8" t="s">
        <v>1310</v>
      </c>
      <c r="F308" s="9" t="s">
        <v>1311</v>
      </c>
      <c r="G308" s="9" t="s">
        <v>1312</v>
      </c>
      <c r="H308" s="9" t="s">
        <v>1313</v>
      </c>
      <c r="I308" s="9" t="s">
        <v>67</v>
      </c>
      <c r="J308" s="10" t="s">
        <v>174</v>
      </c>
      <c r="K308" s="15" t="str">
        <f>VLOOKUP(J308,DADOS!$A$3:$B$105,2,FALSE)</f>
        <v>EE-GI-001-007</v>
      </c>
      <c r="L308" s="15" t="s">
        <v>321</v>
      </c>
      <c r="M308" s="18" t="b">
        <v>1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0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1309</v>
      </c>
      <c r="X308" s="12" t="s">
        <v>14</v>
      </c>
      <c r="Y308" s="12" t="s">
        <v>14</v>
      </c>
      <c r="Z308" s="13" t="s">
        <v>322</v>
      </c>
    </row>
    <row r="309" spans="1:26" ht="19.899999999999999" customHeight="1" x14ac:dyDescent="0.25">
      <c r="A309" s="6">
        <v>45979</v>
      </c>
      <c r="B309" s="7" t="s">
        <v>402</v>
      </c>
      <c r="C309" s="8" t="s">
        <v>1109</v>
      </c>
      <c r="D309" s="8" t="s">
        <v>265</v>
      </c>
      <c r="E309" s="8" t="s">
        <v>1075</v>
      </c>
      <c r="F309" s="9" t="s">
        <v>1111</v>
      </c>
      <c r="G309" s="9" t="s">
        <v>684</v>
      </c>
      <c r="H309" s="9" t="s">
        <v>1112</v>
      </c>
      <c r="I309" s="9" t="s">
        <v>65</v>
      </c>
      <c r="J309" s="10" t="s">
        <v>16</v>
      </c>
      <c r="K309" s="15" t="str">
        <f>VLOOKUP(J309,DADOS!$A$3:$B$105,2,FALSE)</f>
        <v>EE-GI-001-003</v>
      </c>
      <c r="L309" s="15" t="s">
        <v>332</v>
      </c>
      <c r="M309" s="18" t="b">
        <v>1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1</v>
      </c>
      <c r="S309" s="17" t="b">
        <v>0</v>
      </c>
      <c r="T309" s="17" t="b">
        <v>1</v>
      </c>
      <c r="U309" s="17" t="b">
        <v>1</v>
      </c>
      <c r="V309" s="17" t="b">
        <v>1</v>
      </c>
      <c r="W309" s="11" t="s">
        <v>265</v>
      </c>
      <c r="X309" s="12" t="s">
        <v>14</v>
      </c>
      <c r="Y309" s="12" t="s">
        <v>14</v>
      </c>
      <c r="Z309" s="13" t="s">
        <v>280</v>
      </c>
    </row>
    <row r="310" spans="1:26" ht="19.899999999999999" customHeight="1" x14ac:dyDescent="0.25">
      <c r="A310" s="6">
        <v>45980</v>
      </c>
      <c r="B310" s="7" t="s">
        <v>307</v>
      </c>
      <c r="C310" s="8" t="s">
        <v>1067</v>
      </c>
      <c r="D310" s="8" t="s">
        <v>290</v>
      </c>
      <c r="E310" s="8" t="s">
        <v>1139</v>
      </c>
      <c r="F310" s="9" t="s">
        <v>1069</v>
      </c>
      <c r="G310" s="9" t="s">
        <v>1141</v>
      </c>
      <c r="H310" s="9" t="s">
        <v>1143</v>
      </c>
      <c r="I310" s="9" t="s">
        <v>69</v>
      </c>
      <c r="J310" s="10" t="s">
        <v>185</v>
      </c>
      <c r="K310" s="15" t="str">
        <f>VLOOKUP(J310,DADOS!$A$3:$B$105,2,FALSE)</f>
        <v>EE-GI-001-031</v>
      </c>
      <c r="L310" s="15" t="s">
        <v>332</v>
      </c>
      <c r="M310" s="18" t="b">
        <v>1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0</v>
      </c>
      <c r="S310" s="17" t="b">
        <v>0</v>
      </c>
      <c r="T310" s="17" t="b">
        <v>0</v>
      </c>
      <c r="U310" s="17" t="b">
        <v>0</v>
      </c>
      <c r="V310" s="17" t="b">
        <v>0</v>
      </c>
      <c r="W310" s="11" t="s">
        <v>290</v>
      </c>
      <c r="X310" s="12" t="s">
        <v>14</v>
      </c>
      <c r="Y310" s="12" t="s">
        <v>14</v>
      </c>
      <c r="Z310" s="13" t="s">
        <v>280</v>
      </c>
    </row>
    <row r="311" spans="1:26" ht="19.899999999999999" customHeight="1" x14ac:dyDescent="0.25">
      <c r="A311" s="6">
        <v>45980</v>
      </c>
      <c r="B311" s="7" t="s">
        <v>307</v>
      </c>
      <c r="C311" s="8" t="s">
        <v>1067</v>
      </c>
      <c r="D311" s="8" t="s">
        <v>352</v>
      </c>
      <c r="E311" s="8" t="s">
        <v>1140</v>
      </c>
      <c r="F311" s="9" t="s">
        <v>1069</v>
      </c>
      <c r="G311" s="9" t="s">
        <v>1142</v>
      </c>
      <c r="H311" s="9" t="s">
        <v>1144</v>
      </c>
      <c r="I311" s="9" t="s">
        <v>69</v>
      </c>
      <c r="J311" s="10" t="s">
        <v>185</v>
      </c>
      <c r="K311" s="15" t="str">
        <f>VLOOKUP(J311,DADOS!$A$3:$B$105,2,FALSE)</f>
        <v>EE-GI-001-031</v>
      </c>
      <c r="L311" s="15" t="s">
        <v>332</v>
      </c>
      <c r="M311" s="18" t="b">
        <v>1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0</v>
      </c>
      <c r="S311" s="17" t="b">
        <v>0</v>
      </c>
      <c r="T311" s="17" t="b">
        <v>0</v>
      </c>
      <c r="U311" s="17" t="b">
        <v>0</v>
      </c>
      <c r="V311" s="17" t="b">
        <v>0</v>
      </c>
      <c r="W311" s="11" t="s">
        <v>352</v>
      </c>
      <c r="X311" s="12" t="s">
        <v>14</v>
      </c>
      <c r="Y311" s="12" t="s">
        <v>14</v>
      </c>
      <c r="Z311" s="13" t="s">
        <v>280</v>
      </c>
    </row>
    <row r="312" spans="1:26" ht="19.899999999999999" customHeight="1" x14ac:dyDescent="0.25">
      <c r="A312" s="6">
        <v>45980</v>
      </c>
      <c r="B312" s="7" t="s">
        <v>307</v>
      </c>
      <c r="C312" s="8" t="s">
        <v>1170</v>
      </c>
      <c r="D312" s="8" t="s">
        <v>265</v>
      </c>
      <c r="E312" s="8" t="s">
        <v>1171</v>
      </c>
      <c r="F312" s="9" t="s">
        <v>1172</v>
      </c>
      <c r="G312" s="9" t="s">
        <v>1173</v>
      </c>
      <c r="H312" s="9" t="s">
        <v>1174</v>
      </c>
      <c r="I312" s="9" t="s">
        <v>69</v>
      </c>
      <c r="J312" s="10" t="s">
        <v>185</v>
      </c>
      <c r="K312" s="15" t="str">
        <f>VLOOKUP(J312,DADOS!$A$3:$B$105,2,FALSE)</f>
        <v>EE-GI-001-031</v>
      </c>
      <c r="L312" s="15" t="s">
        <v>332</v>
      </c>
      <c r="M312" s="18" t="b">
        <v>1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0</v>
      </c>
      <c r="S312" s="17" t="b">
        <v>0</v>
      </c>
      <c r="T312" s="17" t="b">
        <v>0</v>
      </c>
      <c r="U312" s="17" t="b">
        <v>0</v>
      </c>
      <c r="V312" s="17" t="b">
        <v>0</v>
      </c>
      <c r="W312" s="11" t="s">
        <v>265</v>
      </c>
      <c r="X312" s="12" t="s">
        <v>14</v>
      </c>
      <c r="Y312" s="12" t="s">
        <v>14</v>
      </c>
      <c r="Z312" s="13" t="s">
        <v>280</v>
      </c>
    </row>
    <row r="313" spans="1:26" ht="19.899999999999999" customHeight="1" x14ac:dyDescent="0.25">
      <c r="A313" s="6">
        <v>45980</v>
      </c>
      <c r="B313" s="7" t="s">
        <v>1196</v>
      </c>
      <c r="C313" s="8" t="s">
        <v>1197</v>
      </c>
      <c r="D313" s="8" t="s">
        <v>352</v>
      </c>
      <c r="E313" s="8" t="s">
        <v>1198</v>
      </c>
      <c r="F313" s="9" t="s">
        <v>1199</v>
      </c>
      <c r="G313" s="9" t="s">
        <v>1201</v>
      </c>
      <c r="H313" s="9" t="s">
        <v>1202</v>
      </c>
      <c r="I313" s="9" t="s">
        <v>14</v>
      </c>
      <c r="J313" s="10" t="s">
        <v>14</v>
      </c>
      <c r="K313" s="15" t="e">
        <f>VLOOKUP(J313,DADOS!$A$3:$B$105,2,FALSE)</f>
        <v>#N/A</v>
      </c>
      <c r="L313" s="15" t="s">
        <v>304</v>
      </c>
      <c r="M313" s="18" t="b">
        <v>1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0</v>
      </c>
      <c r="S313" s="17" t="b">
        <v>0</v>
      </c>
      <c r="T313" s="17" t="b">
        <v>0</v>
      </c>
      <c r="U313" s="17" t="b">
        <v>0</v>
      </c>
      <c r="V313" s="17" t="b">
        <v>1</v>
      </c>
      <c r="W313" s="11" t="s">
        <v>352</v>
      </c>
      <c r="X313" s="12" t="s">
        <v>14</v>
      </c>
      <c r="Y313" s="12" t="s">
        <v>14</v>
      </c>
      <c r="Z313" s="13" t="s">
        <v>280</v>
      </c>
    </row>
    <row r="314" spans="1:26" ht="19.899999999999999" customHeight="1" x14ac:dyDescent="0.25">
      <c r="A314" s="6">
        <v>45980</v>
      </c>
      <c r="B314" s="7" t="s">
        <v>626</v>
      </c>
      <c r="C314" s="8" t="s">
        <v>1235</v>
      </c>
      <c r="D314" s="8" t="s">
        <v>1236</v>
      </c>
      <c r="E314" s="8" t="s">
        <v>1237</v>
      </c>
      <c r="F314" s="9" t="s">
        <v>1238</v>
      </c>
      <c r="G314" s="9" t="s">
        <v>1239</v>
      </c>
      <c r="H314" s="9" t="s">
        <v>1240</v>
      </c>
      <c r="I314" s="9" t="s">
        <v>66</v>
      </c>
      <c r="J314" s="10" t="s">
        <v>174</v>
      </c>
      <c r="K314" s="15" t="str">
        <f>VLOOKUP(J314,DADOS!$A$3:$B$105,2,FALSE)</f>
        <v>EE-GI-001-007</v>
      </c>
      <c r="L314" s="15" t="s">
        <v>321</v>
      </c>
      <c r="M314" s="18" t="b">
        <v>1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0</v>
      </c>
      <c r="S314" s="17" t="b">
        <v>0</v>
      </c>
      <c r="T314" s="17" t="b">
        <v>0</v>
      </c>
      <c r="U314" s="17" t="b">
        <v>0</v>
      </c>
      <c r="V314" s="17" t="b">
        <v>1</v>
      </c>
      <c r="W314" s="11" t="s">
        <v>1236</v>
      </c>
      <c r="X314" s="12" t="s">
        <v>14</v>
      </c>
      <c r="Y314" s="12" t="s">
        <v>14</v>
      </c>
      <c r="Z314" s="13" t="s">
        <v>322</v>
      </c>
    </row>
    <row r="315" spans="1:26" ht="19.899999999999999" customHeight="1" x14ac:dyDescent="0.25">
      <c r="A315" s="6">
        <v>45980</v>
      </c>
      <c r="B315" s="7" t="s">
        <v>626</v>
      </c>
      <c r="C315" s="8" t="s">
        <v>1231</v>
      </c>
      <c r="D315" s="8" t="s">
        <v>642</v>
      </c>
      <c r="E315" s="8" t="s">
        <v>1232</v>
      </c>
      <c r="F315" s="9" t="s">
        <v>1233</v>
      </c>
      <c r="G315" s="9" t="s">
        <v>640</v>
      </c>
      <c r="H315" s="9" t="s">
        <v>1234</v>
      </c>
      <c r="I315" s="9" t="s">
        <v>66</v>
      </c>
      <c r="J315" s="10" t="s">
        <v>174</v>
      </c>
      <c r="K315" s="15" t="str">
        <f>VLOOKUP(J315,DADOS!$A$3:$B$105,2,FALSE)</f>
        <v>EE-GI-001-007</v>
      </c>
      <c r="L315" s="15" t="s">
        <v>321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1</v>
      </c>
      <c r="W315" s="11" t="s">
        <v>642</v>
      </c>
      <c r="X315" s="12" t="s">
        <v>14</v>
      </c>
      <c r="Y315" s="12" t="s">
        <v>14</v>
      </c>
      <c r="Z315" s="13" t="s">
        <v>280</v>
      </c>
    </row>
    <row r="316" spans="1:26" ht="19.899999999999999" customHeight="1" x14ac:dyDescent="0.25">
      <c r="A316" s="6">
        <v>45980</v>
      </c>
      <c r="B316" s="7" t="s">
        <v>1196</v>
      </c>
      <c r="C316" s="8" t="s">
        <v>1197</v>
      </c>
      <c r="D316" s="8" t="s">
        <v>352</v>
      </c>
      <c r="E316" s="8" t="s">
        <v>1198</v>
      </c>
      <c r="F316" s="9" t="s">
        <v>1200</v>
      </c>
      <c r="G316" s="9" t="s">
        <v>1203</v>
      </c>
      <c r="H316" s="9" t="s">
        <v>1202</v>
      </c>
      <c r="I316" s="9" t="s">
        <v>14</v>
      </c>
      <c r="J316" s="10" t="s">
        <v>14</v>
      </c>
      <c r="K316" s="15" t="e">
        <f>VLOOKUP(J316,DADOS!$A$3:$B$105,2,FALSE)</f>
        <v>#N/A</v>
      </c>
      <c r="L316" s="15" t="s">
        <v>304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1</v>
      </c>
      <c r="W316" s="11" t="s">
        <v>352</v>
      </c>
      <c r="X316" s="12" t="s">
        <v>14</v>
      </c>
      <c r="Y316" s="12" t="s">
        <v>14</v>
      </c>
      <c r="Z316" s="13" t="s">
        <v>280</v>
      </c>
    </row>
    <row r="317" spans="1:26" ht="19.899999999999999" customHeight="1" x14ac:dyDescent="0.25">
      <c r="A317" s="6">
        <v>45980</v>
      </c>
      <c r="B317" s="7" t="s">
        <v>402</v>
      </c>
      <c r="C317" s="8" t="s">
        <v>1957</v>
      </c>
      <c r="D317" s="8" t="s">
        <v>265</v>
      </c>
      <c r="E317" s="8" t="s">
        <v>1958</v>
      </c>
      <c r="F317" s="9" t="s">
        <v>1959</v>
      </c>
      <c r="G317" s="9" t="s">
        <v>562</v>
      </c>
      <c r="H317" s="9" t="s">
        <v>1960</v>
      </c>
      <c r="I317" s="9" t="s">
        <v>69</v>
      </c>
      <c r="J317" s="10" t="s">
        <v>15</v>
      </c>
      <c r="K317" s="15" t="str">
        <f>VLOOKUP(J317,DADOS!$A$3:$B$105,2,FALSE)</f>
        <v>EE-GI-001-002</v>
      </c>
      <c r="L317" s="15" t="s">
        <v>941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1</v>
      </c>
      <c r="W317" s="11" t="s">
        <v>265</v>
      </c>
      <c r="X317" s="12" t="s">
        <v>14</v>
      </c>
      <c r="Y317" s="12" t="s">
        <v>14</v>
      </c>
      <c r="Z317" s="13" t="s">
        <v>271</v>
      </c>
    </row>
    <row r="318" spans="1:26" ht="19.899999999999999" customHeight="1" x14ac:dyDescent="0.25">
      <c r="A318" s="6">
        <v>45980</v>
      </c>
      <c r="B318" s="7" t="s">
        <v>402</v>
      </c>
      <c r="C318" s="8" t="s">
        <v>2010</v>
      </c>
      <c r="D318" s="8" t="s">
        <v>352</v>
      </c>
      <c r="E318" s="8" t="s">
        <v>1958</v>
      </c>
      <c r="F318" s="9" t="s">
        <v>2011</v>
      </c>
      <c r="G318" s="9" t="s">
        <v>2012</v>
      </c>
      <c r="H318" s="34"/>
      <c r="I318" s="9" t="s">
        <v>69</v>
      </c>
      <c r="J318" s="10" t="s">
        <v>190</v>
      </c>
      <c r="K318" s="15" t="str">
        <f>VLOOKUP(J318,[2]DADOS!$A$3:$B$105,2,FALSE)</f>
        <v>EE-GI-001-037</v>
      </c>
      <c r="L318" s="15" t="s">
        <v>941</v>
      </c>
      <c r="M318" s="18" t="b">
        <v>1</v>
      </c>
      <c r="N318" s="17" t="b">
        <v>1</v>
      </c>
      <c r="O318" s="17" t="b">
        <v>1</v>
      </c>
      <c r="P318" s="17" t="b">
        <v>1</v>
      </c>
      <c r="Q318" s="17" t="b">
        <v>0</v>
      </c>
      <c r="R318" s="17" t="b">
        <v>0</v>
      </c>
      <c r="S318" s="17" t="b">
        <v>0</v>
      </c>
      <c r="T318" s="17" t="b">
        <v>0</v>
      </c>
      <c r="U318" s="17" t="b">
        <v>0</v>
      </c>
      <c r="V318" s="17" t="b">
        <v>1</v>
      </c>
      <c r="W318" s="11" t="s">
        <v>352</v>
      </c>
      <c r="X318" s="12" t="s">
        <v>14</v>
      </c>
      <c r="Y318" s="12" t="s">
        <v>14</v>
      </c>
      <c r="Z318" s="13" t="s">
        <v>271</v>
      </c>
    </row>
    <row r="319" spans="1:26" ht="19.899999999999999" customHeight="1" x14ac:dyDescent="0.25">
      <c r="A319" s="6">
        <v>45980</v>
      </c>
      <c r="B319" s="7" t="s">
        <v>402</v>
      </c>
      <c r="C319" s="8" t="s">
        <v>2013</v>
      </c>
      <c r="D319" s="8" t="s">
        <v>352</v>
      </c>
      <c r="E319" s="8" t="s">
        <v>1958</v>
      </c>
      <c r="F319" s="8" t="s">
        <v>2014</v>
      </c>
      <c r="G319" s="9" t="s">
        <v>2015</v>
      </c>
      <c r="H319" s="34"/>
      <c r="I319" s="9" t="s">
        <v>69</v>
      </c>
      <c r="J319" s="10" t="s">
        <v>188</v>
      </c>
      <c r="K319" s="15" t="str">
        <f>VLOOKUP(J319,[2]DADOS!$A$3:$B$105,2,FALSE)</f>
        <v>EE-GI-001-035</v>
      </c>
      <c r="L319" s="15" t="s">
        <v>941</v>
      </c>
      <c r="M319" s="18" t="b">
        <v>1</v>
      </c>
      <c r="N319" s="17" t="b">
        <v>1</v>
      </c>
      <c r="O319" s="17" t="b">
        <v>1</v>
      </c>
      <c r="P319" s="17" t="b">
        <v>1</v>
      </c>
      <c r="Q319" s="17" t="b">
        <v>0</v>
      </c>
      <c r="R319" s="17" t="b">
        <v>0</v>
      </c>
      <c r="S319" s="17" t="b">
        <v>0</v>
      </c>
      <c r="T319" s="17" t="b">
        <v>0</v>
      </c>
      <c r="U319" s="17" t="b">
        <v>0</v>
      </c>
      <c r="V319" s="17" t="b">
        <v>1</v>
      </c>
      <c r="W319" s="11" t="s">
        <v>352</v>
      </c>
      <c r="X319" s="12" t="s">
        <v>14</v>
      </c>
      <c r="Y319" s="12" t="s">
        <v>14</v>
      </c>
      <c r="Z319" s="13" t="s">
        <v>271</v>
      </c>
    </row>
    <row r="320" spans="1:26" ht="19.899999999999999" customHeight="1" x14ac:dyDescent="0.25">
      <c r="A320" s="6">
        <v>45981</v>
      </c>
      <c r="B320" s="7" t="s">
        <v>272</v>
      </c>
      <c r="C320" s="8" t="s">
        <v>1216</v>
      </c>
      <c r="D320" s="8" t="s">
        <v>265</v>
      </c>
      <c r="E320" s="8" t="s">
        <v>1217</v>
      </c>
      <c r="F320" s="9" t="s">
        <v>1218</v>
      </c>
      <c r="G320" s="9" t="s">
        <v>1219</v>
      </c>
      <c r="H320" s="34"/>
      <c r="I320" s="9" t="s">
        <v>64</v>
      </c>
      <c r="J320" s="10" t="s">
        <v>186</v>
      </c>
      <c r="K320" s="15" t="str">
        <f>VLOOKUP(J320,DADOS!$A$3:$B$105,2,FALSE)</f>
        <v>EE-GI-001-008</v>
      </c>
      <c r="L320" s="15" t="s">
        <v>278</v>
      </c>
      <c r="M320" s="18" t="b">
        <v>1</v>
      </c>
      <c r="N320" s="17" t="b">
        <v>1</v>
      </c>
      <c r="O320" s="17" t="b">
        <v>1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0</v>
      </c>
      <c r="W320" s="11" t="s">
        <v>265</v>
      </c>
      <c r="X320" s="12" t="s">
        <v>14</v>
      </c>
      <c r="Y320" s="12" t="s">
        <v>14</v>
      </c>
      <c r="Z320" s="13" t="s">
        <v>280</v>
      </c>
    </row>
    <row r="321" spans="1:28" ht="19.899999999999999" customHeight="1" x14ac:dyDescent="0.25">
      <c r="A321" s="6">
        <v>45981</v>
      </c>
      <c r="B321" s="7" t="s">
        <v>272</v>
      </c>
      <c r="C321" s="8" t="s">
        <v>1220</v>
      </c>
      <c r="D321" s="8" t="s">
        <v>352</v>
      </c>
      <c r="E321" s="8" t="s">
        <v>1221</v>
      </c>
      <c r="F321" s="9" t="s">
        <v>1222</v>
      </c>
      <c r="G321" s="9" t="s">
        <v>1225</v>
      </c>
      <c r="H321" s="34"/>
      <c r="I321" s="9" t="s">
        <v>70</v>
      </c>
      <c r="J321" s="10" t="s">
        <v>15</v>
      </c>
      <c r="K321" s="15" t="str">
        <f>VLOOKUP(J321,DADOS!$A$3:$B$105,2,FALSE)</f>
        <v>EE-GI-001-002</v>
      </c>
      <c r="L321" s="15" t="s">
        <v>332</v>
      </c>
      <c r="M321" s="18" t="b">
        <v>1</v>
      </c>
      <c r="N321" s="17" t="b">
        <v>1</v>
      </c>
      <c r="O321" s="17" t="b">
        <v>1</v>
      </c>
      <c r="P321" s="17" t="b">
        <v>1</v>
      </c>
      <c r="Q321" s="17" t="b">
        <v>0</v>
      </c>
      <c r="R321" s="17" t="b">
        <v>1</v>
      </c>
      <c r="S321" s="17" t="b">
        <v>0</v>
      </c>
      <c r="T321" s="17" t="b">
        <v>0</v>
      </c>
      <c r="U321" s="17" t="b">
        <v>0</v>
      </c>
      <c r="V321" s="17" t="b">
        <v>0</v>
      </c>
      <c r="W321" s="11" t="s">
        <v>352</v>
      </c>
      <c r="X321" s="12" t="s">
        <v>14</v>
      </c>
      <c r="Y321" s="12" t="s">
        <v>14</v>
      </c>
      <c r="Z321" s="13" t="s">
        <v>280</v>
      </c>
    </row>
    <row r="322" spans="1:28" ht="19.899999999999999" customHeight="1" x14ac:dyDescent="0.25">
      <c r="A322" s="6">
        <v>45981</v>
      </c>
      <c r="B322" s="7" t="s">
        <v>272</v>
      </c>
      <c r="C322" s="8" t="s">
        <v>1220</v>
      </c>
      <c r="D322" s="8" t="s">
        <v>352</v>
      </c>
      <c r="E322" s="8" t="s">
        <v>1221</v>
      </c>
      <c r="F322" s="9" t="s">
        <v>1223</v>
      </c>
      <c r="G322" s="9" t="s">
        <v>1225</v>
      </c>
      <c r="H322" s="34"/>
      <c r="I322" s="9" t="s">
        <v>70</v>
      </c>
      <c r="J322" s="10" t="s">
        <v>15</v>
      </c>
      <c r="K322" s="15" t="str">
        <f>VLOOKUP(J322,DADOS!$A$3:$B$105,2,FALSE)</f>
        <v>EE-GI-001-002</v>
      </c>
      <c r="L322" s="15" t="s">
        <v>332</v>
      </c>
      <c r="M322" s="18" t="b">
        <v>1</v>
      </c>
      <c r="N322" s="17" t="b">
        <v>1</v>
      </c>
      <c r="O322" s="17" t="b">
        <v>1</v>
      </c>
      <c r="P322" s="17" t="b">
        <v>1</v>
      </c>
      <c r="Q322" s="17" t="b">
        <v>0</v>
      </c>
      <c r="R322" s="17" t="b">
        <v>1</v>
      </c>
      <c r="S322" s="17" t="b">
        <v>0</v>
      </c>
      <c r="T322" s="17" t="b">
        <v>0</v>
      </c>
      <c r="U322" s="17" t="b">
        <v>0</v>
      </c>
      <c r="V322" s="17" t="b">
        <v>0</v>
      </c>
      <c r="W322" s="11" t="s">
        <v>352</v>
      </c>
      <c r="X322" s="12" t="s">
        <v>14</v>
      </c>
      <c r="Y322" s="12" t="s">
        <v>14</v>
      </c>
      <c r="Z322" s="13" t="s">
        <v>280</v>
      </c>
    </row>
    <row r="323" spans="1:28" ht="19.899999999999999" customHeight="1" x14ac:dyDescent="0.25">
      <c r="A323" s="6">
        <v>45981</v>
      </c>
      <c r="B323" s="7" t="s">
        <v>272</v>
      </c>
      <c r="C323" s="8" t="s">
        <v>1220</v>
      </c>
      <c r="D323" s="8" t="s">
        <v>352</v>
      </c>
      <c r="E323" s="8" t="s">
        <v>1221</v>
      </c>
      <c r="F323" s="9" t="s">
        <v>1224</v>
      </c>
      <c r="G323" s="9" t="s">
        <v>1225</v>
      </c>
      <c r="H323" s="34"/>
      <c r="I323" s="9" t="s">
        <v>70</v>
      </c>
      <c r="J323" s="10" t="s">
        <v>15</v>
      </c>
      <c r="K323" s="15" t="str">
        <f>VLOOKUP(J323,DADOS!$A$3:$B$105,2,FALSE)</f>
        <v>EE-GI-001-002</v>
      </c>
      <c r="L323" s="15" t="s">
        <v>332</v>
      </c>
      <c r="M323" s="18" t="b">
        <v>1</v>
      </c>
      <c r="N323" s="17" t="b">
        <v>1</v>
      </c>
      <c r="O323" s="17" t="b">
        <v>1</v>
      </c>
      <c r="P323" s="17" t="b">
        <v>1</v>
      </c>
      <c r="Q323" s="17" t="b">
        <v>0</v>
      </c>
      <c r="R323" s="17" t="b">
        <v>1</v>
      </c>
      <c r="S323" s="17" t="b">
        <v>0</v>
      </c>
      <c r="T323" s="17" t="b">
        <v>0</v>
      </c>
      <c r="U323" s="17" t="b">
        <v>0</v>
      </c>
      <c r="V323" s="17" t="b">
        <v>0</v>
      </c>
      <c r="W323" s="11" t="s">
        <v>352</v>
      </c>
      <c r="X323" s="12" t="s">
        <v>14</v>
      </c>
      <c r="Y323" s="12" t="s">
        <v>14</v>
      </c>
      <c r="Z323" s="13" t="s">
        <v>280</v>
      </c>
      <c r="AB323" s="1">
        <v>0</v>
      </c>
    </row>
    <row r="324" spans="1:28" ht="19.899999999999999" customHeight="1" x14ac:dyDescent="0.25">
      <c r="A324" s="6">
        <v>45981</v>
      </c>
      <c r="B324" s="7" t="s">
        <v>402</v>
      </c>
      <c r="C324" s="8" t="s">
        <v>578</v>
      </c>
      <c r="D324" s="8" t="s">
        <v>473</v>
      </c>
      <c r="E324" s="8" t="s">
        <v>1204</v>
      </c>
      <c r="F324" s="9" t="s">
        <v>1009</v>
      </c>
      <c r="G324" s="9" t="s">
        <v>1205</v>
      </c>
      <c r="H324" s="37" t="s">
        <v>2057</v>
      </c>
      <c r="I324" s="9" t="s">
        <v>64</v>
      </c>
      <c r="J324" s="10" t="s">
        <v>186</v>
      </c>
      <c r="K324" s="15" t="str">
        <f>VLOOKUP(J324,DADOS!$A$3:$B$105,2,FALSE)</f>
        <v>EE-GI-001-008</v>
      </c>
      <c r="L324" s="15" t="s">
        <v>332</v>
      </c>
      <c r="M324" s="18" t="b">
        <v>1</v>
      </c>
      <c r="N324" s="17" t="b">
        <v>1</v>
      </c>
      <c r="O324" s="17" t="b">
        <v>1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473</v>
      </c>
      <c r="X324" s="12" t="s">
        <v>14</v>
      </c>
      <c r="Y324" s="12" t="s">
        <v>14</v>
      </c>
      <c r="Z324" s="13" t="s">
        <v>280</v>
      </c>
    </row>
    <row r="325" spans="1:28" ht="19.899999999999999" customHeight="1" x14ac:dyDescent="0.25">
      <c r="A325" s="6">
        <v>45981</v>
      </c>
      <c r="B325" s="7" t="s">
        <v>402</v>
      </c>
      <c r="C325" s="8" t="s">
        <v>1206</v>
      </c>
      <c r="D325" s="8" t="s">
        <v>265</v>
      </c>
      <c r="E325" s="8" t="s">
        <v>1204</v>
      </c>
      <c r="F325" s="9" t="s">
        <v>1207</v>
      </c>
      <c r="G325" s="9" t="s">
        <v>276</v>
      </c>
      <c r="H325" s="37" t="s">
        <v>2058</v>
      </c>
      <c r="I325" s="9" t="s">
        <v>64</v>
      </c>
      <c r="J325" s="10" t="s">
        <v>186</v>
      </c>
      <c r="K325" s="15" t="str">
        <f>VLOOKUP(J325,DADOS!$A$3:$B$105,2,FALSE)</f>
        <v>EE-GI-001-008</v>
      </c>
      <c r="L325" s="15" t="s">
        <v>278</v>
      </c>
      <c r="M325" s="18" t="b">
        <v>1</v>
      </c>
      <c r="N325" s="17" t="b">
        <v>1</v>
      </c>
      <c r="O325" s="17" t="b">
        <v>1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1</v>
      </c>
      <c r="U325" s="17" t="b">
        <v>1</v>
      </c>
      <c r="V325" s="17" t="b">
        <v>1</v>
      </c>
      <c r="W325" s="11" t="s">
        <v>265</v>
      </c>
      <c r="X325" s="12" t="s">
        <v>14</v>
      </c>
      <c r="Y325" s="12" t="s">
        <v>14</v>
      </c>
      <c r="Z325" s="13" t="s">
        <v>280</v>
      </c>
    </row>
    <row r="326" spans="1:28" ht="19.899999999999999" customHeight="1" x14ac:dyDescent="0.25">
      <c r="A326" s="6">
        <v>45981</v>
      </c>
      <c r="B326" s="7" t="s">
        <v>402</v>
      </c>
      <c r="C326" s="8" t="s">
        <v>1213</v>
      </c>
      <c r="D326" s="8" t="s">
        <v>473</v>
      </c>
      <c r="E326" s="8" t="s">
        <v>1204</v>
      </c>
      <c r="F326" s="9" t="s">
        <v>1214</v>
      </c>
      <c r="G326" s="9" t="s">
        <v>293</v>
      </c>
      <c r="H326" s="37" t="s">
        <v>2059</v>
      </c>
      <c r="I326" s="9" t="s">
        <v>64</v>
      </c>
      <c r="J326" s="10" t="s">
        <v>186</v>
      </c>
      <c r="K326" s="15" t="str">
        <f>VLOOKUP(J326,DADOS!$A$3:$B$105,2,FALSE)</f>
        <v>EE-GI-001-008</v>
      </c>
      <c r="L326" s="15" t="s">
        <v>278</v>
      </c>
      <c r="M326" s="18" t="b">
        <v>1</v>
      </c>
      <c r="N326" s="17" t="b">
        <v>1</v>
      </c>
      <c r="O326" s="17" t="b">
        <v>1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1</v>
      </c>
      <c r="U326" s="17" t="b">
        <v>1</v>
      </c>
      <c r="V326" s="17" t="b">
        <v>1</v>
      </c>
      <c r="W326" s="11" t="s">
        <v>473</v>
      </c>
      <c r="X326" s="12" t="s">
        <v>14</v>
      </c>
      <c r="Y326" s="12" t="s">
        <v>14</v>
      </c>
      <c r="Z326" s="13" t="s">
        <v>280</v>
      </c>
    </row>
    <row r="327" spans="1:28" ht="19.899999999999999" customHeight="1" x14ac:dyDescent="0.25">
      <c r="A327" s="6">
        <v>45981</v>
      </c>
      <c r="B327" s="7" t="s">
        <v>402</v>
      </c>
      <c r="C327" s="8" t="s">
        <v>1213</v>
      </c>
      <c r="D327" s="8" t="s">
        <v>265</v>
      </c>
      <c r="E327" s="8" t="s">
        <v>1204</v>
      </c>
      <c r="F327" s="9" t="s">
        <v>1215</v>
      </c>
      <c r="G327" s="9" t="s">
        <v>276</v>
      </c>
      <c r="H327" s="37" t="s">
        <v>2060</v>
      </c>
      <c r="I327" s="9" t="s">
        <v>64</v>
      </c>
      <c r="J327" s="10" t="s">
        <v>186</v>
      </c>
      <c r="K327" s="15" t="str">
        <f>VLOOKUP(J327,DADOS!$A$3:$B$105,2,FALSE)</f>
        <v>EE-GI-001-008</v>
      </c>
      <c r="L327" s="15" t="s">
        <v>278</v>
      </c>
      <c r="M327" s="18" t="b">
        <v>1</v>
      </c>
      <c r="N327" s="17" t="b">
        <v>1</v>
      </c>
      <c r="O327" s="17" t="b">
        <v>1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1</v>
      </c>
      <c r="U327" s="17" t="b">
        <v>1</v>
      </c>
      <c r="V327" s="17" t="b">
        <v>1</v>
      </c>
      <c r="W327" s="11" t="s">
        <v>265</v>
      </c>
      <c r="X327" s="12" t="s">
        <v>14</v>
      </c>
      <c r="Y327" s="12" t="s">
        <v>14</v>
      </c>
      <c r="Z327" s="13" t="s">
        <v>280</v>
      </c>
    </row>
    <row r="328" spans="1:28" ht="19.899999999999999" customHeight="1" x14ac:dyDescent="0.25">
      <c r="A328" s="6">
        <v>45982</v>
      </c>
      <c r="B328" s="7" t="s">
        <v>402</v>
      </c>
      <c r="C328" s="8" t="s">
        <v>1042</v>
      </c>
      <c r="D328" s="8" t="s">
        <v>352</v>
      </c>
      <c r="E328" s="8" t="s">
        <v>1453</v>
      </c>
      <c r="F328" s="9" t="s">
        <v>1043</v>
      </c>
      <c r="G328" s="9" t="s">
        <v>562</v>
      </c>
      <c r="H328" s="9" t="s">
        <v>1455</v>
      </c>
      <c r="I328" s="9" t="s">
        <v>65</v>
      </c>
      <c r="J328" s="10" t="s">
        <v>15</v>
      </c>
      <c r="K328" s="15" t="str">
        <f>VLOOKUP(J328,DADOS!$A$3:$B$105,2,FALSE)</f>
        <v>EE-GI-001-002</v>
      </c>
      <c r="L328" s="15" t="s">
        <v>321</v>
      </c>
      <c r="M328" s="18" t="b">
        <v>1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0</v>
      </c>
      <c r="S328" s="17" t="b">
        <v>0</v>
      </c>
      <c r="T328" s="17" t="b">
        <v>0</v>
      </c>
      <c r="U328" s="17" t="b">
        <v>0</v>
      </c>
      <c r="V328" s="17" t="b">
        <v>1</v>
      </c>
      <c r="W328" s="11" t="s">
        <v>352</v>
      </c>
      <c r="X328" s="12" t="s">
        <v>14</v>
      </c>
      <c r="Y328" s="12" t="s">
        <v>14</v>
      </c>
      <c r="Z328" s="13" t="s">
        <v>322</v>
      </c>
    </row>
    <row r="329" spans="1:28" ht="19.899999999999999" customHeight="1" x14ac:dyDescent="0.25">
      <c r="A329" s="6">
        <v>45982</v>
      </c>
      <c r="B329" s="7" t="s">
        <v>402</v>
      </c>
      <c r="C329" s="8" t="s">
        <v>1036</v>
      </c>
      <c r="D329" s="8" t="s">
        <v>419</v>
      </c>
      <c r="E329" s="8" t="s">
        <v>1453</v>
      </c>
      <c r="F329" s="9" t="s">
        <v>1037</v>
      </c>
      <c r="G329" s="9" t="s">
        <v>1038</v>
      </c>
      <c r="H329" s="9" t="s">
        <v>1454</v>
      </c>
      <c r="I329" s="9" t="s">
        <v>65</v>
      </c>
      <c r="J329" s="10" t="s">
        <v>16</v>
      </c>
      <c r="K329" s="15" t="str">
        <f>VLOOKUP(J329,DADOS!$A$3:$B$105,2,FALSE)</f>
        <v>EE-GI-001-003</v>
      </c>
      <c r="L329" s="15" t="s">
        <v>321</v>
      </c>
      <c r="M329" s="18" t="b">
        <v>1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0</v>
      </c>
      <c r="S329" s="17" t="b">
        <v>0</v>
      </c>
      <c r="T329" s="17" t="b">
        <v>0</v>
      </c>
      <c r="U329" s="17" t="b">
        <v>0</v>
      </c>
      <c r="V329" s="17" t="b">
        <v>1</v>
      </c>
      <c r="W329" s="11" t="s">
        <v>419</v>
      </c>
      <c r="X329" s="12" t="s">
        <v>14</v>
      </c>
      <c r="Y329" s="12" t="s">
        <v>14</v>
      </c>
      <c r="Z329" s="13" t="s">
        <v>322</v>
      </c>
    </row>
    <row r="330" spans="1:28" ht="19.899999999999999" customHeight="1" x14ac:dyDescent="0.25">
      <c r="A330" s="6">
        <v>45982</v>
      </c>
      <c r="B330" s="7" t="s">
        <v>817</v>
      </c>
      <c r="C330" s="8" t="s">
        <v>818</v>
      </c>
      <c r="D330" s="8" t="s">
        <v>352</v>
      </c>
      <c r="E330" s="8" t="s">
        <v>1241</v>
      </c>
      <c r="F330" s="9" t="s">
        <v>1242</v>
      </c>
      <c r="G330" s="9" t="s">
        <v>1243</v>
      </c>
      <c r="H330" s="9" t="s">
        <v>1244</v>
      </c>
      <c r="I330" s="9" t="s">
        <v>14</v>
      </c>
      <c r="J330" s="10" t="s">
        <v>14</v>
      </c>
      <c r="K330" s="15" t="e">
        <f>VLOOKUP(J330,DADOS!$A$3:$B$105,2,FALSE)</f>
        <v>#N/A</v>
      </c>
      <c r="L330" s="15" t="s">
        <v>304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0</v>
      </c>
      <c r="S330" s="17" t="b">
        <v>0</v>
      </c>
      <c r="T330" s="17" t="b">
        <v>0</v>
      </c>
      <c r="U330" s="17" t="b">
        <v>0</v>
      </c>
      <c r="V330" s="17" t="b">
        <v>1</v>
      </c>
      <c r="W330" s="11" t="s">
        <v>352</v>
      </c>
      <c r="X330" s="12" t="s">
        <v>14</v>
      </c>
      <c r="Y330" s="12" t="s">
        <v>14</v>
      </c>
      <c r="Z330" s="13" t="s">
        <v>280</v>
      </c>
    </row>
    <row r="331" spans="1:28" ht="19.899999999999999" customHeight="1" x14ac:dyDescent="0.25">
      <c r="A331" s="6">
        <v>45982</v>
      </c>
      <c r="B331" s="7" t="s">
        <v>817</v>
      </c>
      <c r="C331" s="8" t="s">
        <v>1245</v>
      </c>
      <c r="D331" s="8" t="s">
        <v>527</v>
      </c>
      <c r="E331" s="8" t="s">
        <v>1241</v>
      </c>
      <c r="F331" s="9" t="s">
        <v>1246</v>
      </c>
      <c r="G331" s="9" t="s">
        <v>1247</v>
      </c>
      <c r="H331" s="9" t="s">
        <v>1248</v>
      </c>
      <c r="I331" s="9" t="s">
        <v>14</v>
      </c>
      <c r="J331" s="10" t="s">
        <v>14</v>
      </c>
      <c r="K331" s="15" t="e">
        <f>VLOOKUP(J331,DADOS!$A$3:$B$105,2,FALSE)</f>
        <v>#N/A</v>
      </c>
      <c r="L331" s="15" t="s">
        <v>304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0</v>
      </c>
      <c r="S331" s="17" t="b">
        <v>0</v>
      </c>
      <c r="T331" s="17" t="b">
        <v>0</v>
      </c>
      <c r="U331" s="17" t="b">
        <v>0</v>
      </c>
      <c r="V331" s="17" t="b">
        <v>1</v>
      </c>
      <c r="W331" s="11" t="s">
        <v>290</v>
      </c>
      <c r="X331" s="12" t="s">
        <v>14</v>
      </c>
      <c r="Y331" s="12" t="s">
        <v>14</v>
      </c>
      <c r="Z331" s="13" t="s">
        <v>280</v>
      </c>
    </row>
    <row r="332" spans="1:28" ht="19.899999999999999" customHeight="1" x14ac:dyDescent="0.25">
      <c r="A332" s="6">
        <v>45982</v>
      </c>
      <c r="B332" s="7" t="s">
        <v>817</v>
      </c>
      <c r="C332" s="8" t="s">
        <v>1249</v>
      </c>
      <c r="D332" s="8" t="s">
        <v>352</v>
      </c>
      <c r="E332" s="8" t="s">
        <v>1251</v>
      </c>
      <c r="F332" s="9" t="s">
        <v>1252</v>
      </c>
      <c r="G332" s="9" t="s">
        <v>1253</v>
      </c>
      <c r="H332" s="9" t="s">
        <v>1254</v>
      </c>
      <c r="I332" s="9" t="s">
        <v>14</v>
      </c>
      <c r="J332" s="10" t="s">
        <v>14</v>
      </c>
      <c r="K332" s="15" t="e">
        <f>VLOOKUP(J332,DADOS!$A$3:$B$105,2,FALSE)</f>
        <v>#N/A</v>
      </c>
      <c r="L332" s="15" t="s">
        <v>304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0</v>
      </c>
      <c r="S332" s="17" t="b">
        <v>0</v>
      </c>
      <c r="T332" s="17" t="b">
        <v>0</v>
      </c>
      <c r="U332" s="17" t="b">
        <v>0</v>
      </c>
      <c r="V332" s="17" t="b">
        <v>1</v>
      </c>
      <c r="W332" s="11" t="s">
        <v>352</v>
      </c>
      <c r="X332" s="12" t="s">
        <v>14</v>
      </c>
      <c r="Y332" s="12" t="s">
        <v>14</v>
      </c>
      <c r="Z332" s="13" t="s">
        <v>280</v>
      </c>
    </row>
    <row r="333" spans="1:28" ht="19.899999999999999" customHeight="1" x14ac:dyDescent="0.25">
      <c r="A333" s="6">
        <v>45982</v>
      </c>
      <c r="B333" s="7" t="s">
        <v>817</v>
      </c>
      <c r="C333" s="8" t="s">
        <v>1255</v>
      </c>
      <c r="D333" s="8" t="s">
        <v>352</v>
      </c>
      <c r="E333" s="8" t="s">
        <v>1251</v>
      </c>
      <c r="F333" s="9" t="s">
        <v>1256</v>
      </c>
      <c r="G333" s="9" t="s">
        <v>1257</v>
      </c>
      <c r="H333" s="9" t="s">
        <v>1258</v>
      </c>
      <c r="I333" s="9" t="s">
        <v>14</v>
      </c>
      <c r="J333" s="10" t="s">
        <v>14</v>
      </c>
      <c r="K333" s="15" t="e">
        <f>VLOOKUP(J333,DADOS!$A$3:$B$105,2,FALSE)</f>
        <v>#N/A</v>
      </c>
      <c r="L333" s="15" t="s">
        <v>304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0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352</v>
      </c>
      <c r="X333" s="12" t="s">
        <v>14</v>
      </c>
      <c r="Y333" s="12" t="s">
        <v>14</v>
      </c>
      <c r="Z333" s="13" t="s">
        <v>280</v>
      </c>
    </row>
    <row r="334" spans="1:28" ht="19.899999999999999" customHeight="1" x14ac:dyDescent="0.25">
      <c r="A334" s="6">
        <v>45982</v>
      </c>
      <c r="B334" s="7" t="s">
        <v>817</v>
      </c>
      <c r="C334" s="8" t="s">
        <v>1259</v>
      </c>
      <c r="D334" s="8" t="s">
        <v>352</v>
      </c>
      <c r="E334" s="8" t="s">
        <v>1250</v>
      </c>
      <c r="F334" s="9" t="s">
        <v>1260</v>
      </c>
      <c r="G334" s="9" t="s">
        <v>1261</v>
      </c>
      <c r="H334" s="9" t="s">
        <v>1262</v>
      </c>
      <c r="I334" s="9" t="s">
        <v>14</v>
      </c>
      <c r="J334" s="10" t="s">
        <v>14</v>
      </c>
      <c r="K334" s="15" t="e">
        <f>VLOOKUP(J334,DADOS!$A$3:$B$105,2,FALSE)</f>
        <v>#N/A</v>
      </c>
      <c r="L334" s="15" t="s">
        <v>304</v>
      </c>
      <c r="M334" s="18" t="b">
        <v>1</v>
      </c>
      <c r="N334" s="17" t="b">
        <v>1</v>
      </c>
      <c r="O334" s="17" t="b">
        <v>1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352</v>
      </c>
      <c r="X334" s="12" t="s">
        <v>14</v>
      </c>
      <c r="Y334" s="12" t="s">
        <v>14</v>
      </c>
      <c r="Z334" s="13" t="s">
        <v>280</v>
      </c>
    </row>
    <row r="335" spans="1:28" ht="19.899999999999999" customHeight="1" x14ac:dyDescent="0.25">
      <c r="A335" s="6">
        <v>45982</v>
      </c>
      <c r="B335" s="7" t="s">
        <v>785</v>
      </c>
      <c r="C335" s="8" t="s">
        <v>1263</v>
      </c>
      <c r="D335" s="8" t="s">
        <v>309</v>
      </c>
      <c r="E335" s="8" t="s">
        <v>1264</v>
      </c>
      <c r="F335" s="9" t="s">
        <v>1265</v>
      </c>
      <c r="G335" s="9" t="s">
        <v>1267</v>
      </c>
      <c r="H335" s="9" t="s">
        <v>1266</v>
      </c>
      <c r="I335" s="9" t="s">
        <v>66</v>
      </c>
      <c r="J335" s="10" t="s">
        <v>177</v>
      </c>
      <c r="K335" s="15" t="str">
        <f>VLOOKUP(J335,DADOS!$A$3:$B$105,2,FALSE)</f>
        <v>EE-GI-001-012</v>
      </c>
      <c r="L335" s="15" t="s">
        <v>304</v>
      </c>
      <c r="M335" s="18" t="b">
        <v>1</v>
      </c>
      <c r="N335" s="17" t="b">
        <v>1</v>
      </c>
      <c r="O335" s="17" t="b">
        <v>1</v>
      </c>
      <c r="P335" s="17" t="b">
        <v>1</v>
      </c>
      <c r="Q335" s="17" t="b">
        <v>0</v>
      </c>
      <c r="R335" s="17" t="b">
        <v>1</v>
      </c>
      <c r="S335" s="17" t="b">
        <v>0</v>
      </c>
      <c r="T335" s="17" t="b">
        <v>0</v>
      </c>
      <c r="U335" s="17" t="b">
        <v>0</v>
      </c>
      <c r="V335" s="17" t="b">
        <v>0</v>
      </c>
      <c r="W335" s="11" t="s">
        <v>309</v>
      </c>
      <c r="X335" s="12" t="s">
        <v>14</v>
      </c>
      <c r="Y335" s="12" t="s">
        <v>14</v>
      </c>
      <c r="Z335" s="13" t="s">
        <v>280</v>
      </c>
    </row>
    <row r="336" spans="1:28" ht="19.899999999999999" customHeight="1" x14ac:dyDescent="0.25">
      <c r="A336" s="6">
        <v>45982</v>
      </c>
      <c r="B336" s="7" t="s">
        <v>785</v>
      </c>
      <c r="C336" s="8" t="s">
        <v>1263</v>
      </c>
      <c r="D336" s="8" t="s">
        <v>352</v>
      </c>
      <c r="E336" s="8" t="s">
        <v>1264</v>
      </c>
      <c r="F336" s="9" t="s">
        <v>1268</v>
      </c>
      <c r="G336" s="9" t="s">
        <v>1267</v>
      </c>
      <c r="H336" s="9" t="s">
        <v>1266</v>
      </c>
      <c r="I336" s="9" t="s">
        <v>66</v>
      </c>
      <c r="J336" s="10" t="s">
        <v>177</v>
      </c>
      <c r="K336" s="15" t="str">
        <f>VLOOKUP(J336,DADOS!$A$3:$B$105,2,FALSE)</f>
        <v>EE-GI-001-012</v>
      </c>
      <c r="L336" s="15" t="s">
        <v>304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1</v>
      </c>
      <c r="S336" s="17" t="b">
        <v>0</v>
      </c>
      <c r="T336" s="17" t="b">
        <v>0</v>
      </c>
      <c r="U336" s="17" t="b">
        <v>0</v>
      </c>
      <c r="V336" s="17" t="b">
        <v>0</v>
      </c>
      <c r="W336" s="11" t="s">
        <v>352</v>
      </c>
      <c r="X336" s="12" t="s">
        <v>14</v>
      </c>
      <c r="Y336" s="12" t="s">
        <v>14</v>
      </c>
      <c r="Z336" s="13" t="s">
        <v>280</v>
      </c>
    </row>
    <row r="337" spans="1:26" ht="19.899999999999999" customHeight="1" x14ac:dyDescent="0.25">
      <c r="A337" s="6">
        <v>45982</v>
      </c>
      <c r="B337" s="7" t="s">
        <v>785</v>
      </c>
      <c r="C337" s="8" t="s">
        <v>1263</v>
      </c>
      <c r="D337" s="8" t="s">
        <v>309</v>
      </c>
      <c r="E337" s="8" t="s">
        <v>1264</v>
      </c>
      <c r="F337" s="9" t="s">
        <v>1269</v>
      </c>
      <c r="G337" s="9" t="s">
        <v>1267</v>
      </c>
      <c r="H337" s="9" t="s">
        <v>1270</v>
      </c>
      <c r="I337" s="9" t="s">
        <v>66</v>
      </c>
      <c r="J337" s="10" t="s">
        <v>177</v>
      </c>
      <c r="K337" s="15" t="str">
        <f>VLOOKUP(J337,DADOS!$A$3:$B$105,2,FALSE)</f>
        <v>EE-GI-001-012</v>
      </c>
      <c r="L337" s="15" t="s">
        <v>304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1</v>
      </c>
      <c r="S337" s="17" t="b">
        <v>0</v>
      </c>
      <c r="T337" s="17" t="b">
        <v>0</v>
      </c>
      <c r="U337" s="17" t="b">
        <v>0</v>
      </c>
      <c r="V337" s="17" t="b">
        <v>0</v>
      </c>
      <c r="W337" s="11" t="s">
        <v>309</v>
      </c>
      <c r="X337" s="12" t="s">
        <v>14</v>
      </c>
      <c r="Y337" s="12" t="s">
        <v>14</v>
      </c>
      <c r="Z337" s="13" t="s">
        <v>280</v>
      </c>
    </row>
    <row r="338" spans="1:26" ht="19.899999999999999" customHeight="1" x14ac:dyDescent="0.25">
      <c r="A338" s="6">
        <v>45982</v>
      </c>
      <c r="B338" s="7" t="s">
        <v>785</v>
      </c>
      <c r="C338" s="8" t="s">
        <v>1263</v>
      </c>
      <c r="D338" s="8" t="s">
        <v>352</v>
      </c>
      <c r="E338" s="8" t="s">
        <v>1264</v>
      </c>
      <c r="F338" s="9" t="s">
        <v>1271</v>
      </c>
      <c r="G338" s="9" t="s">
        <v>1267</v>
      </c>
      <c r="H338" s="9" t="s">
        <v>1270</v>
      </c>
      <c r="I338" s="9" t="s">
        <v>66</v>
      </c>
      <c r="J338" s="10" t="s">
        <v>177</v>
      </c>
      <c r="K338" s="15" t="str">
        <f>VLOOKUP(J338,DADOS!$A$3:$B$105,2,FALSE)</f>
        <v>EE-GI-001-012</v>
      </c>
      <c r="L338" s="15" t="s">
        <v>304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1</v>
      </c>
      <c r="S338" s="17" t="b">
        <v>0</v>
      </c>
      <c r="T338" s="17" t="b">
        <v>0</v>
      </c>
      <c r="U338" s="17" t="b">
        <v>0</v>
      </c>
      <c r="V338" s="17" t="b">
        <v>0</v>
      </c>
      <c r="W338" s="11" t="s">
        <v>352</v>
      </c>
      <c r="X338" s="12" t="s">
        <v>14</v>
      </c>
      <c r="Y338" s="12" t="s">
        <v>14</v>
      </c>
      <c r="Z338" s="13" t="s">
        <v>280</v>
      </c>
    </row>
    <row r="339" spans="1:26" ht="19.899999999999999" customHeight="1" x14ac:dyDescent="0.25">
      <c r="A339" s="6">
        <v>45982</v>
      </c>
      <c r="B339" s="7" t="s">
        <v>785</v>
      </c>
      <c r="C339" s="8" t="s">
        <v>799</v>
      </c>
      <c r="D339" s="8" t="s">
        <v>352</v>
      </c>
      <c r="E339" s="8" t="s">
        <v>1264</v>
      </c>
      <c r="F339" s="9" t="s">
        <v>1272</v>
      </c>
      <c r="G339" s="9" t="s">
        <v>1277</v>
      </c>
      <c r="H339" s="9" t="s">
        <v>1278</v>
      </c>
      <c r="I339" s="9" t="s">
        <v>69</v>
      </c>
      <c r="J339" s="10" t="s">
        <v>190</v>
      </c>
      <c r="K339" s="15" t="str">
        <f>VLOOKUP(J339,DADOS!$A$3:$B$105,2,FALSE)</f>
        <v>EE-GI-001-037</v>
      </c>
      <c r="L339" s="15" t="s">
        <v>304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1</v>
      </c>
      <c r="S339" s="17" t="b">
        <v>0</v>
      </c>
      <c r="T339" s="17" t="b">
        <v>0</v>
      </c>
      <c r="U339" s="17" t="b">
        <v>0</v>
      </c>
      <c r="V339" s="17" t="b">
        <v>0</v>
      </c>
      <c r="W339" s="11" t="s">
        <v>352</v>
      </c>
      <c r="X339" s="12" t="s">
        <v>14</v>
      </c>
      <c r="Y339" s="12" t="s">
        <v>14</v>
      </c>
      <c r="Z339" s="13" t="s">
        <v>280</v>
      </c>
    </row>
    <row r="340" spans="1:26" ht="19.899999999999999" customHeight="1" x14ac:dyDescent="0.25">
      <c r="A340" s="6">
        <v>45982</v>
      </c>
      <c r="B340" s="7" t="s">
        <v>785</v>
      </c>
      <c r="C340" s="8" t="s">
        <v>799</v>
      </c>
      <c r="D340" s="8" t="s">
        <v>352</v>
      </c>
      <c r="E340" s="8" t="s">
        <v>1264</v>
      </c>
      <c r="F340" s="9" t="s">
        <v>1273</v>
      </c>
      <c r="G340" s="9" t="s">
        <v>1279</v>
      </c>
      <c r="H340" s="9" t="s">
        <v>1280</v>
      </c>
      <c r="I340" s="9" t="s">
        <v>69</v>
      </c>
      <c r="J340" s="10" t="s">
        <v>190</v>
      </c>
      <c r="K340" s="15" t="str">
        <f>VLOOKUP(J340,DADOS!$A$3:$B$105,2,FALSE)</f>
        <v>EE-GI-001-037</v>
      </c>
      <c r="L340" s="15" t="s">
        <v>304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1</v>
      </c>
      <c r="S340" s="17" t="b">
        <v>0</v>
      </c>
      <c r="T340" s="17" t="b">
        <v>0</v>
      </c>
      <c r="U340" s="17" t="b">
        <v>0</v>
      </c>
      <c r="V340" s="17" t="b">
        <v>0</v>
      </c>
      <c r="W340" s="11" t="s">
        <v>352</v>
      </c>
      <c r="X340" s="12" t="s">
        <v>14</v>
      </c>
      <c r="Y340" s="12" t="s">
        <v>14</v>
      </c>
      <c r="Z340" s="13" t="s">
        <v>280</v>
      </c>
    </row>
    <row r="341" spans="1:26" ht="19.899999999999999" customHeight="1" x14ac:dyDescent="0.25">
      <c r="A341" s="6">
        <v>45982</v>
      </c>
      <c r="B341" s="7" t="s">
        <v>785</v>
      </c>
      <c r="C341" s="8" t="s">
        <v>799</v>
      </c>
      <c r="D341" s="8" t="s">
        <v>265</v>
      </c>
      <c r="E341" s="8" t="s">
        <v>1264</v>
      </c>
      <c r="F341" s="9" t="s">
        <v>1274</v>
      </c>
      <c r="G341" s="9" t="s">
        <v>1284</v>
      </c>
      <c r="H341" s="9" t="s">
        <v>1281</v>
      </c>
      <c r="I341" s="9" t="s">
        <v>69</v>
      </c>
      <c r="J341" s="10" t="s">
        <v>190</v>
      </c>
      <c r="K341" s="15" t="str">
        <f>VLOOKUP(J341,DADOS!$A$3:$B$105,2,FALSE)</f>
        <v>EE-GI-001-037</v>
      </c>
      <c r="L341" s="15" t="s">
        <v>304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1</v>
      </c>
      <c r="S341" s="17" t="b">
        <v>0</v>
      </c>
      <c r="T341" s="17" t="b">
        <v>0</v>
      </c>
      <c r="U341" s="17" t="b">
        <v>0</v>
      </c>
      <c r="V341" s="17" t="b">
        <v>0</v>
      </c>
      <c r="W341" s="11" t="s">
        <v>265</v>
      </c>
      <c r="X341" s="12" t="s">
        <v>14</v>
      </c>
      <c r="Y341" s="12" t="s">
        <v>14</v>
      </c>
      <c r="Z341" s="13" t="s">
        <v>280</v>
      </c>
    </row>
    <row r="342" spans="1:26" ht="19.899999999999999" customHeight="1" x14ac:dyDescent="0.25">
      <c r="A342" s="6">
        <v>45982</v>
      </c>
      <c r="B342" s="7" t="s">
        <v>402</v>
      </c>
      <c r="C342" s="8" t="s">
        <v>1456</v>
      </c>
      <c r="D342" s="8" t="s">
        <v>309</v>
      </c>
      <c r="E342" s="8" t="s">
        <v>1453</v>
      </c>
      <c r="F342" s="8" t="s">
        <v>1457</v>
      </c>
      <c r="G342" s="9" t="s">
        <v>1038</v>
      </c>
      <c r="H342" s="9" t="s">
        <v>1460</v>
      </c>
      <c r="I342" s="9" t="s">
        <v>65</v>
      </c>
      <c r="J342" s="10" t="s">
        <v>16</v>
      </c>
      <c r="K342" s="15" t="str">
        <f>VLOOKUP(J342,DADOS!$A$3:$B$105,2,FALSE)</f>
        <v>EE-GI-001-003</v>
      </c>
      <c r="L342" s="15" t="s">
        <v>321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1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309</v>
      </c>
      <c r="X342" s="12" t="s">
        <v>14</v>
      </c>
      <c r="Y342" s="12" t="s">
        <v>14</v>
      </c>
      <c r="Z342" s="13" t="s">
        <v>322</v>
      </c>
    </row>
    <row r="343" spans="1:26" ht="19.899999999999999" customHeight="1" x14ac:dyDescent="0.25">
      <c r="A343" s="6">
        <v>45982</v>
      </c>
      <c r="B343" s="7" t="s">
        <v>402</v>
      </c>
      <c r="C343" s="8" t="s">
        <v>1456</v>
      </c>
      <c r="D343" s="8" t="s">
        <v>527</v>
      </c>
      <c r="E343" s="8" t="s">
        <v>1453</v>
      </c>
      <c r="F343" s="8" t="s">
        <v>1458</v>
      </c>
      <c r="G343" s="9" t="s">
        <v>1038</v>
      </c>
      <c r="H343" s="9" t="s">
        <v>1460</v>
      </c>
      <c r="I343" s="9" t="s">
        <v>65</v>
      </c>
      <c r="J343" s="10" t="s">
        <v>16</v>
      </c>
      <c r="K343" s="15" t="str">
        <f>VLOOKUP(J343,DADOS!$A$3:$B$105,2,FALSE)</f>
        <v>EE-GI-001-003</v>
      </c>
      <c r="L343" s="15" t="s">
        <v>321</v>
      </c>
      <c r="M343" s="18" t="b">
        <v>1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1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527</v>
      </c>
      <c r="X343" s="12" t="s">
        <v>14</v>
      </c>
      <c r="Y343" s="12" t="s">
        <v>14</v>
      </c>
      <c r="Z343" s="13" t="s">
        <v>322</v>
      </c>
    </row>
    <row r="344" spans="1:26" ht="19.899999999999999" customHeight="1" x14ac:dyDescent="0.25">
      <c r="A344" s="6">
        <v>45982</v>
      </c>
      <c r="B344" s="7" t="s">
        <v>307</v>
      </c>
      <c r="C344" s="8" t="s">
        <v>2035</v>
      </c>
      <c r="D344" s="8" t="s">
        <v>265</v>
      </c>
      <c r="E344" s="8" t="s">
        <v>2036</v>
      </c>
      <c r="F344" s="8" t="s">
        <v>2037</v>
      </c>
      <c r="G344" s="9" t="s">
        <v>1801</v>
      </c>
      <c r="H344" s="9" t="s">
        <v>2038</v>
      </c>
      <c r="I344" s="9" t="s">
        <v>69</v>
      </c>
      <c r="J344" s="10" t="s">
        <v>185</v>
      </c>
      <c r="K344" s="15" t="str">
        <f>VLOOKUP(J344,DADOS!$A$3:$B$105,2,FALSE)</f>
        <v>EE-GI-001-031</v>
      </c>
      <c r="L344" s="15" t="s">
        <v>321</v>
      </c>
      <c r="M344" s="18" t="b">
        <v>1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1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265</v>
      </c>
      <c r="X344" s="12" t="s">
        <v>14</v>
      </c>
      <c r="Y344" s="12" t="s">
        <v>14</v>
      </c>
      <c r="Z344" s="13" t="s">
        <v>322</v>
      </c>
    </row>
    <row r="345" spans="1:26" ht="19.899999999999999" customHeight="1" x14ac:dyDescent="0.25">
      <c r="A345" s="6">
        <v>45982</v>
      </c>
      <c r="B345" s="7" t="s">
        <v>296</v>
      </c>
      <c r="C345" s="8" t="s">
        <v>2025</v>
      </c>
      <c r="D345" s="8" t="s">
        <v>309</v>
      </c>
      <c r="E345" s="8" t="s">
        <v>2026</v>
      </c>
      <c r="F345" s="8" t="s">
        <v>2027</v>
      </c>
      <c r="G345" s="9" t="s">
        <v>2028</v>
      </c>
      <c r="H345" s="9" t="s">
        <v>2029</v>
      </c>
      <c r="I345" s="9" t="s">
        <v>65</v>
      </c>
      <c r="J345" s="10" t="s">
        <v>16</v>
      </c>
      <c r="K345" s="15" t="str">
        <f>VLOOKUP(J345,DADOS!$A$3:$B$105,2,FALSE)</f>
        <v>EE-GI-001-003</v>
      </c>
      <c r="L345" s="15" t="s">
        <v>321</v>
      </c>
      <c r="M345" s="18" t="b">
        <v>1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1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309</v>
      </c>
      <c r="X345" s="12" t="s">
        <v>14</v>
      </c>
      <c r="Y345" s="12" t="s">
        <v>14</v>
      </c>
      <c r="Z345" s="13" t="s">
        <v>322</v>
      </c>
    </row>
    <row r="346" spans="1:26" ht="19.899999999999999" customHeight="1" x14ac:dyDescent="0.25">
      <c r="A346" s="6">
        <v>45982</v>
      </c>
      <c r="B346" s="7" t="s">
        <v>410</v>
      </c>
      <c r="C346" s="8" t="s">
        <v>2030</v>
      </c>
      <c r="D346" s="8" t="s">
        <v>298</v>
      </c>
      <c r="E346" s="8" t="s">
        <v>2031</v>
      </c>
      <c r="F346" s="8" t="s">
        <v>2032</v>
      </c>
      <c r="G346" s="9" t="s">
        <v>2033</v>
      </c>
      <c r="H346" s="9" t="s">
        <v>2034</v>
      </c>
      <c r="I346" s="9" t="s">
        <v>65</v>
      </c>
      <c r="J346" s="10" t="s">
        <v>181</v>
      </c>
      <c r="K346" s="15" t="str">
        <f>VLOOKUP(J346,DADOS!$A$3:$B$105,2,FALSE)</f>
        <v>EE-GI-001-023</v>
      </c>
      <c r="L346" s="15" t="s">
        <v>321</v>
      </c>
      <c r="M346" s="18" t="b">
        <v>1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1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298</v>
      </c>
      <c r="X346" s="12" t="s">
        <v>14</v>
      </c>
      <c r="Y346" s="12" t="s">
        <v>14</v>
      </c>
      <c r="Z346" s="13" t="s">
        <v>322</v>
      </c>
    </row>
    <row r="347" spans="1:26" ht="19.899999999999999" customHeight="1" x14ac:dyDescent="0.25">
      <c r="A347" s="6">
        <v>45982</v>
      </c>
      <c r="B347" s="7" t="s">
        <v>402</v>
      </c>
      <c r="C347" s="8" t="s">
        <v>1456</v>
      </c>
      <c r="D347" s="8" t="s">
        <v>327</v>
      </c>
      <c r="E347" s="8" t="s">
        <v>1453</v>
      </c>
      <c r="F347" s="8" t="s">
        <v>1459</v>
      </c>
      <c r="G347" s="9" t="s">
        <v>1038</v>
      </c>
      <c r="H347" s="9" t="s">
        <v>1460</v>
      </c>
      <c r="I347" s="9" t="s">
        <v>65</v>
      </c>
      <c r="J347" s="10" t="s">
        <v>16</v>
      </c>
      <c r="K347" s="15" t="str">
        <f>VLOOKUP(J347,DADOS!$A$3:$B$105,2,FALSE)</f>
        <v>EE-GI-001-003</v>
      </c>
      <c r="L347" s="15" t="s">
        <v>321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1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327</v>
      </c>
      <c r="X347" s="12" t="s">
        <v>14</v>
      </c>
      <c r="Y347" s="12" t="s">
        <v>14</v>
      </c>
      <c r="Z347" s="13" t="s">
        <v>322</v>
      </c>
    </row>
    <row r="348" spans="1:26" ht="19.899999999999999" customHeight="1" x14ac:dyDescent="0.25">
      <c r="A348" s="6">
        <v>45982</v>
      </c>
      <c r="B348" s="7" t="s">
        <v>785</v>
      </c>
      <c r="C348" s="8" t="s">
        <v>799</v>
      </c>
      <c r="D348" s="8" t="s">
        <v>265</v>
      </c>
      <c r="E348" s="8" t="s">
        <v>1264</v>
      </c>
      <c r="F348" s="9" t="s">
        <v>1275</v>
      </c>
      <c r="G348" s="9" t="s">
        <v>1286</v>
      </c>
      <c r="H348" s="9" t="s">
        <v>1282</v>
      </c>
      <c r="I348" s="9" t="s">
        <v>69</v>
      </c>
      <c r="J348" s="10" t="s">
        <v>190</v>
      </c>
      <c r="K348" s="15" t="str">
        <f>VLOOKUP(J348,DADOS!$A$3:$B$105,2,FALSE)</f>
        <v>EE-GI-001-037</v>
      </c>
      <c r="L348" s="15" t="s">
        <v>304</v>
      </c>
      <c r="M348" s="18" t="b">
        <v>1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1</v>
      </c>
      <c r="S348" s="17" t="b">
        <v>0</v>
      </c>
      <c r="T348" s="17" t="b">
        <v>0</v>
      </c>
      <c r="U348" s="17" t="b">
        <v>0</v>
      </c>
      <c r="V348" s="17" t="b">
        <v>0</v>
      </c>
      <c r="W348" s="11" t="s">
        <v>265</v>
      </c>
      <c r="X348" s="12" t="s">
        <v>14</v>
      </c>
      <c r="Y348" s="12" t="s">
        <v>14</v>
      </c>
      <c r="Z348" s="13" t="s">
        <v>280</v>
      </c>
    </row>
    <row r="349" spans="1:26" ht="19.899999999999999" customHeight="1" x14ac:dyDescent="0.25">
      <c r="A349" s="6">
        <v>45982</v>
      </c>
      <c r="B349" s="7" t="s">
        <v>785</v>
      </c>
      <c r="C349" s="8" t="s">
        <v>799</v>
      </c>
      <c r="D349" s="8" t="s">
        <v>265</v>
      </c>
      <c r="E349" s="8" t="s">
        <v>1264</v>
      </c>
      <c r="F349" s="9" t="s">
        <v>1276</v>
      </c>
      <c r="G349" s="9" t="s">
        <v>1285</v>
      </c>
      <c r="H349" s="9" t="s">
        <v>1283</v>
      </c>
      <c r="I349" s="9" t="s">
        <v>69</v>
      </c>
      <c r="J349" s="10" t="s">
        <v>190</v>
      </c>
      <c r="K349" s="15" t="str">
        <f>VLOOKUP(J349,DADOS!$A$3:$B$105,2,FALSE)</f>
        <v>EE-GI-001-037</v>
      </c>
      <c r="L349" s="15" t="s">
        <v>304</v>
      </c>
      <c r="M349" s="18" t="b">
        <v>1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1</v>
      </c>
      <c r="S349" s="17" t="b">
        <v>0</v>
      </c>
      <c r="T349" s="17" t="b">
        <v>0</v>
      </c>
      <c r="U349" s="17" t="b">
        <v>0</v>
      </c>
      <c r="V349" s="17" t="b">
        <v>0</v>
      </c>
      <c r="W349" s="11" t="s">
        <v>265</v>
      </c>
      <c r="X349" s="12" t="s">
        <v>14</v>
      </c>
      <c r="Y349" s="12" t="s">
        <v>14</v>
      </c>
      <c r="Z349" s="13" t="s">
        <v>280</v>
      </c>
    </row>
    <row r="350" spans="1:26" ht="19.899999999999999" customHeight="1" x14ac:dyDescent="0.25">
      <c r="A350" s="6">
        <v>45982</v>
      </c>
      <c r="B350" s="7" t="s">
        <v>632</v>
      </c>
      <c r="C350" s="8" t="s">
        <v>1353</v>
      </c>
      <c r="D350" s="8" t="s">
        <v>1354</v>
      </c>
      <c r="E350" s="8" t="s">
        <v>1355</v>
      </c>
      <c r="F350" s="9" t="s">
        <v>1356</v>
      </c>
      <c r="G350" s="9" t="s">
        <v>1357</v>
      </c>
      <c r="H350" s="9" t="s">
        <v>1358</v>
      </c>
      <c r="I350" s="9" t="s">
        <v>68</v>
      </c>
      <c r="J350" s="10" t="s">
        <v>174</v>
      </c>
      <c r="K350" s="15" t="str">
        <f>VLOOKUP(J350,DADOS!$A$3:$B$105,2,FALSE)</f>
        <v>EE-GI-001-007</v>
      </c>
      <c r="L350" s="15" t="s">
        <v>408</v>
      </c>
      <c r="M350" s="18" t="b">
        <v>1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0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1354</v>
      </c>
      <c r="X350" s="12" t="s">
        <v>14</v>
      </c>
      <c r="Y350" s="12" t="s">
        <v>14</v>
      </c>
      <c r="Z350" s="13" t="s">
        <v>322</v>
      </c>
    </row>
    <row r="351" spans="1:26" ht="19.899999999999999" customHeight="1" x14ac:dyDescent="0.25">
      <c r="A351" s="6">
        <v>45982</v>
      </c>
      <c r="B351" s="7" t="s">
        <v>785</v>
      </c>
      <c r="C351" s="8" t="s">
        <v>1287</v>
      </c>
      <c r="D351" s="8" t="s">
        <v>352</v>
      </c>
      <c r="E351" s="8" t="s">
        <v>1264</v>
      </c>
      <c r="F351" s="9" t="s">
        <v>1288</v>
      </c>
      <c r="G351" s="9" t="s">
        <v>1291</v>
      </c>
      <c r="H351" s="9" t="s">
        <v>1289</v>
      </c>
      <c r="I351" s="9" t="s">
        <v>97</v>
      </c>
      <c r="J351" s="10" t="s">
        <v>190</v>
      </c>
      <c r="K351" s="15" t="str">
        <f>VLOOKUP(J351,DADOS!$A$3:$B$105,2,FALSE)</f>
        <v>EE-GI-001-037</v>
      </c>
      <c r="L351" s="15" t="s">
        <v>304</v>
      </c>
      <c r="M351" s="18" t="b">
        <v>1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1</v>
      </c>
      <c r="S351" s="17" t="b">
        <v>0</v>
      </c>
      <c r="T351" s="17" t="b">
        <v>0</v>
      </c>
      <c r="U351" s="17" t="b">
        <v>0</v>
      </c>
      <c r="V351" s="17" t="b">
        <v>0</v>
      </c>
      <c r="W351" s="11" t="s">
        <v>352</v>
      </c>
      <c r="X351" s="12" t="s">
        <v>14</v>
      </c>
      <c r="Y351" s="12" t="s">
        <v>14</v>
      </c>
      <c r="Z351" s="13" t="s">
        <v>280</v>
      </c>
    </row>
    <row r="352" spans="1:26" ht="19.899999999999999" customHeight="1" x14ac:dyDescent="0.25">
      <c r="A352" s="6">
        <v>45982</v>
      </c>
      <c r="B352" s="7" t="s">
        <v>785</v>
      </c>
      <c r="C352" s="8" t="s">
        <v>786</v>
      </c>
      <c r="D352" s="8" t="s">
        <v>265</v>
      </c>
      <c r="E352" s="8" t="s">
        <v>1264</v>
      </c>
      <c r="F352" s="9" t="s">
        <v>1290</v>
      </c>
      <c r="G352" s="9" t="s">
        <v>1292</v>
      </c>
      <c r="H352" s="9" t="s">
        <v>1297</v>
      </c>
      <c r="I352" s="9" t="s">
        <v>69</v>
      </c>
      <c r="J352" s="10" t="s">
        <v>190</v>
      </c>
      <c r="K352" s="15" t="str">
        <f>VLOOKUP(J352,DADOS!$A$3:$B$105,2,FALSE)</f>
        <v>EE-GI-001-037</v>
      </c>
      <c r="L352" s="15" t="s">
        <v>332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1</v>
      </c>
      <c r="S352" s="17" t="b">
        <v>0</v>
      </c>
      <c r="T352" s="17" t="b">
        <v>0</v>
      </c>
      <c r="U352" s="17" t="b">
        <v>0</v>
      </c>
      <c r="V352" s="17" t="b">
        <v>0</v>
      </c>
      <c r="W352" s="11" t="s">
        <v>14</v>
      </c>
      <c r="X352" s="12" t="s">
        <v>265</v>
      </c>
      <c r="Y352" s="12" t="s">
        <v>1307</v>
      </c>
      <c r="Z352" s="12" t="s">
        <v>280</v>
      </c>
    </row>
    <row r="353" spans="1:26" ht="19.899999999999999" customHeight="1" x14ac:dyDescent="0.25">
      <c r="A353" s="6">
        <v>45982</v>
      </c>
      <c r="B353" s="7" t="s">
        <v>785</v>
      </c>
      <c r="C353" s="8" t="s">
        <v>786</v>
      </c>
      <c r="D353" s="8" t="s">
        <v>352</v>
      </c>
      <c r="E353" s="8" t="s">
        <v>1264</v>
      </c>
      <c r="F353" s="9" t="s">
        <v>1293</v>
      </c>
      <c r="G353" s="9" t="s">
        <v>1296</v>
      </c>
      <c r="H353" s="9" t="s">
        <v>1299</v>
      </c>
      <c r="I353" s="9" t="s">
        <v>69</v>
      </c>
      <c r="J353" s="10" t="s">
        <v>190</v>
      </c>
      <c r="K353" s="15" t="str">
        <f>VLOOKUP(J353,DADOS!$A$3:$B$105,2,FALSE)</f>
        <v>EE-GI-001-037</v>
      </c>
      <c r="L353" s="15" t="s">
        <v>332</v>
      </c>
      <c r="M353" s="18" t="b">
        <v>1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1</v>
      </c>
      <c r="S353" s="17" t="b">
        <v>0</v>
      </c>
      <c r="T353" s="17" t="b">
        <v>0</v>
      </c>
      <c r="U353" s="17" t="b">
        <v>0</v>
      </c>
      <c r="V353" s="17" t="b">
        <v>0</v>
      </c>
      <c r="W353" s="11" t="s">
        <v>14</v>
      </c>
      <c r="X353" s="12" t="s">
        <v>352</v>
      </c>
      <c r="Y353" s="12" t="s">
        <v>1307</v>
      </c>
      <c r="Z353" s="12" t="s">
        <v>280</v>
      </c>
    </row>
    <row r="354" spans="1:26" ht="19.899999999999999" customHeight="1" x14ac:dyDescent="0.25">
      <c r="A354" s="6">
        <v>45982</v>
      </c>
      <c r="B354" s="7" t="s">
        <v>785</v>
      </c>
      <c r="C354" s="8" t="s">
        <v>786</v>
      </c>
      <c r="D354" s="8" t="s">
        <v>352</v>
      </c>
      <c r="E354" s="8" t="s">
        <v>1264</v>
      </c>
      <c r="F354" s="9" t="s">
        <v>1294</v>
      </c>
      <c r="G354" s="9" t="s">
        <v>1295</v>
      </c>
      <c r="H354" s="9" t="s">
        <v>1298</v>
      </c>
      <c r="I354" s="9" t="s">
        <v>69</v>
      </c>
      <c r="J354" s="10" t="s">
        <v>190</v>
      </c>
      <c r="K354" s="15" t="str">
        <f>VLOOKUP(J354,DADOS!$A$3:$B$105,2,FALSE)</f>
        <v>EE-GI-001-037</v>
      </c>
      <c r="L354" s="15" t="s">
        <v>332</v>
      </c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1</v>
      </c>
      <c r="S354" s="17" t="b">
        <v>0</v>
      </c>
      <c r="T354" s="17" t="b">
        <v>0</v>
      </c>
      <c r="U354" s="17" t="b">
        <v>0</v>
      </c>
      <c r="V354" s="17" t="b">
        <v>0</v>
      </c>
      <c r="W354" s="11" t="s">
        <v>14</v>
      </c>
      <c r="X354" s="12" t="s">
        <v>352</v>
      </c>
      <c r="Y354" s="12" t="s">
        <v>1307</v>
      </c>
      <c r="Z354" s="12" t="s">
        <v>280</v>
      </c>
    </row>
    <row r="355" spans="1:26" ht="19.899999999999999" customHeight="1" x14ac:dyDescent="0.25">
      <c r="A355" s="6">
        <v>45982</v>
      </c>
      <c r="B355" s="7" t="s">
        <v>1606</v>
      </c>
      <c r="C355" s="8" t="s">
        <v>1694</v>
      </c>
      <c r="D355" s="8" t="s">
        <v>352</v>
      </c>
      <c r="E355" s="8" t="s">
        <v>1695</v>
      </c>
      <c r="F355" s="9" t="s">
        <v>1696</v>
      </c>
      <c r="G355" s="9" t="s">
        <v>1697</v>
      </c>
      <c r="H355" s="9" t="s">
        <v>1697</v>
      </c>
      <c r="I355" s="9" t="s">
        <v>69</v>
      </c>
      <c r="J355" s="10" t="s">
        <v>24</v>
      </c>
      <c r="K355" s="15" t="str">
        <f>VLOOKUP(J355,[5]DADOS!$A$3:$B$105,2,FALSE)</f>
        <v>EE-GI-021-005</v>
      </c>
      <c r="L355" s="15" t="s">
        <v>278</v>
      </c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0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352</v>
      </c>
      <c r="X355" s="12" t="s">
        <v>14</v>
      </c>
      <c r="Y355" s="12" t="s">
        <v>14</v>
      </c>
      <c r="Z355" s="9" t="s">
        <v>280</v>
      </c>
    </row>
    <row r="356" spans="1:26" ht="19.899999999999999" customHeight="1" x14ac:dyDescent="0.25">
      <c r="A356" s="6">
        <v>45982</v>
      </c>
      <c r="B356" s="7" t="s">
        <v>1606</v>
      </c>
      <c r="C356" s="8" t="s">
        <v>1694</v>
      </c>
      <c r="D356" s="8" t="s">
        <v>352</v>
      </c>
      <c r="E356" s="8" t="s">
        <v>1695</v>
      </c>
      <c r="F356" s="9" t="s">
        <v>1698</v>
      </c>
      <c r="G356" s="9" t="s">
        <v>1697</v>
      </c>
      <c r="H356" s="9" t="s">
        <v>1697</v>
      </c>
      <c r="I356" s="9" t="s">
        <v>69</v>
      </c>
      <c r="J356" s="10" t="s">
        <v>24</v>
      </c>
      <c r="K356" s="15" t="str">
        <f>VLOOKUP(J356,[5]DADOS!$A$3:$B$105,2,FALSE)</f>
        <v>EE-GI-021-005</v>
      </c>
      <c r="L356" s="15" t="s">
        <v>278</v>
      </c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0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518</v>
      </c>
      <c r="X356" s="12" t="s">
        <v>14</v>
      </c>
      <c r="Y356" s="12" t="s">
        <v>14</v>
      </c>
      <c r="Z356" s="9" t="s">
        <v>280</v>
      </c>
    </row>
    <row r="357" spans="1:26" ht="19.899999999999999" customHeight="1" x14ac:dyDescent="0.25">
      <c r="A357" s="6">
        <v>45982</v>
      </c>
      <c r="B357" s="7" t="s">
        <v>402</v>
      </c>
      <c r="C357" s="8" t="s">
        <v>1961</v>
      </c>
      <c r="D357" s="8" t="s">
        <v>352</v>
      </c>
      <c r="E357" s="8" t="s">
        <v>1962</v>
      </c>
      <c r="F357" s="9" t="s">
        <v>1963</v>
      </c>
      <c r="G357" s="9" t="s">
        <v>577</v>
      </c>
      <c r="H357" s="9" t="s">
        <v>1964</v>
      </c>
      <c r="I357" s="9" t="s">
        <v>69</v>
      </c>
      <c r="J357" s="10" t="s">
        <v>17</v>
      </c>
      <c r="K357" s="15" t="str">
        <f>VLOOKUP(J357,DADOS!$A$3:$B$105,2,FALSE)</f>
        <v>EE-GI-001-001</v>
      </c>
      <c r="L357" s="15" t="s">
        <v>941</v>
      </c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0</v>
      </c>
      <c r="S357" s="17" t="b">
        <v>0</v>
      </c>
      <c r="T357" s="17" t="b">
        <v>1</v>
      </c>
      <c r="U357" s="17" t="b">
        <v>1</v>
      </c>
      <c r="V357" s="17" t="b">
        <v>1</v>
      </c>
      <c r="W357" s="11" t="s">
        <v>352</v>
      </c>
      <c r="X357" s="12" t="s">
        <v>14</v>
      </c>
      <c r="Y357" s="12" t="s">
        <v>14</v>
      </c>
      <c r="Z357" s="13" t="s">
        <v>271</v>
      </c>
    </row>
    <row r="358" spans="1:26" ht="19.899999999999999" customHeight="1" x14ac:dyDescent="0.25">
      <c r="A358" s="6">
        <v>45982</v>
      </c>
      <c r="B358" s="7" t="s">
        <v>402</v>
      </c>
      <c r="C358" s="8" t="s">
        <v>1965</v>
      </c>
      <c r="D358" s="8" t="s">
        <v>352</v>
      </c>
      <c r="E358" s="8" t="s">
        <v>1962</v>
      </c>
      <c r="F358" s="9" t="s">
        <v>1966</v>
      </c>
      <c r="G358" s="9" t="s">
        <v>1967</v>
      </c>
      <c r="H358" s="9" t="s">
        <v>1968</v>
      </c>
      <c r="I358" s="9" t="s">
        <v>69</v>
      </c>
      <c r="J358" s="10" t="s">
        <v>15</v>
      </c>
      <c r="K358" s="15" t="str">
        <f>VLOOKUP(J358,DADOS!$A$3:$B$105,2,FALSE)</f>
        <v>EE-GI-001-002</v>
      </c>
      <c r="L358" s="15" t="s">
        <v>941</v>
      </c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0</v>
      </c>
      <c r="S358" s="17" t="b">
        <v>0</v>
      </c>
      <c r="T358" s="17" t="b">
        <v>1</v>
      </c>
      <c r="U358" s="17" t="b">
        <v>1</v>
      </c>
      <c r="V358" s="17" t="b">
        <v>1</v>
      </c>
      <c r="W358" s="11" t="s">
        <v>426</v>
      </c>
      <c r="X358" s="12" t="s">
        <v>352</v>
      </c>
      <c r="Y358" s="12" t="s">
        <v>1969</v>
      </c>
      <c r="Z358" s="12" t="s">
        <v>271</v>
      </c>
    </row>
    <row r="359" spans="1:26" ht="19.899999999999999" customHeight="1" x14ac:dyDescent="0.25">
      <c r="A359" s="6">
        <v>45982</v>
      </c>
      <c r="B359" s="7" t="s">
        <v>402</v>
      </c>
      <c r="C359" s="8" t="s">
        <v>2016</v>
      </c>
      <c r="D359" s="8" t="s">
        <v>265</v>
      </c>
      <c r="E359" s="8" t="s">
        <v>2017</v>
      </c>
      <c r="F359" s="8" t="s">
        <v>2018</v>
      </c>
      <c r="G359" s="9" t="s">
        <v>2019</v>
      </c>
      <c r="H359" s="34"/>
      <c r="I359" s="9" t="s">
        <v>69</v>
      </c>
      <c r="J359" s="10" t="s">
        <v>185</v>
      </c>
      <c r="K359" s="15" t="str">
        <f>VLOOKUP(J359,[2]DADOS!$A$3:$B$105,2,FALSE)</f>
        <v>EE-GI-001-031</v>
      </c>
      <c r="L359" s="15" t="s">
        <v>941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265</v>
      </c>
      <c r="X359" s="12" t="s">
        <v>14</v>
      </c>
      <c r="Y359" s="12" t="s">
        <v>14</v>
      </c>
      <c r="Z359" s="13" t="s">
        <v>271</v>
      </c>
    </row>
    <row r="360" spans="1:26" ht="19.899999999999999" customHeight="1" x14ac:dyDescent="0.25">
      <c r="A360" s="6">
        <v>45982</v>
      </c>
      <c r="B360" s="7" t="s">
        <v>402</v>
      </c>
      <c r="C360" s="8" t="s">
        <v>2016</v>
      </c>
      <c r="D360" s="8" t="s">
        <v>352</v>
      </c>
      <c r="E360" s="8" t="s">
        <v>2017</v>
      </c>
      <c r="F360" s="8" t="s">
        <v>2020</v>
      </c>
      <c r="G360" s="9" t="s">
        <v>2021</v>
      </c>
      <c r="H360" s="34"/>
      <c r="I360" s="9" t="s">
        <v>69</v>
      </c>
      <c r="J360" s="10" t="s">
        <v>185</v>
      </c>
      <c r="K360" s="15" t="str">
        <f>VLOOKUP(J360,[2]DADOS!$A$3:$B$105,2,FALSE)</f>
        <v>EE-GI-001-031</v>
      </c>
      <c r="L360" s="15" t="s">
        <v>941</v>
      </c>
      <c r="M360" s="18" t="b">
        <v>1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0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352</v>
      </c>
      <c r="X360" s="12" t="s">
        <v>14</v>
      </c>
      <c r="Y360" s="12" t="s">
        <v>14</v>
      </c>
      <c r="Z360" s="13" t="s">
        <v>271</v>
      </c>
    </row>
    <row r="361" spans="1:26" ht="19.899999999999999" customHeight="1" x14ac:dyDescent="0.25">
      <c r="A361" s="6">
        <v>45982</v>
      </c>
      <c r="B361" s="7" t="s">
        <v>326</v>
      </c>
      <c r="C361" s="8" t="s">
        <v>2078</v>
      </c>
      <c r="D361" s="8" t="s">
        <v>473</v>
      </c>
      <c r="E361" s="8" t="s">
        <v>2079</v>
      </c>
      <c r="F361" s="8" t="s">
        <v>2080</v>
      </c>
      <c r="G361" s="34"/>
      <c r="H361" s="34"/>
      <c r="I361" s="9" t="s">
        <v>70</v>
      </c>
      <c r="J361" s="10" t="s">
        <v>186</v>
      </c>
      <c r="K361" s="15" t="str">
        <f>VLOOKUP(J361,[2]DADOS!$A$3:$B$105,2,FALSE)</f>
        <v>EE-GI-001-008</v>
      </c>
      <c r="L361" s="15" t="s">
        <v>278</v>
      </c>
      <c r="M361" s="18" t="b">
        <v>1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0</v>
      </c>
      <c r="S361" s="17" t="b">
        <v>0</v>
      </c>
      <c r="T361" s="17" t="b">
        <v>0</v>
      </c>
      <c r="U361" s="17" t="b">
        <v>0</v>
      </c>
      <c r="V361" s="17" t="b">
        <v>0</v>
      </c>
      <c r="W361" s="11" t="s">
        <v>473</v>
      </c>
      <c r="X361" s="12" t="s">
        <v>14</v>
      </c>
      <c r="Y361" s="12" t="s">
        <v>14</v>
      </c>
      <c r="Z361" s="13" t="s">
        <v>280</v>
      </c>
    </row>
    <row r="362" spans="1:26" ht="19.899999999999999" customHeight="1" x14ac:dyDescent="0.25">
      <c r="A362" s="6">
        <v>45983</v>
      </c>
      <c r="B362" s="7" t="s">
        <v>841</v>
      </c>
      <c r="C362" s="8" t="s">
        <v>1319</v>
      </c>
      <c r="D362" s="8" t="s">
        <v>290</v>
      </c>
      <c r="E362" s="8" t="s">
        <v>1320</v>
      </c>
      <c r="F362" s="9" t="s">
        <v>1321</v>
      </c>
      <c r="G362" s="9" t="s">
        <v>1322</v>
      </c>
      <c r="H362" s="9" t="s">
        <v>1323</v>
      </c>
      <c r="I362" s="9" t="s">
        <v>66</v>
      </c>
      <c r="J362" s="10" t="s">
        <v>226</v>
      </c>
      <c r="K362" s="15" t="str">
        <f>VLOOKUP(J362,DADOS!$A$3:$B$105,2,FALSE)</f>
        <v>EE-GI-024-012</v>
      </c>
      <c r="L362" s="15" t="s">
        <v>401</v>
      </c>
      <c r="M362" s="18" t="b">
        <v>1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0</v>
      </c>
      <c r="S362" s="17" t="b">
        <v>0</v>
      </c>
      <c r="T362" s="17" t="b">
        <v>0</v>
      </c>
      <c r="U362" s="17" t="b">
        <v>0</v>
      </c>
      <c r="V362" s="17" t="b">
        <v>0</v>
      </c>
      <c r="W362" s="11" t="s">
        <v>290</v>
      </c>
      <c r="X362" s="12" t="s">
        <v>14</v>
      </c>
      <c r="Y362" s="12" t="s">
        <v>14</v>
      </c>
      <c r="Z362" s="13" t="s">
        <v>280</v>
      </c>
    </row>
    <row r="363" spans="1:26" ht="19.899999999999999" customHeight="1" x14ac:dyDescent="0.25">
      <c r="A363" s="6">
        <v>45983</v>
      </c>
      <c r="B363" s="7" t="s">
        <v>307</v>
      </c>
      <c r="C363" s="8" t="s">
        <v>1341</v>
      </c>
      <c r="D363" s="8" t="s">
        <v>352</v>
      </c>
      <c r="E363" s="8" t="s">
        <v>1342</v>
      </c>
      <c r="F363" s="9" t="s">
        <v>1345</v>
      </c>
      <c r="G363" s="9" t="s">
        <v>1346</v>
      </c>
      <c r="H363" s="9" t="s">
        <v>1364</v>
      </c>
      <c r="I363" s="9" t="s">
        <v>97</v>
      </c>
      <c r="J363" s="10" t="s">
        <v>185</v>
      </c>
      <c r="K363" s="15" t="str">
        <f>VLOOKUP(J363,DADOS!$A$3:$B$105,2,FALSE)</f>
        <v>EE-GI-001-031</v>
      </c>
      <c r="L363" s="15" t="s">
        <v>278</v>
      </c>
      <c r="M363" s="18" t="b">
        <v>1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0</v>
      </c>
      <c r="S363" s="17" t="b">
        <v>0</v>
      </c>
      <c r="T363" s="17" t="b">
        <v>0</v>
      </c>
      <c r="U363" s="17" t="b">
        <v>0</v>
      </c>
      <c r="V363" s="17" t="b">
        <v>0</v>
      </c>
      <c r="W363" s="11" t="s">
        <v>14</v>
      </c>
      <c r="X363" s="12" t="s">
        <v>352</v>
      </c>
      <c r="Y363" s="12" t="s">
        <v>1349</v>
      </c>
      <c r="Z363" s="12" t="s">
        <v>280</v>
      </c>
    </row>
    <row r="364" spans="1:26" ht="19.899999999999999" customHeight="1" x14ac:dyDescent="0.25">
      <c r="A364" s="6">
        <v>45983</v>
      </c>
      <c r="B364" s="7" t="s">
        <v>307</v>
      </c>
      <c r="C364" s="8" t="s">
        <v>1341</v>
      </c>
      <c r="D364" s="8" t="s">
        <v>265</v>
      </c>
      <c r="E364" s="8" t="s">
        <v>1343</v>
      </c>
      <c r="F364" s="9" t="s">
        <v>1345</v>
      </c>
      <c r="G364" s="9" t="s">
        <v>1347</v>
      </c>
      <c r="H364" s="9" t="s">
        <v>1350</v>
      </c>
      <c r="I364" s="9" t="s">
        <v>97</v>
      </c>
      <c r="J364" s="10" t="s">
        <v>185</v>
      </c>
      <c r="K364" s="15" t="str">
        <f>VLOOKUP(J364,DADOS!$A$3:$B$105,2,FALSE)</f>
        <v>EE-GI-001-031</v>
      </c>
      <c r="L364" s="15" t="s">
        <v>278</v>
      </c>
      <c r="M364" s="18" t="b">
        <v>1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0</v>
      </c>
      <c r="S364" s="17" t="b">
        <v>0</v>
      </c>
      <c r="T364" s="17" t="b">
        <v>0</v>
      </c>
      <c r="U364" s="17" t="b">
        <v>0</v>
      </c>
      <c r="V364" s="17" t="b">
        <v>0</v>
      </c>
      <c r="W364" s="11" t="s">
        <v>14</v>
      </c>
      <c r="X364" s="12" t="s">
        <v>265</v>
      </c>
      <c r="Y364" s="12" t="s">
        <v>1349</v>
      </c>
      <c r="Z364" s="12" t="s">
        <v>280</v>
      </c>
    </row>
    <row r="365" spans="1:26" ht="19.899999999999999" customHeight="1" x14ac:dyDescent="0.25">
      <c r="A365" s="6">
        <v>45983</v>
      </c>
      <c r="B365" s="7" t="s">
        <v>307</v>
      </c>
      <c r="C365" s="8" t="s">
        <v>1341</v>
      </c>
      <c r="D365" s="8" t="s">
        <v>352</v>
      </c>
      <c r="E365" s="8" t="s">
        <v>1344</v>
      </c>
      <c r="F365" s="9" t="s">
        <v>1345</v>
      </c>
      <c r="G365" s="9" t="s">
        <v>1348</v>
      </c>
      <c r="H365" s="9" t="s">
        <v>1366</v>
      </c>
      <c r="I365" s="9" t="s">
        <v>97</v>
      </c>
      <c r="J365" s="10" t="s">
        <v>185</v>
      </c>
      <c r="K365" s="15" t="str">
        <f>VLOOKUP(J365,DADOS!$A$3:$B$105,2,FALSE)</f>
        <v>EE-GI-001-031</v>
      </c>
      <c r="L365" s="15" t="s">
        <v>278</v>
      </c>
      <c r="M365" s="18" t="b">
        <v>1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0</v>
      </c>
      <c r="S365" s="17" t="b">
        <v>0</v>
      </c>
      <c r="T365" s="17" t="b">
        <v>0</v>
      </c>
      <c r="U365" s="17" t="b">
        <v>0</v>
      </c>
      <c r="V365" s="17" t="b">
        <v>0</v>
      </c>
      <c r="W365" s="11" t="s">
        <v>14</v>
      </c>
      <c r="X365" s="12" t="s">
        <v>352</v>
      </c>
      <c r="Y365" s="12" t="s">
        <v>1349</v>
      </c>
      <c r="Z365" s="12" t="s">
        <v>280</v>
      </c>
    </row>
    <row r="366" spans="1:26" ht="19.899999999999999" customHeight="1" x14ac:dyDescent="0.25">
      <c r="A366" s="6">
        <v>45983</v>
      </c>
      <c r="B366" s="7" t="s">
        <v>307</v>
      </c>
      <c r="C366" s="8" t="s">
        <v>1359</v>
      </c>
      <c r="D366" s="8" t="s">
        <v>352</v>
      </c>
      <c r="E366" s="8" t="s">
        <v>1343</v>
      </c>
      <c r="F366" s="9" t="s">
        <v>1360</v>
      </c>
      <c r="G366" s="9" t="s">
        <v>1361</v>
      </c>
      <c r="H366" s="9" t="s">
        <v>1362</v>
      </c>
      <c r="I366" s="9" t="s">
        <v>97</v>
      </c>
      <c r="J366" s="10" t="s">
        <v>185</v>
      </c>
      <c r="K366" s="15" t="str">
        <f>VLOOKUP(J366,DADOS!$A$3:$B$105,2,FALSE)</f>
        <v>EE-GI-001-031</v>
      </c>
      <c r="L366" s="15" t="s">
        <v>332</v>
      </c>
      <c r="M366" s="18" t="b">
        <v>1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0</v>
      </c>
      <c r="S366" s="17" t="b">
        <v>0</v>
      </c>
      <c r="T366" s="17" t="b">
        <v>0</v>
      </c>
      <c r="U366" s="17" t="b">
        <v>0</v>
      </c>
      <c r="V366" s="17" t="b">
        <v>0</v>
      </c>
      <c r="W366" s="11" t="s">
        <v>14</v>
      </c>
      <c r="X366" s="12" t="s">
        <v>352</v>
      </c>
      <c r="Y366" s="12" t="s">
        <v>1365</v>
      </c>
      <c r="Z366" s="12" t="s">
        <v>280</v>
      </c>
    </row>
    <row r="367" spans="1:26" ht="19.899999999999999" customHeight="1" x14ac:dyDescent="0.25">
      <c r="A367" s="6">
        <v>45983</v>
      </c>
      <c r="B367" s="7" t="s">
        <v>307</v>
      </c>
      <c r="C367" s="8" t="s">
        <v>1359</v>
      </c>
      <c r="D367" s="8" t="s">
        <v>352</v>
      </c>
      <c r="E367" s="8" t="s">
        <v>1342</v>
      </c>
      <c r="F367" s="9" t="s">
        <v>1360</v>
      </c>
      <c r="G367" s="9" t="s">
        <v>1363</v>
      </c>
      <c r="H367" s="9" t="s">
        <v>1351</v>
      </c>
      <c r="I367" s="9" t="s">
        <v>97</v>
      </c>
      <c r="J367" s="10" t="s">
        <v>185</v>
      </c>
      <c r="K367" s="15" t="str">
        <f>VLOOKUP(J367,DADOS!$A$3:$B$105,2,FALSE)</f>
        <v>EE-GI-001-031</v>
      </c>
      <c r="L367" s="15" t="s">
        <v>332</v>
      </c>
      <c r="M367" s="18" t="b">
        <v>1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0</v>
      </c>
      <c r="S367" s="17" t="b">
        <v>0</v>
      </c>
      <c r="T367" s="17" t="b">
        <v>0</v>
      </c>
      <c r="U367" s="17" t="b">
        <v>0</v>
      </c>
      <c r="V367" s="17" t="b">
        <v>0</v>
      </c>
      <c r="W367" s="11" t="s">
        <v>14</v>
      </c>
      <c r="X367" s="12" t="s">
        <v>352</v>
      </c>
      <c r="Y367" s="12" t="s">
        <v>1365</v>
      </c>
      <c r="Z367" s="12" t="s">
        <v>280</v>
      </c>
    </row>
    <row r="368" spans="1:26" ht="19.899999999999999" customHeight="1" x14ac:dyDescent="0.25">
      <c r="A368" s="6">
        <v>45983</v>
      </c>
      <c r="B368" s="7" t="s">
        <v>307</v>
      </c>
      <c r="C368" s="8" t="s">
        <v>1359</v>
      </c>
      <c r="D368" s="8" t="s">
        <v>265</v>
      </c>
      <c r="E368" s="8" t="s">
        <v>1344</v>
      </c>
      <c r="F368" s="9" t="s">
        <v>1360</v>
      </c>
      <c r="G368" s="9" t="s">
        <v>1367</v>
      </c>
      <c r="H368" s="9" t="s">
        <v>1352</v>
      </c>
      <c r="I368" s="9" t="s">
        <v>97</v>
      </c>
      <c r="J368" s="10" t="s">
        <v>185</v>
      </c>
      <c r="K368" s="15" t="str">
        <f>VLOOKUP(J368,DADOS!$A$3:$B$105,2,FALSE)</f>
        <v>EE-GI-001-031</v>
      </c>
      <c r="L368" s="15" t="s">
        <v>332</v>
      </c>
      <c r="M368" s="18" t="b">
        <v>1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0</v>
      </c>
      <c r="S368" s="17" t="b">
        <v>0</v>
      </c>
      <c r="T368" s="17" t="b">
        <v>0</v>
      </c>
      <c r="U368" s="17" t="b">
        <v>0</v>
      </c>
      <c r="V368" s="17" t="b">
        <v>0</v>
      </c>
      <c r="W368" s="11" t="s">
        <v>14</v>
      </c>
      <c r="X368" s="12" t="s">
        <v>265</v>
      </c>
      <c r="Y368" s="12" t="s">
        <v>1365</v>
      </c>
      <c r="Z368" s="12" t="s">
        <v>280</v>
      </c>
    </row>
    <row r="369" spans="1:26" ht="19.899999999999999" customHeight="1" x14ac:dyDescent="0.25">
      <c r="A369" s="6">
        <v>45983</v>
      </c>
      <c r="B369" s="7" t="s">
        <v>307</v>
      </c>
      <c r="C369" s="8" t="s">
        <v>1170</v>
      </c>
      <c r="D369" s="8" t="s">
        <v>265</v>
      </c>
      <c r="E369" s="8" t="s">
        <v>1368</v>
      </c>
      <c r="F369" s="9" t="s">
        <v>1172</v>
      </c>
      <c r="G369" s="9" t="s">
        <v>1371</v>
      </c>
      <c r="H369" s="9" t="s">
        <v>1373</v>
      </c>
      <c r="I369" s="9" t="s">
        <v>69</v>
      </c>
      <c r="J369" s="10" t="s">
        <v>185</v>
      </c>
      <c r="K369" s="15" t="str">
        <f>VLOOKUP(J369,DADOS!$A$3:$B$105,2,FALSE)</f>
        <v>EE-GI-001-031</v>
      </c>
      <c r="L369" s="15" t="s">
        <v>332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0</v>
      </c>
      <c r="S369" s="17" t="b">
        <v>0</v>
      </c>
      <c r="T369" s="17" t="b">
        <v>0</v>
      </c>
      <c r="U369" s="17" t="b">
        <v>0</v>
      </c>
      <c r="V369" s="17" t="b">
        <v>0</v>
      </c>
      <c r="W369" s="11" t="s">
        <v>265</v>
      </c>
      <c r="X369" s="12" t="s">
        <v>14</v>
      </c>
      <c r="Y369" s="12" t="s">
        <v>14</v>
      </c>
      <c r="Z369" s="13" t="s">
        <v>280</v>
      </c>
    </row>
    <row r="370" spans="1:26" ht="19.899999999999999" customHeight="1" x14ac:dyDescent="0.25">
      <c r="A370" s="6">
        <v>45983</v>
      </c>
      <c r="B370" s="7" t="s">
        <v>307</v>
      </c>
      <c r="C370" s="8" t="s">
        <v>1369</v>
      </c>
      <c r="D370" s="8" t="s">
        <v>352</v>
      </c>
      <c r="E370" s="8" t="s">
        <v>1342</v>
      </c>
      <c r="F370" s="9" t="s">
        <v>1370</v>
      </c>
      <c r="G370" s="9" t="s">
        <v>1372</v>
      </c>
      <c r="H370" s="9" t="s">
        <v>1374</v>
      </c>
      <c r="I370" s="9" t="s">
        <v>69</v>
      </c>
      <c r="J370" s="10" t="s">
        <v>185</v>
      </c>
      <c r="K370" s="15" t="str">
        <f>VLOOKUP(J370,DADOS!$A$3:$B$105,2,FALSE)</f>
        <v>EE-GI-001-031</v>
      </c>
      <c r="L370" s="15" t="s">
        <v>332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0</v>
      </c>
      <c r="S370" s="17" t="b">
        <v>0</v>
      </c>
      <c r="T370" s="17" t="b">
        <v>0</v>
      </c>
      <c r="U370" s="17" t="b">
        <v>0</v>
      </c>
      <c r="V370" s="17" t="b">
        <v>0</v>
      </c>
      <c r="W370" s="11" t="s">
        <v>352</v>
      </c>
      <c r="X370" s="12" t="s">
        <v>14</v>
      </c>
      <c r="Y370" s="12" t="s">
        <v>14</v>
      </c>
      <c r="Z370" s="13" t="s">
        <v>280</v>
      </c>
    </row>
    <row r="371" spans="1:26" ht="19.899999999999999" customHeight="1" x14ac:dyDescent="0.25">
      <c r="A371" s="6">
        <v>45983</v>
      </c>
      <c r="B371" s="7" t="s">
        <v>307</v>
      </c>
      <c r="C371" s="8" t="s">
        <v>1375</v>
      </c>
      <c r="D371" s="8" t="s">
        <v>352</v>
      </c>
      <c r="E371" s="8" t="s">
        <v>1376</v>
      </c>
      <c r="F371" s="9" t="s">
        <v>1377</v>
      </c>
      <c r="G371" s="9" t="s">
        <v>1379</v>
      </c>
      <c r="H371" s="9" t="s">
        <v>1381</v>
      </c>
      <c r="I371" s="9" t="s">
        <v>68</v>
      </c>
      <c r="J371" s="10" t="s">
        <v>185</v>
      </c>
      <c r="K371" s="15" t="str">
        <f>VLOOKUP(J371,DADOS!$A$3:$B$105,2,FALSE)</f>
        <v>EE-GI-001-031</v>
      </c>
      <c r="L371" s="15" t="s">
        <v>332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0</v>
      </c>
      <c r="S371" s="17" t="b">
        <v>0</v>
      </c>
      <c r="T371" s="17" t="b">
        <v>0</v>
      </c>
      <c r="U371" s="17" t="b">
        <v>0</v>
      </c>
      <c r="V371" s="17" t="b">
        <v>0</v>
      </c>
      <c r="W371" s="11" t="s">
        <v>352</v>
      </c>
      <c r="X371" s="12" t="s">
        <v>14</v>
      </c>
      <c r="Y371" s="12" t="s">
        <v>14</v>
      </c>
      <c r="Z371" s="13" t="s">
        <v>280</v>
      </c>
    </row>
    <row r="372" spans="1:26" ht="19.899999999999999" customHeight="1" x14ac:dyDescent="0.25">
      <c r="A372" s="6">
        <v>45983</v>
      </c>
      <c r="B372" s="7" t="s">
        <v>307</v>
      </c>
      <c r="C372" s="8" t="s">
        <v>1375</v>
      </c>
      <c r="D372" s="8" t="s">
        <v>352</v>
      </c>
      <c r="E372" s="8" t="s">
        <v>1376</v>
      </c>
      <c r="F372" s="9" t="s">
        <v>1378</v>
      </c>
      <c r="G372" s="9" t="s">
        <v>1380</v>
      </c>
      <c r="H372" s="9" t="s">
        <v>1381</v>
      </c>
      <c r="I372" s="9" t="s">
        <v>68</v>
      </c>
      <c r="J372" s="10" t="s">
        <v>185</v>
      </c>
      <c r="K372" s="15" t="str">
        <f>VLOOKUP(J372,DADOS!$A$3:$B$105,2,FALSE)</f>
        <v>EE-GI-001-031</v>
      </c>
      <c r="L372" s="15" t="s">
        <v>332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0</v>
      </c>
      <c r="S372" s="17" t="b">
        <v>0</v>
      </c>
      <c r="T372" s="17" t="b">
        <v>0</v>
      </c>
      <c r="U372" s="17" t="b">
        <v>0</v>
      </c>
      <c r="V372" s="17" t="b">
        <v>0</v>
      </c>
      <c r="W372" s="11" t="s">
        <v>352</v>
      </c>
      <c r="X372" s="12" t="s">
        <v>14</v>
      </c>
      <c r="Y372" s="12" t="s">
        <v>14</v>
      </c>
      <c r="Z372" s="13" t="s">
        <v>280</v>
      </c>
    </row>
    <row r="373" spans="1:26" ht="19.899999999999999" customHeight="1" x14ac:dyDescent="0.25">
      <c r="A373" s="6">
        <v>45983</v>
      </c>
      <c r="B373" s="7" t="s">
        <v>307</v>
      </c>
      <c r="C373" s="8" t="s">
        <v>1385</v>
      </c>
      <c r="D373" s="8" t="s">
        <v>518</v>
      </c>
      <c r="E373" s="8" t="s">
        <v>1386</v>
      </c>
      <c r="F373" s="9" t="s">
        <v>1387</v>
      </c>
      <c r="G373" s="9" t="s">
        <v>1388</v>
      </c>
      <c r="H373" s="9" t="s">
        <v>1836</v>
      </c>
      <c r="I373" s="9" t="s">
        <v>66</v>
      </c>
      <c r="J373" s="10" t="s">
        <v>185</v>
      </c>
      <c r="K373" s="15" t="str">
        <f>VLOOKUP(J373,DADOS!$A$3:$B$105,2,FALSE)</f>
        <v>EE-GI-001-031</v>
      </c>
      <c r="L373" s="15" t="s">
        <v>304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0</v>
      </c>
      <c r="S373" s="17" t="b">
        <v>0</v>
      </c>
      <c r="T373" s="17" t="b">
        <v>0</v>
      </c>
      <c r="U373" s="17" t="b">
        <v>0</v>
      </c>
      <c r="V373" s="17" t="b">
        <v>0</v>
      </c>
      <c r="W373" s="11" t="s">
        <v>518</v>
      </c>
      <c r="X373" s="12" t="s">
        <v>14</v>
      </c>
      <c r="Y373" s="12" t="s">
        <v>14</v>
      </c>
      <c r="Z373" s="13" t="s">
        <v>280</v>
      </c>
    </row>
    <row r="374" spans="1:26" ht="19.899999999999999" customHeight="1" x14ac:dyDescent="0.25">
      <c r="A374" s="6">
        <v>45983</v>
      </c>
      <c r="B374" s="7" t="s">
        <v>307</v>
      </c>
      <c r="C374" s="8" t="s">
        <v>1389</v>
      </c>
      <c r="D374" s="8" t="s">
        <v>352</v>
      </c>
      <c r="E374" s="8" t="s">
        <v>1390</v>
      </c>
      <c r="F374" s="9" t="s">
        <v>1391</v>
      </c>
      <c r="G374" s="9" t="s">
        <v>1392</v>
      </c>
      <c r="H374" s="9" t="s">
        <v>1838</v>
      </c>
      <c r="I374" s="9" t="s">
        <v>66</v>
      </c>
      <c r="J374" s="10" t="s">
        <v>185</v>
      </c>
      <c r="K374" s="15" t="str">
        <f>VLOOKUP(J374,DADOS!$A$3:$B$105,2,FALSE)</f>
        <v>EE-GI-001-031</v>
      </c>
      <c r="L374" s="15" t="s">
        <v>304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0</v>
      </c>
      <c r="S374" s="17" t="b">
        <v>0</v>
      </c>
      <c r="T374" s="17" t="b">
        <v>0</v>
      </c>
      <c r="U374" s="17" t="b">
        <v>0</v>
      </c>
      <c r="V374" s="17" t="b">
        <v>0</v>
      </c>
      <c r="W374" s="11" t="s">
        <v>352</v>
      </c>
      <c r="X374" s="12" t="s">
        <v>14</v>
      </c>
      <c r="Y374" s="12" t="s">
        <v>14</v>
      </c>
      <c r="Z374" s="13" t="s">
        <v>280</v>
      </c>
    </row>
    <row r="375" spans="1:26" ht="19.899999999999999" customHeight="1" x14ac:dyDescent="0.25">
      <c r="A375" s="6">
        <v>45983</v>
      </c>
      <c r="B375" s="7" t="s">
        <v>307</v>
      </c>
      <c r="C375" s="8" t="s">
        <v>1393</v>
      </c>
      <c r="D375" s="8" t="s">
        <v>352</v>
      </c>
      <c r="E375" s="8" t="s">
        <v>1390</v>
      </c>
      <c r="F375" s="9" t="s">
        <v>1394</v>
      </c>
      <c r="G375" s="9" t="s">
        <v>1395</v>
      </c>
      <c r="H375" s="9" t="s">
        <v>1839</v>
      </c>
      <c r="I375" s="9" t="s">
        <v>66</v>
      </c>
      <c r="J375" s="10" t="s">
        <v>185</v>
      </c>
      <c r="K375" s="15" t="str">
        <f>VLOOKUP(J375,DADOS!$A$3:$B$105,2,FALSE)</f>
        <v>EE-GI-001-031</v>
      </c>
      <c r="L375" s="15" t="s">
        <v>304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0</v>
      </c>
      <c r="S375" s="17" t="b">
        <v>0</v>
      </c>
      <c r="T375" s="17" t="b">
        <v>0</v>
      </c>
      <c r="U375" s="17" t="b">
        <v>0</v>
      </c>
      <c r="V375" s="17" t="b">
        <v>0</v>
      </c>
      <c r="W375" s="11" t="s">
        <v>352</v>
      </c>
      <c r="X375" s="12" t="s">
        <v>14</v>
      </c>
      <c r="Y375" s="12" t="s">
        <v>14</v>
      </c>
      <c r="Z375" s="13" t="s">
        <v>280</v>
      </c>
    </row>
    <row r="376" spans="1:26" ht="19.899999999999999" customHeight="1" x14ac:dyDescent="0.25">
      <c r="A376" s="6">
        <v>45983</v>
      </c>
      <c r="B376" s="7" t="s">
        <v>307</v>
      </c>
      <c r="C376" s="8" t="s">
        <v>1382</v>
      </c>
      <c r="D376" s="8" t="s">
        <v>527</v>
      </c>
      <c r="E376" s="8" t="s">
        <v>1390</v>
      </c>
      <c r="F376" s="9" t="s">
        <v>1396</v>
      </c>
      <c r="G376" s="9" t="s">
        <v>1397</v>
      </c>
      <c r="H376" s="9" t="s">
        <v>1837</v>
      </c>
      <c r="I376" s="9" t="s">
        <v>66</v>
      </c>
      <c r="J376" s="10" t="s">
        <v>185</v>
      </c>
      <c r="K376" s="15" t="str">
        <f>VLOOKUP(J376,DADOS!$A$3:$B$105,2,FALSE)</f>
        <v>EE-GI-001-031</v>
      </c>
      <c r="L376" s="15" t="s">
        <v>304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527</v>
      </c>
      <c r="X376" s="12" t="s">
        <v>14</v>
      </c>
      <c r="Y376" s="12" t="s">
        <v>14</v>
      </c>
      <c r="Z376" s="13" t="s">
        <v>280</v>
      </c>
    </row>
    <row r="377" spans="1:26" ht="19.899999999999999" customHeight="1" x14ac:dyDescent="0.25">
      <c r="A377" s="6">
        <v>45983</v>
      </c>
      <c r="B377" s="7" t="s">
        <v>307</v>
      </c>
      <c r="C377" s="8" t="s">
        <v>1382</v>
      </c>
      <c r="D377" s="8" t="s">
        <v>352</v>
      </c>
      <c r="E377" s="8" t="s">
        <v>1376</v>
      </c>
      <c r="F377" s="9" t="s">
        <v>1383</v>
      </c>
      <c r="G377" s="9" t="s">
        <v>1384</v>
      </c>
      <c r="H377" s="34"/>
      <c r="I377" s="9" t="s">
        <v>66</v>
      </c>
      <c r="J377" s="10" t="s">
        <v>185</v>
      </c>
      <c r="K377" s="15" t="str">
        <f>VLOOKUP(J377,DADOS!$A$3:$B$105,2,FALSE)</f>
        <v>EE-GI-001-031</v>
      </c>
      <c r="L377" s="15" t="s">
        <v>304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352</v>
      </c>
      <c r="X377" s="12" t="s">
        <v>14</v>
      </c>
      <c r="Y377" s="12" t="s">
        <v>14</v>
      </c>
      <c r="Z377" s="13" t="s">
        <v>280</v>
      </c>
    </row>
    <row r="378" spans="1:26" ht="19.899999999999999" customHeight="1" x14ac:dyDescent="0.25">
      <c r="A378" s="6">
        <v>45985</v>
      </c>
      <c r="B378" s="7" t="s">
        <v>1940</v>
      </c>
      <c r="C378" s="8" t="s">
        <v>1941</v>
      </c>
      <c r="D378" s="8" t="s">
        <v>309</v>
      </c>
      <c r="E378" s="8" t="s">
        <v>1942</v>
      </c>
      <c r="F378" s="9" t="s">
        <v>1943</v>
      </c>
      <c r="G378" s="9" t="s">
        <v>1239</v>
      </c>
      <c r="H378" s="34"/>
      <c r="I378" s="9" t="s">
        <v>65</v>
      </c>
      <c r="J378" s="10" t="s">
        <v>174</v>
      </c>
      <c r="K378" s="15" t="str">
        <f>VLOOKUP(J378,DADOS!$A$3:$B$105,2,FALSE)</f>
        <v>EE-GI-001-007</v>
      </c>
      <c r="L378" s="15" t="s">
        <v>408</v>
      </c>
      <c r="M378" s="18" t="b">
        <v>0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1</v>
      </c>
      <c r="S378" s="17" t="b">
        <v>0</v>
      </c>
      <c r="T378" s="17" t="b">
        <v>0</v>
      </c>
      <c r="U378" s="17" t="b">
        <v>0</v>
      </c>
      <c r="V378" s="17" t="b">
        <v>1</v>
      </c>
      <c r="W378" s="11" t="s">
        <v>309</v>
      </c>
      <c r="X378" s="12" t="s">
        <v>14</v>
      </c>
      <c r="Y378" s="12" t="s">
        <v>14</v>
      </c>
      <c r="Z378" s="13" t="s">
        <v>322</v>
      </c>
    </row>
    <row r="379" spans="1:26" ht="20.45" customHeight="1" x14ac:dyDescent="0.25">
      <c r="A379" s="6">
        <v>45985</v>
      </c>
      <c r="B379" s="7" t="s">
        <v>1940</v>
      </c>
      <c r="C379" s="8" t="s">
        <v>1944</v>
      </c>
      <c r="D379" s="8" t="s">
        <v>298</v>
      </c>
      <c r="E379" s="8" t="s">
        <v>1942</v>
      </c>
      <c r="F379" s="9" t="s">
        <v>1945</v>
      </c>
      <c r="G379" s="9" t="s">
        <v>1357</v>
      </c>
      <c r="H379" s="34"/>
      <c r="I379" s="9" t="s">
        <v>68</v>
      </c>
      <c r="J379" s="10" t="s">
        <v>174</v>
      </c>
      <c r="K379" s="15" t="str">
        <f>VLOOKUP(J379,DADOS!$A$3:$B$105,2,FALSE)</f>
        <v>EE-GI-001-007</v>
      </c>
      <c r="L379" s="15" t="s">
        <v>408</v>
      </c>
      <c r="M379" s="18" t="b">
        <v>0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1</v>
      </c>
      <c r="S379" s="17" t="b">
        <v>0</v>
      </c>
      <c r="T379" s="17" t="b">
        <v>0</v>
      </c>
      <c r="U379" s="17" t="b">
        <v>0</v>
      </c>
      <c r="V379" s="17" t="b">
        <v>1</v>
      </c>
      <c r="W379" s="11" t="s">
        <v>298</v>
      </c>
      <c r="X379" s="12" t="s">
        <v>14</v>
      </c>
      <c r="Y379" s="12" t="s">
        <v>14</v>
      </c>
      <c r="Z379" s="13" t="s">
        <v>322</v>
      </c>
    </row>
    <row r="380" spans="1:26" ht="19.899999999999999" customHeight="1" x14ac:dyDescent="0.25">
      <c r="A380" s="6">
        <v>45985</v>
      </c>
      <c r="B380" s="7" t="s">
        <v>1418</v>
      </c>
      <c r="C380" s="8" t="s">
        <v>1419</v>
      </c>
      <c r="D380" s="8" t="s">
        <v>352</v>
      </c>
      <c r="E380" s="8" t="s">
        <v>1420</v>
      </c>
      <c r="F380" s="9" t="s">
        <v>1421</v>
      </c>
      <c r="G380" s="9" t="s">
        <v>1422</v>
      </c>
      <c r="H380" s="34"/>
      <c r="I380" s="9" t="s">
        <v>70</v>
      </c>
      <c r="J380" s="10" t="s">
        <v>255</v>
      </c>
      <c r="K380" s="15" t="str">
        <f>VLOOKUP(J380,DADOS!$A$3:$B$105,2,FALSE)</f>
        <v>EE-GI-001-074</v>
      </c>
      <c r="L380" s="15" t="s">
        <v>278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1</v>
      </c>
      <c r="S380" s="17" t="b">
        <v>0</v>
      </c>
      <c r="T380" s="17" t="b">
        <v>1</v>
      </c>
      <c r="U380" s="17" t="b">
        <v>1</v>
      </c>
      <c r="V380" s="17" t="b">
        <v>1</v>
      </c>
      <c r="W380" s="11" t="s">
        <v>352</v>
      </c>
      <c r="X380" s="12"/>
      <c r="Y380" s="12"/>
      <c r="Z380" s="13" t="s">
        <v>322</v>
      </c>
    </row>
    <row r="381" spans="1:26" ht="20.45" customHeight="1" x14ac:dyDescent="0.25">
      <c r="A381" s="6">
        <v>45985</v>
      </c>
      <c r="B381" s="7" t="s">
        <v>307</v>
      </c>
      <c r="C381" s="8" t="s">
        <v>1369</v>
      </c>
      <c r="D381" s="8" t="s">
        <v>352</v>
      </c>
      <c r="E381" s="8" t="s">
        <v>1637</v>
      </c>
      <c r="F381" s="9" t="s">
        <v>1370</v>
      </c>
      <c r="G381" s="9" t="s">
        <v>1372</v>
      </c>
      <c r="H381" s="9" t="s">
        <v>1840</v>
      </c>
      <c r="I381" s="9" t="s">
        <v>69</v>
      </c>
      <c r="J381" s="10" t="s">
        <v>185</v>
      </c>
      <c r="K381" s="15" t="str">
        <f>VLOOKUP(J381,DADOS!$A$3:$B$105,2,FALSE)</f>
        <v>EE-GI-001-031</v>
      </c>
      <c r="L381" s="15" t="s">
        <v>332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0</v>
      </c>
      <c r="T381" s="17" t="b">
        <v>0</v>
      </c>
      <c r="U381" s="17" t="b">
        <v>0</v>
      </c>
      <c r="V381" s="17" t="b">
        <v>0</v>
      </c>
      <c r="W381" s="11" t="s">
        <v>352</v>
      </c>
      <c r="X381" s="12" t="s">
        <v>14</v>
      </c>
      <c r="Y381" s="12" t="s">
        <v>14</v>
      </c>
      <c r="Z381" s="13" t="s">
        <v>280</v>
      </c>
    </row>
    <row r="382" spans="1:26" ht="20.45" customHeight="1" x14ac:dyDescent="0.25">
      <c r="A382" s="6">
        <v>45985</v>
      </c>
      <c r="B382" s="7" t="s">
        <v>307</v>
      </c>
      <c r="C382" s="8" t="s">
        <v>1062</v>
      </c>
      <c r="D382" s="8" t="s">
        <v>309</v>
      </c>
      <c r="E382" s="8" t="s">
        <v>1638</v>
      </c>
      <c r="F382" s="9" t="s">
        <v>1064</v>
      </c>
      <c r="G382" s="9" t="s">
        <v>1639</v>
      </c>
      <c r="H382" s="9" t="s">
        <v>1640</v>
      </c>
      <c r="I382" s="9" t="s">
        <v>69</v>
      </c>
      <c r="J382" s="10" t="s">
        <v>185</v>
      </c>
      <c r="K382" s="15" t="str">
        <f>VLOOKUP(J382,DADOS!$A$3:$B$105,2,FALSE)</f>
        <v>EE-GI-001-031</v>
      </c>
      <c r="L382" s="15" t="s">
        <v>332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0</v>
      </c>
      <c r="T382" s="17" t="b">
        <v>0</v>
      </c>
      <c r="U382" s="17" t="b">
        <v>0</v>
      </c>
      <c r="V382" s="17" t="b">
        <v>0</v>
      </c>
      <c r="W382" s="11" t="s">
        <v>309</v>
      </c>
      <c r="X382" s="12" t="s">
        <v>14</v>
      </c>
      <c r="Y382" s="12" t="s">
        <v>14</v>
      </c>
      <c r="Z382" s="13" t="s">
        <v>280</v>
      </c>
    </row>
    <row r="383" spans="1:26" ht="20.45" customHeight="1" x14ac:dyDescent="0.25">
      <c r="A383" s="6">
        <v>45985</v>
      </c>
      <c r="B383" s="7" t="s">
        <v>307</v>
      </c>
      <c r="C383" s="8" t="s">
        <v>1641</v>
      </c>
      <c r="D383" s="8" t="s">
        <v>352</v>
      </c>
      <c r="E383" s="8" t="s">
        <v>1642</v>
      </c>
      <c r="F383" s="9" t="s">
        <v>1643</v>
      </c>
      <c r="G383" s="9" t="s">
        <v>1644</v>
      </c>
      <c r="H383" s="9" t="s">
        <v>1645</v>
      </c>
      <c r="I383" s="9" t="s">
        <v>69</v>
      </c>
      <c r="J383" s="10" t="s">
        <v>185</v>
      </c>
      <c r="K383" s="15" t="str">
        <f>VLOOKUP(J383,DADOS!$A$3:$B$105,2,FALSE)</f>
        <v>EE-GI-001-031</v>
      </c>
      <c r="L383" s="15" t="s">
        <v>332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0</v>
      </c>
      <c r="S383" s="17" t="b">
        <v>0</v>
      </c>
      <c r="T383" s="17" t="b">
        <v>0</v>
      </c>
      <c r="U383" s="17" t="b">
        <v>0</v>
      </c>
      <c r="V383" s="17" t="b">
        <v>0</v>
      </c>
      <c r="W383" s="11" t="s">
        <v>352</v>
      </c>
      <c r="X383" s="12" t="s">
        <v>14</v>
      </c>
      <c r="Y383" s="12" t="s">
        <v>14</v>
      </c>
      <c r="Z383" s="13" t="s">
        <v>280</v>
      </c>
    </row>
    <row r="384" spans="1:26" ht="20.45" customHeight="1" x14ac:dyDescent="0.25">
      <c r="A384" s="6">
        <v>45985</v>
      </c>
      <c r="B384" s="7" t="s">
        <v>307</v>
      </c>
      <c r="C384" s="8" t="s">
        <v>1803</v>
      </c>
      <c r="D384" s="8" t="s">
        <v>290</v>
      </c>
      <c r="E384" s="8" t="s">
        <v>1804</v>
      </c>
      <c r="F384" s="9" t="s">
        <v>1805</v>
      </c>
      <c r="G384" s="9" t="s">
        <v>1801</v>
      </c>
      <c r="H384" s="9" t="s">
        <v>1806</v>
      </c>
      <c r="I384" s="9" t="s">
        <v>69</v>
      </c>
      <c r="J384" s="10" t="s">
        <v>185</v>
      </c>
      <c r="K384" s="15" t="str">
        <f>VLOOKUP(J384,DADOS!$A$3:$B$105,2,FALSE)</f>
        <v>EE-GI-001-031</v>
      </c>
      <c r="L384" s="15" t="s">
        <v>408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0</v>
      </c>
      <c r="S384" s="17" t="b">
        <v>0</v>
      </c>
      <c r="T384" s="17" t="b">
        <v>0</v>
      </c>
      <c r="U384" s="17" t="b">
        <v>1</v>
      </c>
      <c r="V384" s="17" t="b">
        <v>1</v>
      </c>
      <c r="W384" s="11" t="s">
        <v>290</v>
      </c>
      <c r="X384" s="12"/>
      <c r="Y384" s="12"/>
      <c r="Z384" s="13" t="s">
        <v>322</v>
      </c>
    </row>
    <row r="385" spans="1:26" ht="20.45" customHeight="1" x14ac:dyDescent="0.25">
      <c r="A385" s="6">
        <v>45985</v>
      </c>
      <c r="B385" s="7" t="s">
        <v>307</v>
      </c>
      <c r="C385" s="8" t="s">
        <v>1798</v>
      </c>
      <c r="D385" s="8" t="s">
        <v>309</v>
      </c>
      <c r="E385" s="8" t="s">
        <v>1799</v>
      </c>
      <c r="F385" s="9" t="s">
        <v>1800</v>
      </c>
      <c r="G385" s="9" t="s">
        <v>1801</v>
      </c>
      <c r="H385" s="9" t="s">
        <v>1802</v>
      </c>
      <c r="I385" s="9" t="s">
        <v>69</v>
      </c>
      <c r="J385" s="10" t="s">
        <v>185</v>
      </c>
      <c r="K385" s="15" t="str">
        <f>VLOOKUP(J385,DADOS!$A$3:$B$105,2,FALSE)</f>
        <v>EE-GI-001-031</v>
      </c>
      <c r="L385" s="15" t="s">
        <v>408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0</v>
      </c>
      <c r="S385" s="17" t="b">
        <v>0</v>
      </c>
      <c r="T385" s="17" t="b">
        <v>0</v>
      </c>
      <c r="U385" s="17" t="b">
        <v>0</v>
      </c>
      <c r="V385" s="17" t="b">
        <v>0</v>
      </c>
      <c r="W385" s="11" t="s">
        <v>309</v>
      </c>
      <c r="X385" s="12"/>
      <c r="Y385" s="12"/>
      <c r="Z385" s="13" t="s">
        <v>322</v>
      </c>
    </row>
    <row r="386" spans="1:26" ht="20.45" customHeight="1" x14ac:dyDescent="0.25">
      <c r="A386" s="6">
        <v>45985</v>
      </c>
      <c r="B386" s="7" t="s">
        <v>841</v>
      </c>
      <c r="C386" s="8" t="s">
        <v>873</v>
      </c>
      <c r="D386" s="8" t="s">
        <v>265</v>
      </c>
      <c r="E386" s="8" t="s">
        <v>1398</v>
      </c>
      <c r="F386" s="9" t="s">
        <v>1399</v>
      </c>
      <c r="G386" s="9" t="s">
        <v>871</v>
      </c>
      <c r="H386" s="9" t="s">
        <v>1400</v>
      </c>
      <c r="I386" s="9" t="s">
        <v>70</v>
      </c>
      <c r="J386" s="10" t="s">
        <v>19</v>
      </c>
      <c r="K386" s="15" t="str">
        <f>VLOOKUP(J386,DADOS!$A$3:$B$105,2,FALSE)</f>
        <v>EE-GI-221-033</v>
      </c>
      <c r="L386" s="15" t="s">
        <v>401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1</v>
      </c>
      <c r="R386" s="17" t="b">
        <v>0</v>
      </c>
      <c r="S386" s="17" t="b">
        <v>0</v>
      </c>
      <c r="T386" s="17" t="b">
        <v>0</v>
      </c>
      <c r="U386" s="17" t="b">
        <v>0</v>
      </c>
      <c r="V386" s="17" t="b">
        <v>0</v>
      </c>
      <c r="W386" s="11" t="s">
        <v>352</v>
      </c>
      <c r="X386" s="12" t="s">
        <v>352</v>
      </c>
      <c r="Y386" s="12" t="s">
        <v>1401</v>
      </c>
      <c r="Z386" s="12" t="s">
        <v>280</v>
      </c>
    </row>
    <row r="387" spans="1:26" ht="20.45" customHeight="1" x14ac:dyDescent="0.25">
      <c r="A387" s="6">
        <v>45985</v>
      </c>
      <c r="B387" s="7" t="s">
        <v>841</v>
      </c>
      <c r="C387" s="8" t="s">
        <v>873</v>
      </c>
      <c r="D387" s="8" t="s">
        <v>265</v>
      </c>
      <c r="E387" s="8" t="s">
        <v>1398</v>
      </c>
      <c r="F387" s="9" t="s">
        <v>1402</v>
      </c>
      <c r="G387" s="9" t="s">
        <v>871</v>
      </c>
      <c r="H387" s="9" t="s">
        <v>1400</v>
      </c>
      <c r="I387" s="9" t="s">
        <v>70</v>
      </c>
      <c r="J387" s="10" t="s">
        <v>19</v>
      </c>
      <c r="K387" s="15" t="str">
        <f>VLOOKUP(J387,DADOS!$A$3:$B$105,2,FALSE)</f>
        <v>EE-GI-221-033</v>
      </c>
      <c r="L387" s="15" t="s">
        <v>401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1</v>
      </c>
      <c r="R387" s="17" t="b">
        <v>0</v>
      </c>
      <c r="S387" s="17" t="b">
        <v>0</v>
      </c>
      <c r="T387" s="17" t="b">
        <v>0</v>
      </c>
      <c r="U387" s="17" t="b">
        <v>0</v>
      </c>
      <c r="V387" s="17" t="b">
        <v>0</v>
      </c>
      <c r="W387" s="11" t="s">
        <v>265</v>
      </c>
      <c r="X387" s="12" t="s">
        <v>14</v>
      </c>
      <c r="Y387" s="12" t="s">
        <v>14</v>
      </c>
      <c r="Z387" s="13" t="s">
        <v>280</v>
      </c>
    </row>
    <row r="388" spans="1:26" ht="20.45" customHeight="1" x14ac:dyDescent="0.25">
      <c r="A388" s="6">
        <v>45985</v>
      </c>
      <c r="B388" s="7" t="s">
        <v>841</v>
      </c>
      <c r="C388" s="8" t="s">
        <v>1403</v>
      </c>
      <c r="D388" s="8" t="s">
        <v>290</v>
      </c>
      <c r="E388" s="8" t="s">
        <v>1398</v>
      </c>
      <c r="F388" s="9" t="s">
        <v>1404</v>
      </c>
      <c r="G388" s="9" t="s">
        <v>871</v>
      </c>
      <c r="H388" s="9" t="s">
        <v>1407</v>
      </c>
      <c r="I388" s="9" t="s">
        <v>70</v>
      </c>
      <c r="J388" s="10" t="s">
        <v>19</v>
      </c>
      <c r="K388" s="15" t="str">
        <f>VLOOKUP(J388,DADOS!$A$3:$B$105,2,FALSE)</f>
        <v>EE-GI-221-033</v>
      </c>
      <c r="L388" s="15" t="s">
        <v>401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1</v>
      </c>
      <c r="R388" s="17" t="b">
        <v>0</v>
      </c>
      <c r="S388" s="17" t="b">
        <v>0</v>
      </c>
      <c r="T388" s="17" t="b">
        <v>0</v>
      </c>
      <c r="U388" s="17" t="b">
        <v>0</v>
      </c>
      <c r="V388" s="17" t="b">
        <v>0</v>
      </c>
      <c r="W388" s="11" t="s">
        <v>290</v>
      </c>
      <c r="X388" s="12" t="s">
        <v>14</v>
      </c>
      <c r="Y388" s="12" t="s">
        <v>14</v>
      </c>
      <c r="Z388" s="13" t="s">
        <v>280</v>
      </c>
    </row>
    <row r="389" spans="1:26" ht="19.899999999999999" customHeight="1" x14ac:dyDescent="0.25">
      <c r="A389" s="6">
        <v>45985</v>
      </c>
      <c r="B389" s="7" t="s">
        <v>841</v>
      </c>
      <c r="C389" s="8" t="s">
        <v>1405</v>
      </c>
      <c r="D389" s="8" t="s">
        <v>352</v>
      </c>
      <c r="E389" s="8" t="s">
        <v>1398</v>
      </c>
      <c r="F389" s="9" t="s">
        <v>1406</v>
      </c>
      <c r="G389" s="9" t="s">
        <v>871</v>
      </c>
      <c r="H389" s="9" t="s">
        <v>1408</v>
      </c>
      <c r="I389" s="9" t="s">
        <v>70</v>
      </c>
      <c r="J389" s="10" t="s">
        <v>19</v>
      </c>
      <c r="K389" s="15" t="str">
        <f>VLOOKUP(J389,DADOS!$A$3:$B$105,2,FALSE)</f>
        <v>EE-GI-221-033</v>
      </c>
      <c r="L389" s="15" t="s">
        <v>401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1</v>
      </c>
      <c r="R389" s="17" t="b">
        <v>0</v>
      </c>
      <c r="S389" s="17" t="b">
        <v>0</v>
      </c>
      <c r="T389" s="17" t="b">
        <v>0</v>
      </c>
      <c r="U389" s="17" t="b">
        <v>0</v>
      </c>
      <c r="V389" s="17" t="b">
        <v>0</v>
      </c>
      <c r="W389" s="11" t="s">
        <v>352</v>
      </c>
      <c r="X389" s="12" t="s">
        <v>14</v>
      </c>
      <c r="Y389" s="12" t="s">
        <v>14</v>
      </c>
      <c r="Z389" s="13" t="s">
        <v>280</v>
      </c>
    </row>
    <row r="390" spans="1:26" ht="19.899999999999999" customHeight="1" x14ac:dyDescent="0.25">
      <c r="A390" s="6">
        <v>45985</v>
      </c>
      <c r="B390" s="7" t="s">
        <v>339</v>
      </c>
      <c r="C390" s="8" t="s">
        <v>1461</v>
      </c>
      <c r="D390" s="8" t="s">
        <v>1462</v>
      </c>
      <c r="E390" s="8" t="s">
        <v>1463</v>
      </c>
      <c r="F390" s="9" t="s">
        <v>1464</v>
      </c>
      <c r="G390" s="9" t="s">
        <v>1465</v>
      </c>
      <c r="H390" s="9" t="s">
        <v>1466</v>
      </c>
      <c r="I390" s="9" t="s">
        <v>66</v>
      </c>
      <c r="J390" s="10" t="s">
        <v>15</v>
      </c>
      <c r="K390" s="15" t="str">
        <f>VLOOKUP(J390,DADOS!$A$3:$B$105,2,FALSE)</f>
        <v>EE-GI-001-002</v>
      </c>
      <c r="L390" s="15" t="s">
        <v>321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0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1462</v>
      </c>
      <c r="X390" s="12" t="s">
        <v>14</v>
      </c>
      <c r="Y390" s="12" t="s">
        <v>14</v>
      </c>
      <c r="Z390" s="13" t="s">
        <v>322</v>
      </c>
    </row>
    <row r="391" spans="1:26" ht="19.899999999999999" customHeight="1" x14ac:dyDescent="0.25">
      <c r="A391" s="6">
        <v>45985</v>
      </c>
      <c r="B391" s="7" t="s">
        <v>841</v>
      </c>
      <c r="C391" s="8" t="s">
        <v>1409</v>
      </c>
      <c r="D391" s="8" t="s">
        <v>352</v>
      </c>
      <c r="E391" s="8" t="s">
        <v>1398</v>
      </c>
      <c r="F391" s="9" t="s">
        <v>1410</v>
      </c>
      <c r="G391" s="9" t="s">
        <v>871</v>
      </c>
      <c r="H391" s="9" t="s">
        <v>1411</v>
      </c>
      <c r="I391" s="9" t="s">
        <v>70</v>
      </c>
      <c r="J391" s="10" t="s">
        <v>19</v>
      </c>
      <c r="K391" s="15" t="str">
        <f>VLOOKUP(J391,DADOS!$A$3:$B$105,2,FALSE)</f>
        <v>EE-GI-221-033</v>
      </c>
      <c r="L391" s="15" t="s">
        <v>401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1</v>
      </c>
      <c r="R391" s="17" t="b">
        <v>0</v>
      </c>
      <c r="S391" s="17" t="b">
        <v>0</v>
      </c>
      <c r="T391" s="17" t="b">
        <v>0</v>
      </c>
      <c r="U391" s="17" t="b">
        <v>0</v>
      </c>
      <c r="V391" s="17" t="b">
        <v>0</v>
      </c>
      <c r="W391" s="11" t="s">
        <v>352</v>
      </c>
      <c r="X391" s="12" t="s">
        <v>14</v>
      </c>
      <c r="Y391" s="12" t="s">
        <v>14</v>
      </c>
      <c r="Z391" s="13" t="s">
        <v>280</v>
      </c>
    </row>
    <row r="392" spans="1:26" ht="19.899999999999999" customHeight="1" x14ac:dyDescent="0.25">
      <c r="A392" s="6">
        <v>45985</v>
      </c>
      <c r="B392" s="7" t="s">
        <v>841</v>
      </c>
      <c r="C392" s="8" t="s">
        <v>1412</v>
      </c>
      <c r="D392" s="8" t="s">
        <v>352</v>
      </c>
      <c r="E392" s="8" t="s">
        <v>1398</v>
      </c>
      <c r="F392" s="9" t="s">
        <v>1413</v>
      </c>
      <c r="G392" s="9" t="s">
        <v>871</v>
      </c>
      <c r="H392" s="9" t="s">
        <v>897</v>
      </c>
      <c r="I392" s="9" t="s">
        <v>70</v>
      </c>
      <c r="J392" s="10" t="s">
        <v>19</v>
      </c>
      <c r="K392" s="15" t="str">
        <f>VLOOKUP(J392,DADOS!$A$3:$B$105,2,FALSE)</f>
        <v>EE-GI-221-033</v>
      </c>
      <c r="L392" s="15" t="s">
        <v>401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1</v>
      </c>
      <c r="R392" s="17" t="b">
        <v>0</v>
      </c>
      <c r="S392" s="17" t="b">
        <v>0</v>
      </c>
      <c r="T392" s="17" t="b">
        <v>0</v>
      </c>
      <c r="U392" s="17" t="b">
        <v>0</v>
      </c>
      <c r="V392" s="17" t="b">
        <v>0</v>
      </c>
      <c r="W392" s="11" t="s">
        <v>352</v>
      </c>
      <c r="X392" s="12" t="s">
        <v>14</v>
      </c>
      <c r="Y392" s="12" t="s">
        <v>14</v>
      </c>
      <c r="Z392" s="13" t="s">
        <v>280</v>
      </c>
    </row>
    <row r="393" spans="1:26" ht="19.899999999999999" customHeight="1" x14ac:dyDescent="0.25">
      <c r="A393" s="6">
        <v>45985</v>
      </c>
      <c r="B393" s="7" t="s">
        <v>841</v>
      </c>
      <c r="C393" s="8" t="s">
        <v>1412</v>
      </c>
      <c r="D393" s="8" t="s">
        <v>352</v>
      </c>
      <c r="E393" s="8" t="s">
        <v>1398</v>
      </c>
      <c r="F393" s="9" t="s">
        <v>1414</v>
      </c>
      <c r="G393" s="9" t="s">
        <v>871</v>
      </c>
      <c r="H393" s="9" t="s">
        <v>897</v>
      </c>
      <c r="I393" s="9" t="s">
        <v>70</v>
      </c>
      <c r="J393" s="10" t="s">
        <v>19</v>
      </c>
      <c r="K393" s="15" t="str">
        <f>VLOOKUP(J393,DADOS!$A$3:$B$105,2,FALSE)</f>
        <v>EE-GI-221-033</v>
      </c>
      <c r="L393" s="15" t="s">
        <v>401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1</v>
      </c>
      <c r="R393" s="17" t="b">
        <v>0</v>
      </c>
      <c r="S393" s="17" t="b">
        <v>0</v>
      </c>
      <c r="T393" s="17" t="b">
        <v>0</v>
      </c>
      <c r="U393" s="17" t="b">
        <v>0</v>
      </c>
      <c r="V393" s="17" t="b">
        <v>0</v>
      </c>
      <c r="W393" s="11" t="s">
        <v>352</v>
      </c>
      <c r="X393" s="12" t="s">
        <v>14</v>
      </c>
      <c r="Y393" s="12" t="s">
        <v>14</v>
      </c>
      <c r="Z393" s="13" t="s">
        <v>280</v>
      </c>
    </row>
    <row r="394" spans="1:26" ht="19.899999999999999" customHeight="1" x14ac:dyDescent="0.25">
      <c r="A394" s="6">
        <v>45985</v>
      </c>
      <c r="B394" s="7" t="s">
        <v>841</v>
      </c>
      <c r="C394" s="8" t="s">
        <v>1412</v>
      </c>
      <c r="D394" s="8" t="s">
        <v>352</v>
      </c>
      <c r="E394" s="8" t="s">
        <v>1398</v>
      </c>
      <c r="F394" s="9" t="s">
        <v>1415</v>
      </c>
      <c r="G394" s="9" t="s">
        <v>871</v>
      </c>
      <c r="H394" s="9" t="s">
        <v>897</v>
      </c>
      <c r="I394" s="9" t="s">
        <v>70</v>
      </c>
      <c r="J394" s="10" t="s">
        <v>19</v>
      </c>
      <c r="K394" s="15" t="str">
        <f>VLOOKUP(J394,DADOS!$A$3:$B$105,2,FALSE)</f>
        <v>EE-GI-221-033</v>
      </c>
      <c r="L394" s="15" t="s">
        <v>401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1</v>
      </c>
      <c r="R394" s="17" t="b">
        <v>0</v>
      </c>
      <c r="S394" s="17" t="b">
        <v>0</v>
      </c>
      <c r="T394" s="17" t="b">
        <v>0</v>
      </c>
      <c r="U394" s="17" t="b">
        <v>0</v>
      </c>
      <c r="V394" s="17" t="b">
        <v>0</v>
      </c>
      <c r="W394" s="11" t="s">
        <v>352</v>
      </c>
      <c r="X394" s="12" t="s">
        <v>14</v>
      </c>
      <c r="Y394" s="12" t="s">
        <v>14</v>
      </c>
      <c r="Z394" s="13" t="s">
        <v>280</v>
      </c>
    </row>
    <row r="395" spans="1:26" ht="19.899999999999999" customHeight="1" x14ac:dyDescent="0.25">
      <c r="A395" s="6">
        <v>45985</v>
      </c>
      <c r="B395" s="7" t="s">
        <v>841</v>
      </c>
      <c r="C395" s="8" t="s">
        <v>1412</v>
      </c>
      <c r="D395" s="8" t="s">
        <v>352</v>
      </c>
      <c r="E395" s="8" t="s">
        <v>1398</v>
      </c>
      <c r="F395" s="9" t="s">
        <v>1416</v>
      </c>
      <c r="G395" s="9" t="s">
        <v>871</v>
      </c>
      <c r="H395" s="9" t="s">
        <v>897</v>
      </c>
      <c r="I395" s="9" t="s">
        <v>70</v>
      </c>
      <c r="J395" s="10" t="s">
        <v>19</v>
      </c>
      <c r="K395" s="15" t="str">
        <f>VLOOKUP(J395,DADOS!$A$3:$B$105,2,FALSE)</f>
        <v>EE-GI-221-033</v>
      </c>
      <c r="L395" s="15" t="s">
        <v>401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1</v>
      </c>
      <c r="R395" s="17" t="b">
        <v>0</v>
      </c>
      <c r="S395" s="17" t="b">
        <v>0</v>
      </c>
      <c r="T395" s="17" t="b">
        <v>0</v>
      </c>
      <c r="U395" s="17" t="b">
        <v>0</v>
      </c>
      <c r="V395" s="17" t="b">
        <v>0</v>
      </c>
      <c r="W395" s="11" t="s">
        <v>352</v>
      </c>
      <c r="X395" s="12" t="s">
        <v>14</v>
      </c>
      <c r="Y395" s="12" t="s">
        <v>14</v>
      </c>
      <c r="Z395" s="13" t="s">
        <v>280</v>
      </c>
    </row>
    <row r="396" spans="1:26" ht="19.899999999999999" customHeight="1" x14ac:dyDescent="0.25">
      <c r="A396" s="6">
        <v>45985</v>
      </c>
      <c r="B396" s="7" t="s">
        <v>841</v>
      </c>
      <c r="C396" s="8" t="s">
        <v>1412</v>
      </c>
      <c r="D396" s="8" t="s">
        <v>352</v>
      </c>
      <c r="E396" s="8" t="s">
        <v>1398</v>
      </c>
      <c r="F396" s="9" t="s">
        <v>1417</v>
      </c>
      <c r="G396" s="9" t="s">
        <v>871</v>
      </c>
      <c r="H396" s="9" t="s">
        <v>897</v>
      </c>
      <c r="I396" s="9" t="s">
        <v>70</v>
      </c>
      <c r="J396" s="10" t="s">
        <v>19</v>
      </c>
      <c r="K396" s="15" t="str">
        <f>VLOOKUP(J396,DADOS!$A$3:$B$105,2,FALSE)</f>
        <v>EE-GI-221-033</v>
      </c>
      <c r="L396" s="15" t="s">
        <v>401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1</v>
      </c>
      <c r="R396" s="17" t="b">
        <v>0</v>
      </c>
      <c r="S396" s="17" t="b">
        <v>0</v>
      </c>
      <c r="T396" s="17" t="b">
        <v>0</v>
      </c>
      <c r="U396" s="17" t="b">
        <v>0</v>
      </c>
      <c r="V396" s="17" t="b">
        <v>0</v>
      </c>
      <c r="W396" s="11" t="s">
        <v>352</v>
      </c>
      <c r="X396" s="12" t="s">
        <v>14</v>
      </c>
      <c r="Y396" s="12" t="s">
        <v>14</v>
      </c>
      <c r="Z396" s="13" t="s">
        <v>280</v>
      </c>
    </row>
    <row r="397" spans="1:26" ht="19.899999999999999" customHeight="1" x14ac:dyDescent="0.25">
      <c r="A397" s="6">
        <v>45985</v>
      </c>
      <c r="B397" s="7" t="s">
        <v>841</v>
      </c>
      <c r="C397" s="8" t="s">
        <v>1469</v>
      </c>
      <c r="D397" s="8" t="s">
        <v>352</v>
      </c>
      <c r="E397" s="8" t="s">
        <v>1470</v>
      </c>
      <c r="F397" s="9" t="s">
        <v>1471</v>
      </c>
      <c r="G397" s="9" t="s">
        <v>909</v>
      </c>
      <c r="H397" s="9" t="s">
        <v>1474</v>
      </c>
      <c r="I397" s="9" t="s">
        <v>66</v>
      </c>
      <c r="J397" s="10" t="s">
        <v>21</v>
      </c>
      <c r="K397" s="15" t="str">
        <f>VLOOKUP(J397,DADOS!$A$3:$B$105,2,FALSE)</f>
        <v>EE-GI-221-064</v>
      </c>
      <c r="L397" s="15" t="s">
        <v>401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1</v>
      </c>
      <c r="R397" s="17" t="b">
        <v>0</v>
      </c>
      <c r="S397" s="17" t="b">
        <v>0</v>
      </c>
      <c r="T397" s="17" t="b">
        <v>0</v>
      </c>
      <c r="U397" s="17" t="b">
        <v>0</v>
      </c>
      <c r="V397" s="17" t="b">
        <v>0</v>
      </c>
      <c r="W397" s="11" t="s">
        <v>352</v>
      </c>
      <c r="X397" s="12" t="s">
        <v>14</v>
      </c>
      <c r="Y397" s="12" t="s">
        <v>14</v>
      </c>
      <c r="Z397" s="13" t="s">
        <v>280</v>
      </c>
    </row>
    <row r="398" spans="1:26" ht="19.899999999999999" customHeight="1" x14ac:dyDescent="0.25">
      <c r="A398" s="6">
        <v>45985</v>
      </c>
      <c r="B398" s="7" t="s">
        <v>841</v>
      </c>
      <c r="C398" s="8" t="s">
        <v>1469</v>
      </c>
      <c r="D398" s="8" t="s">
        <v>352</v>
      </c>
      <c r="E398" s="8" t="s">
        <v>1470</v>
      </c>
      <c r="F398" s="9" t="s">
        <v>1472</v>
      </c>
      <c r="G398" s="9" t="s">
        <v>909</v>
      </c>
      <c r="H398" s="9" t="s">
        <v>1474</v>
      </c>
      <c r="I398" s="9" t="s">
        <v>66</v>
      </c>
      <c r="J398" s="10" t="s">
        <v>21</v>
      </c>
      <c r="K398" s="15" t="str">
        <f>VLOOKUP(J398,DADOS!$A$3:$B$105,2,FALSE)</f>
        <v>EE-GI-221-064</v>
      </c>
      <c r="L398" s="15" t="s">
        <v>401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1</v>
      </c>
      <c r="R398" s="17" t="b">
        <v>0</v>
      </c>
      <c r="S398" s="17" t="b">
        <v>0</v>
      </c>
      <c r="T398" s="17" t="b">
        <v>0</v>
      </c>
      <c r="U398" s="17" t="b">
        <v>0</v>
      </c>
      <c r="V398" s="17" t="b">
        <v>0</v>
      </c>
      <c r="W398" s="11" t="s">
        <v>352</v>
      </c>
      <c r="X398" s="12" t="s">
        <v>14</v>
      </c>
      <c r="Y398" s="12" t="s">
        <v>14</v>
      </c>
      <c r="Z398" s="13" t="s">
        <v>280</v>
      </c>
    </row>
    <row r="399" spans="1:26" ht="19.899999999999999" customHeight="1" x14ac:dyDescent="0.25">
      <c r="A399" s="6">
        <v>45985</v>
      </c>
      <c r="B399" s="7" t="s">
        <v>841</v>
      </c>
      <c r="C399" s="8" t="s">
        <v>1469</v>
      </c>
      <c r="D399" s="8" t="s">
        <v>352</v>
      </c>
      <c r="E399" s="8" t="s">
        <v>1470</v>
      </c>
      <c r="F399" s="9" t="s">
        <v>1473</v>
      </c>
      <c r="G399" s="9" t="s">
        <v>909</v>
      </c>
      <c r="H399" s="9" t="s">
        <v>1474</v>
      </c>
      <c r="I399" s="9" t="s">
        <v>66</v>
      </c>
      <c r="J399" s="10" t="s">
        <v>21</v>
      </c>
      <c r="K399" s="15" t="str">
        <f>VLOOKUP(J399,DADOS!$A$3:$B$105,2,FALSE)</f>
        <v>EE-GI-221-064</v>
      </c>
      <c r="L399" s="15" t="s">
        <v>401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1</v>
      </c>
      <c r="R399" s="17" t="b">
        <v>0</v>
      </c>
      <c r="S399" s="17" t="b">
        <v>0</v>
      </c>
      <c r="T399" s="17" t="b">
        <v>0</v>
      </c>
      <c r="U399" s="17" t="b">
        <v>0</v>
      </c>
      <c r="V399" s="17" t="b">
        <v>0</v>
      </c>
      <c r="W399" s="11" t="s">
        <v>352</v>
      </c>
      <c r="X399" s="12" t="s">
        <v>14</v>
      </c>
      <c r="Y399" s="12" t="s">
        <v>14</v>
      </c>
      <c r="Z399" s="13" t="s">
        <v>280</v>
      </c>
    </row>
    <row r="400" spans="1:26" ht="19.899999999999999" customHeight="1" x14ac:dyDescent="0.25">
      <c r="A400" s="6">
        <v>45985</v>
      </c>
      <c r="B400" s="7" t="s">
        <v>841</v>
      </c>
      <c r="C400" s="8" t="s">
        <v>1438</v>
      </c>
      <c r="D400" s="8" t="s">
        <v>1439</v>
      </c>
      <c r="E400" s="8" t="s">
        <v>1440</v>
      </c>
      <c r="F400" s="9" t="s">
        <v>1441</v>
      </c>
      <c r="G400" s="9" t="s">
        <v>1442</v>
      </c>
      <c r="H400" s="34"/>
      <c r="I400" s="9" t="s">
        <v>66</v>
      </c>
      <c r="J400" s="10" t="s">
        <v>233</v>
      </c>
      <c r="K400" s="15" t="str">
        <f>VLOOKUP(J400,DADOS!$A$3:$B$105,2,FALSE)</f>
        <v>EE-GI-221-031</v>
      </c>
      <c r="L400" s="15" t="s">
        <v>401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1</v>
      </c>
      <c r="R400" s="17" t="b">
        <v>0</v>
      </c>
      <c r="S400" s="17" t="b">
        <v>0</v>
      </c>
      <c r="T400" s="17" t="b">
        <v>0</v>
      </c>
      <c r="U400" s="17" t="b">
        <v>0</v>
      </c>
      <c r="V400" s="17" t="b">
        <v>0</v>
      </c>
      <c r="W400" s="11" t="s">
        <v>1439</v>
      </c>
      <c r="X400" s="12" t="s">
        <v>14</v>
      </c>
      <c r="Y400" s="12" t="s">
        <v>14</v>
      </c>
      <c r="Z400" s="13" t="s">
        <v>280</v>
      </c>
    </row>
    <row r="401" spans="1:26" ht="19.899999999999999" customHeight="1" x14ac:dyDescent="0.25">
      <c r="A401" s="6">
        <v>45985</v>
      </c>
      <c r="B401" s="7" t="s">
        <v>841</v>
      </c>
      <c r="C401" s="8" t="s">
        <v>849</v>
      </c>
      <c r="D401" s="8" t="s">
        <v>352</v>
      </c>
      <c r="E401" s="8" t="s">
        <v>1470</v>
      </c>
      <c r="F401" s="9" t="s">
        <v>854</v>
      </c>
      <c r="G401" s="9" t="s">
        <v>853</v>
      </c>
      <c r="H401" s="9" t="s">
        <v>1475</v>
      </c>
      <c r="I401" s="9" t="s">
        <v>66</v>
      </c>
      <c r="J401" s="10" t="s">
        <v>25</v>
      </c>
      <c r="K401" s="15" t="str">
        <f>VLOOKUP(J401,DADOS!$A$3:$B$105,2,FALSE)</f>
        <v>EE-GI-221-032</v>
      </c>
      <c r="L401" s="15" t="s">
        <v>401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1</v>
      </c>
      <c r="R401" s="17" t="b">
        <v>0</v>
      </c>
      <c r="S401" s="17" t="b">
        <v>0</v>
      </c>
      <c r="T401" s="17" t="b">
        <v>0</v>
      </c>
      <c r="U401" s="17" t="b">
        <v>0</v>
      </c>
      <c r="V401" s="17" t="b">
        <v>0</v>
      </c>
      <c r="W401" s="11" t="s">
        <v>352</v>
      </c>
      <c r="X401" s="12" t="s">
        <v>14</v>
      </c>
      <c r="Y401" s="12" t="s">
        <v>14</v>
      </c>
      <c r="Z401" s="13" t="s">
        <v>280</v>
      </c>
    </row>
    <row r="402" spans="1:26" ht="19.899999999999999" customHeight="1" x14ac:dyDescent="0.25">
      <c r="A402" s="6">
        <v>45985</v>
      </c>
      <c r="B402" s="7" t="s">
        <v>841</v>
      </c>
      <c r="C402" s="8" t="s">
        <v>924</v>
      </c>
      <c r="D402" s="8" t="s">
        <v>1443</v>
      </c>
      <c r="E402" s="8" t="s">
        <v>1440</v>
      </c>
      <c r="F402" s="9" t="s">
        <v>925</v>
      </c>
      <c r="G402" s="9" t="s">
        <v>1442</v>
      </c>
      <c r="H402" s="34"/>
      <c r="I402" s="9" t="s">
        <v>66</v>
      </c>
      <c r="J402" s="10" t="s">
        <v>233</v>
      </c>
      <c r="K402" s="15" t="str">
        <f>VLOOKUP(J402,DADOS!$A$3:$B$105,2,FALSE)</f>
        <v>EE-GI-221-031</v>
      </c>
      <c r="L402" s="15" t="s">
        <v>401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1</v>
      </c>
      <c r="R402" s="17" t="b">
        <v>0</v>
      </c>
      <c r="S402" s="17" t="b">
        <v>0</v>
      </c>
      <c r="T402" s="17" t="b">
        <v>0</v>
      </c>
      <c r="U402" s="17" t="b">
        <v>0</v>
      </c>
      <c r="V402" s="17" t="b">
        <v>0</v>
      </c>
      <c r="W402" s="11" t="s">
        <v>634</v>
      </c>
      <c r="X402" s="12" t="s">
        <v>843</v>
      </c>
      <c r="Y402" s="12" t="s">
        <v>1451</v>
      </c>
      <c r="Z402" s="12" t="s">
        <v>280</v>
      </c>
    </row>
    <row r="403" spans="1:26" ht="19.899999999999999" customHeight="1" x14ac:dyDescent="0.25">
      <c r="A403" s="6">
        <v>45985</v>
      </c>
      <c r="B403" s="7" t="s">
        <v>841</v>
      </c>
      <c r="C403" s="8" t="s">
        <v>1444</v>
      </c>
      <c r="D403" s="8" t="s">
        <v>554</v>
      </c>
      <c r="E403" s="8" t="s">
        <v>1440</v>
      </c>
      <c r="F403" s="9" t="s">
        <v>882</v>
      </c>
      <c r="G403" s="9" t="s">
        <v>883</v>
      </c>
      <c r="H403" s="34"/>
      <c r="I403" s="9" t="s">
        <v>66</v>
      </c>
      <c r="J403" s="10" t="s">
        <v>60</v>
      </c>
      <c r="K403" s="15" t="str">
        <f>VLOOKUP(J403,DADOS!$A$3:$B$105,2,FALSE)</f>
        <v>EE-GI-221-038</v>
      </c>
      <c r="L403" s="15" t="s">
        <v>401</v>
      </c>
      <c r="M403" s="18" t="b">
        <v>1</v>
      </c>
      <c r="N403" s="17" t="b">
        <v>1</v>
      </c>
      <c r="O403" s="17" t="b">
        <v>1</v>
      </c>
      <c r="P403" s="17" t="b">
        <v>1</v>
      </c>
      <c r="Q403" s="17" t="b">
        <v>1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 t="s">
        <v>554</v>
      </c>
      <c r="X403" s="12" t="s">
        <v>14</v>
      </c>
      <c r="Y403" s="12" t="s">
        <v>14</v>
      </c>
      <c r="Z403" s="13" t="s">
        <v>280</v>
      </c>
    </row>
    <row r="404" spans="1:26" ht="19.899999999999999" customHeight="1" x14ac:dyDescent="0.25">
      <c r="A404" s="6">
        <v>45985</v>
      </c>
      <c r="B404" s="7" t="s">
        <v>727</v>
      </c>
      <c r="C404" s="8" t="s">
        <v>1841</v>
      </c>
      <c r="D404" s="8" t="s">
        <v>527</v>
      </c>
      <c r="E404" s="8" t="s">
        <v>1585</v>
      </c>
      <c r="F404" s="9" t="s">
        <v>1842</v>
      </c>
      <c r="G404" s="9" t="s">
        <v>562</v>
      </c>
      <c r="H404" s="9" t="s">
        <v>996</v>
      </c>
      <c r="I404" s="9" t="s">
        <v>66</v>
      </c>
      <c r="J404" s="10" t="s">
        <v>15</v>
      </c>
      <c r="K404" s="15" t="str">
        <f>VLOOKUP(J404,DADOS!$A$3:$B$105,2,FALSE)</f>
        <v>EE-GI-001-002</v>
      </c>
      <c r="L404" s="15" t="s">
        <v>321</v>
      </c>
      <c r="M404" s="18" t="b">
        <v>0</v>
      </c>
      <c r="N404" s="17" t="b">
        <v>1</v>
      </c>
      <c r="O404" s="17" t="b">
        <v>1</v>
      </c>
      <c r="P404" s="17" t="b">
        <v>1</v>
      </c>
      <c r="Q404" s="17" t="b">
        <v>0</v>
      </c>
      <c r="R404" s="17" t="b">
        <v>1</v>
      </c>
      <c r="S404" s="17" t="b">
        <v>0</v>
      </c>
      <c r="T404" s="17" t="b">
        <v>0</v>
      </c>
      <c r="U404" s="17" t="b">
        <v>0</v>
      </c>
      <c r="V404" s="17" t="b">
        <v>1</v>
      </c>
      <c r="W404" s="11" t="s">
        <v>527</v>
      </c>
      <c r="X404" s="12" t="s">
        <v>14</v>
      </c>
      <c r="Y404" s="12" t="s">
        <v>14</v>
      </c>
      <c r="Z404" s="13" t="s">
        <v>322</v>
      </c>
    </row>
    <row r="405" spans="1:26" ht="19.899999999999999" customHeight="1" x14ac:dyDescent="0.25">
      <c r="A405" s="6">
        <v>45985</v>
      </c>
      <c r="B405" s="7" t="s">
        <v>841</v>
      </c>
      <c r="C405" s="8" t="s">
        <v>1483</v>
      </c>
      <c r="D405" s="8" t="s">
        <v>419</v>
      </c>
      <c r="E405" s="8" t="s">
        <v>1470</v>
      </c>
      <c r="F405" s="9" t="s">
        <v>1484</v>
      </c>
      <c r="G405" s="9" t="s">
        <v>909</v>
      </c>
      <c r="H405" s="9" t="s">
        <v>1485</v>
      </c>
      <c r="I405" s="9" t="s">
        <v>66</v>
      </c>
      <c r="J405" s="10" t="s">
        <v>21</v>
      </c>
      <c r="K405" s="15" t="str">
        <f>VLOOKUP(J405,DADOS!$A$3:$B$105,2,FALSE)</f>
        <v>EE-GI-221-064</v>
      </c>
      <c r="L405" s="15" t="s">
        <v>401</v>
      </c>
      <c r="M405" s="18" t="b">
        <v>1</v>
      </c>
      <c r="N405" s="17" t="b">
        <v>1</v>
      </c>
      <c r="O405" s="17" t="b">
        <v>1</v>
      </c>
      <c r="P405" s="17" t="b">
        <v>1</v>
      </c>
      <c r="Q405" s="17" t="b">
        <v>1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 t="s">
        <v>559</v>
      </c>
      <c r="X405" s="12" t="s">
        <v>309</v>
      </c>
      <c r="Y405" s="12" t="s">
        <v>1486</v>
      </c>
      <c r="Z405" s="12" t="s">
        <v>280</v>
      </c>
    </row>
    <row r="406" spans="1:26" ht="19.899999999999999" customHeight="1" x14ac:dyDescent="0.25">
      <c r="A406" s="6">
        <v>45985</v>
      </c>
      <c r="B406" s="7" t="s">
        <v>606</v>
      </c>
      <c r="C406" s="8" t="s">
        <v>834</v>
      </c>
      <c r="D406" s="8" t="s">
        <v>1476</v>
      </c>
      <c r="E406" s="8" t="s">
        <v>1477</v>
      </c>
      <c r="F406" s="9" t="s">
        <v>617</v>
      </c>
      <c r="G406" s="9" t="s">
        <v>1478</v>
      </c>
      <c r="H406" s="9" t="s">
        <v>1479</v>
      </c>
      <c r="I406" s="9" t="s">
        <v>66</v>
      </c>
      <c r="J406" s="10" t="s">
        <v>19</v>
      </c>
      <c r="K406" s="15" t="str">
        <f>VLOOKUP(J406,DADOS!$A$3:$B$105,2,FALSE)</f>
        <v>EE-GI-221-033</v>
      </c>
      <c r="L406" s="15" t="s">
        <v>401</v>
      </c>
      <c r="M406" s="18" t="b">
        <v>1</v>
      </c>
      <c r="N406" s="17" t="b">
        <v>1</v>
      </c>
      <c r="O406" s="17" t="b">
        <v>1</v>
      </c>
      <c r="P406" s="17" t="b">
        <v>1</v>
      </c>
      <c r="Q406" s="17" t="b">
        <v>1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 t="s">
        <v>1476</v>
      </c>
      <c r="X406" s="12" t="s">
        <v>14</v>
      </c>
      <c r="Y406" s="12" t="s">
        <v>14</v>
      </c>
      <c r="Z406" s="13" t="s">
        <v>280</v>
      </c>
    </row>
    <row r="407" spans="1:26" ht="19.899999999999999" customHeight="1" x14ac:dyDescent="0.25">
      <c r="A407" s="6">
        <v>45985</v>
      </c>
      <c r="B407" s="7" t="s">
        <v>606</v>
      </c>
      <c r="C407" s="8" t="s">
        <v>607</v>
      </c>
      <c r="D407" s="8" t="s">
        <v>711</v>
      </c>
      <c r="E407" s="8" t="s">
        <v>1477</v>
      </c>
      <c r="F407" s="9" t="s">
        <v>1480</v>
      </c>
      <c r="G407" s="9" t="s">
        <v>1478</v>
      </c>
      <c r="H407" s="9" t="s">
        <v>1482</v>
      </c>
      <c r="I407" s="9" t="s">
        <v>66</v>
      </c>
      <c r="J407" s="10" t="s">
        <v>241</v>
      </c>
      <c r="K407" s="15" t="str">
        <f>VLOOKUP(J407,DADOS!$A$3:$B$105,2,FALSE)</f>
        <v>EE-GI-221-048</v>
      </c>
      <c r="L407" s="15" t="s">
        <v>401</v>
      </c>
      <c r="M407" s="18" t="b">
        <v>1</v>
      </c>
      <c r="N407" s="17" t="b">
        <v>1</v>
      </c>
      <c r="O407" s="17" t="b">
        <v>1</v>
      </c>
      <c r="P407" s="17" t="b">
        <v>1</v>
      </c>
      <c r="Q407" s="17" t="b">
        <v>1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 t="s">
        <v>711</v>
      </c>
      <c r="X407" s="12" t="s">
        <v>14</v>
      </c>
      <c r="Y407" s="12" t="s">
        <v>14</v>
      </c>
      <c r="Z407" s="13" t="s">
        <v>280</v>
      </c>
    </row>
    <row r="408" spans="1:26" ht="19.899999999999999" customHeight="1" x14ac:dyDescent="0.25">
      <c r="A408" s="6">
        <v>45985</v>
      </c>
      <c r="B408" s="7" t="s">
        <v>606</v>
      </c>
      <c r="C408" s="8" t="s">
        <v>607</v>
      </c>
      <c r="D408" s="8" t="s">
        <v>628</v>
      </c>
      <c r="E408" s="8" t="s">
        <v>1477</v>
      </c>
      <c r="F408" s="9" t="s">
        <v>1481</v>
      </c>
      <c r="G408" s="9" t="s">
        <v>1478</v>
      </c>
      <c r="H408" s="9" t="s">
        <v>1482</v>
      </c>
      <c r="I408" s="9" t="s">
        <v>66</v>
      </c>
      <c r="J408" s="10" t="s">
        <v>241</v>
      </c>
      <c r="K408" s="15" t="str">
        <f>VLOOKUP(J408,DADOS!$A$3:$B$105,2,FALSE)</f>
        <v>EE-GI-221-048</v>
      </c>
      <c r="L408" s="15" t="s">
        <v>401</v>
      </c>
      <c r="M408" s="18" t="b">
        <v>1</v>
      </c>
      <c r="N408" s="17" t="b">
        <v>1</v>
      </c>
      <c r="O408" s="17" t="b">
        <v>1</v>
      </c>
      <c r="P408" s="17" t="b">
        <v>1</v>
      </c>
      <c r="Q408" s="17" t="b">
        <v>1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 t="s">
        <v>628</v>
      </c>
      <c r="X408" s="12" t="s">
        <v>14</v>
      </c>
      <c r="Y408" s="12" t="s">
        <v>14</v>
      </c>
      <c r="Z408" s="13" t="s">
        <v>280</v>
      </c>
    </row>
    <row r="409" spans="1:26" ht="19.899999999999999" customHeight="1" x14ac:dyDescent="0.25">
      <c r="A409" s="6">
        <v>45985</v>
      </c>
      <c r="B409" s="7" t="s">
        <v>1187</v>
      </c>
      <c r="C409" s="8" t="s">
        <v>1588</v>
      </c>
      <c r="D409" s="8" t="s">
        <v>265</v>
      </c>
      <c r="E409" s="8" t="s">
        <v>1595</v>
      </c>
      <c r="F409" s="9" t="s">
        <v>1596</v>
      </c>
      <c r="G409" s="9" t="s">
        <v>1688</v>
      </c>
      <c r="H409" s="9" t="s">
        <v>1688</v>
      </c>
      <c r="I409" s="9" t="s">
        <v>69</v>
      </c>
      <c r="J409" s="10" t="s">
        <v>24</v>
      </c>
      <c r="K409" s="15" t="str">
        <f>VLOOKUP(J409,DADOS!$A$3:$B$105,2,FALSE)</f>
        <v>EE-GI-021-005</v>
      </c>
      <c r="L409" s="15" t="s">
        <v>332</v>
      </c>
      <c r="M409" s="18" t="b">
        <v>1</v>
      </c>
      <c r="N409" s="17" t="b">
        <v>1</v>
      </c>
      <c r="O409" s="17" t="b">
        <v>0</v>
      </c>
      <c r="P409" s="17" t="b">
        <v>1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1</v>
      </c>
      <c r="W409" s="11" t="s">
        <v>265</v>
      </c>
      <c r="X409" s="12" t="s">
        <v>14</v>
      </c>
      <c r="Y409" s="12" t="s">
        <v>14</v>
      </c>
      <c r="Z409" s="13" t="s">
        <v>280</v>
      </c>
    </row>
    <row r="410" spans="1:26" ht="19.899999999999999" customHeight="1" x14ac:dyDescent="0.25">
      <c r="A410" s="6">
        <v>45985</v>
      </c>
      <c r="B410" s="7" t="s">
        <v>727</v>
      </c>
      <c r="C410" s="8" t="s">
        <v>742</v>
      </c>
      <c r="D410" s="8" t="s">
        <v>352</v>
      </c>
      <c r="E410" s="8" t="s">
        <v>1585</v>
      </c>
      <c r="F410" s="9" t="s">
        <v>741</v>
      </c>
      <c r="G410" s="9" t="s">
        <v>577</v>
      </c>
      <c r="H410" s="9" t="s">
        <v>14</v>
      </c>
      <c r="I410" s="9" t="s">
        <v>66</v>
      </c>
      <c r="J410" s="10" t="s">
        <v>17</v>
      </c>
      <c r="K410" s="15" t="str">
        <f>VLOOKUP(J410,DADOS!$A$3:$B$105,2,FALSE)</f>
        <v>EE-GI-001-001</v>
      </c>
      <c r="L410" s="15" t="s">
        <v>332</v>
      </c>
      <c r="M410" s="18" t="b">
        <v>1</v>
      </c>
      <c r="N410" s="17" t="b">
        <v>1</v>
      </c>
      <c r="O410" s="17" t="b">
        <v>1</v>
      </c>
      <c r="P410" s="17" t="b">
        <v>1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1</v>
      </c>
      <c r="W410" s="11" t="s">
        <v>352</v>
      </c>
      <c r="X410" s="12" t="s">
        <v>14</v>
      </c>
      <c r="Y410" s="12" t="s">
        <v>14</v>
      </c>
      <c r="Z410" s="13" t="s">
        <v>280</v>
      </c>
    </row>
    <row r="411" spans="1:26" ht="19.899999999999999" customHeight="1" x14ac:dyDescent="0.25">
      <c r="A411" s="6">
        <v>45985</v>
      </c>
      <c r="B411" s="7" t="s">
        <v>841</v>
      </c>
      <c r="C411" s="8" t="s">
        <v>1444</v>
      </c>
      <c r="D411" s="8" t="s">
        <v>1445</v>
      </c>
      <c r="E411" s="8" t="s">
        <v>1440</v>
      </c>
      <c r="F411" s="9" t="s">
        <v>1446</v>
      </c>
      <c r="G411" s="9" t="s">
        <v>883</v>
      </c>
      <c r="H411" s="34"/>
      <c r="I411" s="9" t="s">
        <v>66</v>
      </c>
      <c r="J411" s="10" t="s">
        <v>60</v>
      </c>
      <c r="K411" s="15" t="str">
        <f>VLOOKUP(J411,DADOS!$A$3:$B$105,2,FALSE)</f>
        <v>EE-GI-221-038</v>
      </c>
      <c r="L411" s="15" t="s">
        <v>401</v>
      </c>
      <c r="M411" s="18" t="b">
        <v>1</v>
      </c>
      <c r="N411" s="17" t="b">
        <v>1</v>
      </c>
      <c r="O411" s="17" t="b">
        <v>1</v>
      </c>
      <c r="P411" s="17" t="b">
        <v>1</v>
      </c>
      <c r="Q411" s="17" t="b">
        <v>1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 t="s">
        <v>1445</v>
      </c>
      <c r="X411" s="12" t="s">
        <v>14</v>
      </c>
      <c r="Y411" s="12" t="s">
        <v>14</v>
      </c>
      <c r="Z411" s="13" t="s">
        <v>280</v>
      </c>
    </row>
    <row r="412" spans="1:26" ht="19.899999999999999" customHeight="1" x14ac:dyDescent="0.25">
      <c r="A412" s="6">
        <v>45985</v>
      </c>
      <c r="B412" s="7" t="s">
        <v>841</v>
      </c>
      <c r="C412" s="8" t="s">
        <v>1444</v>
      </c>
      <c r="D412" s="8" t="s">
        <v>1445</v>
      </c>
      <c r="E412" s="8" t="s">
        <v>1440</v>
      </c>
      <c r="F412" s="9" t="s">
        <v>1447</v>
      </c>
      <c r="G412" s="9" t="s">
        <v>883</v>
      </c>
      <c r="H412" s="34"/>
      <c r="I412" s="9" t="s">
        <v>66</v>
      </c>
      <c r="J412" s="10" t="s">
        <v>60</v>
      </c>
      <c r="K412" s="15" t="str">
        <f>VLOOKUP(J412,DADOS!$A$3:$B$105,2,FALSE)</f>
        <v>EE-GI-221-038</v>
      </c>
      <c r="L412" s="15" t="s">
        <v>401</v>
      </c>
      <c r="M412" s="18" t="b">
        <v>1</v>
      </c>
      <c r="N412" s="17" t="b">
        <v>1</v>
      </c>
      <c r="O412" s="17" t="b">
        <v>1</v>
      </c>
      <c r="P412" s="17" t="b">
        <v>1</v>
      </c>
      <c r="Q412" s="17" t="b">
        <v>1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 t="s">
        <v>1445</v>
      </c>
      <c r="X412" s="12" t="s">
        <v>14</v>
      </c>
      <c r="Y412" s="12" t="s">
        <v>14</v>
      </c>
      <c r="Z412" s="13" t="s">
        <v>280</v>
      </c>
    </row>
    <row r="413" spans="1:26" ht="19.899999999999999" customHeight="1" x14ac:dyDescent="0.25">
      <c r="A413" s="6">
        <v>45985</v>
      </c>
      <c r="B413" s="7" t="s">
        <v>841</v>
      </c>
      <c r="C413" s="8" t="s">
        <v>1448</v>
      </c>
      <c r="D413" s="8" t="s">
        <v>527</v>
      </c>
      <c r="E413" s="8" t="s">
        <v>1440</v>
      </c>
      <c r="F413" s="9" t="s">
        <v>903</v>
      </c>
      <c r="G413" s="9" t="s">
        <v>883</v>
      </c>
      <c r="H413" s="34"/>
      <c r="I413" s="9" t="s">
        <v>66</v>
      </c>
      <c r="J413" s="10" t="s">
        <v>60</v>
      </c>
      <c r="K413" s="15" t="str">
        <f>VLOOKUP(J413,DADOS!$A$3:$B$105,2,FALSE)</f>
        <v>EE-GI-221-038</v>
      </c>
      <c r="L413" s="15" t="s">
        <v>401</v>
      </c>
      <c r="M413" s="18" t="b">
        <v>1</v>
      </c>
      <c r="N413" s="17" t="b">
        <v>1</v>
      </c>
      <c r="O413" s="17" t="b">
        <v>1</v>
      </c>
      <c r="P413" s="17" t="b">
        <v>1</v>
      </c>
      <c r="Q413" s="17" t="b">
        <v>1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 t="s">
        <v>527</v>
      </c>
      <c r="X413" s="12" t="s">
        <v>14</v>
      </c>
      <c r="Y413" s="12" t="s">
        <v>14</v>
      </c>
      <c r="Z413" s="13" t="s">
        <v>280</v>
      </c>
    </row>
    <row r="414" spans="1:26" ht="19.899999999999999" customHeight="1" x14ac:dyDescent="0.25">
      <c r="A414" s="6">
        <v>45985</v>
      </c>
      <c r="B414" s="7" t="s">
        <v>841</v>
      </c>
      <c r="C414" s="8" t="s">
        <v>1448</v>
      </c>
      <c r="D414" s="8" t="s">
        <v>1354</v>
      </c>
      <c r="E414" s="8" t="s">
        <v>1440</v>
      </c>
      <c r="F414" s="9" t="s">
        <v>1449</v>
      </c>
      <c r="G414" s="9" t="s">
        <v>883</v>
      </c>
      <c r="H414" s="34"/>
      <c r="I414" s="9" t="s">
        <v>66</v>
      </c>
      <c r="J414" s="10" t="s">
        <v>60</v>
      </c>
      <c r="K414" s="15" t="str">
        <f>VLOOKUP(J414,DADOS!$A$3:$B$105,2,FALSE)</f>
        <v>EE-GI-221-038</v>
      </c>
      <c r="L414" s="15" t="s">
        <v>401</v>
      </c>
      <c r="M414" s="18" t="b">
        <v>1</v>
      </c>
      <c r="N414" s="17" t="b">
        <v>1</v>
      </c>
      <c r="O414" s="17" t="b">
        <v>1</v>
      </c>
      <c r="P414" s="17" t="b">
        <v>1</v>
      </c>
      <c r="Q414" s="17" t="b">
        <v>1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 t="s">
        <v>396</v>
      </c>
      <c r="X414" s="12" t="s">
        <v>352</v>
      </c>
      <c r="Y414" s="12" t="s">
        <v>1452</v>
      </c>
      <c r="Z414" s="12" t="s">
        <v>280</v>
      </c>
    </row>
    <row r="415" spans="1:26" ht="19.899999999999999" customHeight="1" x14ac:dyDescent="0.25">
      <c r="A415" s="6">
        <v>45985</v>
      </c>
      <c r="B415" s="7" t="s">
        <v>841</v>
      </c>
      <c r="C415" s="8" t="s">
        <v>1448</v>
      </c>
      <c r="D415" s="8" t="s">
        <v>1354</v>
      </c>
      <c r="E415" s="8" t="s">
        <v>1440</v>
      </c>
      <c r="F415" s="9" t="s">
        <v>1450</v>
      </c>
      <c r="G415" s="9" t="s">
        <v>883</v>
      </c>
      <c r="H415" s="34"/>
      <c r="I415" s="9" t="s">
        <v>66</v>
      </c>
      <c r="J415" s="10" t="s">
        <v>60</v>
      </c>
      <c r="K415" s="15" t="str">
        <f>VLOOKUP(J415,DADOS!$A$3:$B$105,2,FALSE)</f>
        <v>EE-GI-221-038</v>
      </c>
      <c r="L415" s="15" t="s">
        <v>401</v>
      </c>
      <c r="M415" s="18" t="b">
        <v>1</v>
      </c>
      <c r="N415" s="17" t="b">
        <v>1</v>
      </c>
      <c r="O415" s="17" t="b">
        <v>1</v>
      </c>
      <c r="P415" s="17" t="b">
        <v>1</v>
      </c>
      <c r="Q415" s="17" t="b">
        <v>1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 t="s">
        <v>14</v>
      </c>
      <c r="X415" s="12" t="s">
        <v>1354</v>
      </c>
      <c r="Y415" s="12" t="s">
        <v>1452</v>
      </c>
      <c r="Z415" s="12" t="s">
        <v>280</v>
      </c>
    </row>
    <row r="416" spans="1:26" ht="19.899999999999999" customHeight="1" x14ac:dyDescent="0.25">
      <c r="A416" s="6">
        <v>45985</v>
      </c>
      <c r="B416" s="7" t="s">
        <v>841</v>
      </c>
      <c r="C416" s="8" t="s">
        <v>898</v>
      </c>
      <c r="D416" s="8" t="s">
        <v>1467</v>
      </c>
      <c r="E416" s="8" t="s">
        <v>1440</v>
      </c>
      <c r="F416" s="9" t="s">
        <v>978</v>
      </c>
      <c r="G416" s="9" t="s">
        <v>1468</v>
      </c>
      <c r="H416" s="34"/>
      <c r="I416" s="9" t="s">
        <v>66</v>
      </c>
      <c r="J416" s="10" t="s">
        <v>241</v>
      </c>
      <c r="K416" s="15" t="str">
        <f>VLOOKUP(J416,DADOS!$A$3:$B$105,2,FALSE)</f>
        <v>EE-GI-221-048</v>
      </c>
      <c r="L416" s="15" t="s">
        <v>401</v>
      </c>
      <c r="M416" s="18" t="b">
        <v>1</v>
      </c>
      <c r="N416" s="17" t="b">
        <v>1</v>
      </c>
      <c r="O416" s="17" t="b">
        <v>1</v>
      </c>
      <c r="P416" s="17" t="b">
        <v>1</v>
      </c>
      <c r="Q416" s="17" t="b">
        <v>1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 t="s">
        <v>1467</v>
      </c>
      <c r="X416" s="12" t="s">
        <v>14</v>
      </c>
      <c r="Y416" s="12" t="s">
        <v>14</v>
      </c>
      <c r="Z416" s="13" t="s">
        <v>280</v>
      </c>
    </row>
    <row r="417" spans="1:26" ht="19.899999999999999" customHeight="1" x14ac:dyDescent="0.25">
      <c r="A417" s="6">
        <v>45985</v>
      </c>
      <c r="B417" s="7" t="s">
        <v>841</v>
      </c>
      <c r="C417" s="8" t="s">
        <v>918</v>
      </c>
      <c r="D417" s="8" t="s">
        <v>352</v>
      </c>
      <c r="E417" s="8" t="s">
        <v>1440</v>
      </c>
      <c r="F417" s="9" t="s">
        <v>922</v>
      </c>
      <c r="G417" s="9" t="s">
        <v>920</v>
      </c>
      <c r="H417" s="34"/>
      <c r="I417" s="9" t="s">
        <v>66</v>
      </c>
      <c r="J417" s="10" t="s">
        <v>235</v>
      </c>
      <c r="K417" s="15" t="str">
        <f>VLOOKUP(J417,DADOS!$A$3:$B$105,2,FALSE)</f>
        <v>EE-GI-221-035</v>
      </c>
      <c r="L417" s="15" t="s">
        <v>401</v>
      </c>
      <c r="M417" s="18" t="b">
        <v>1</v>
      </c>
      <c r="N417" s="17" t="b">
        <v>1</v>
      </c>
      <c r="O417" s="17" t="b">
        <v>1</v>
      </c>
      <c r="P417" s="17" t="b">
        <v>1</v>
      </c>
      <c r="Q417" s="17" t="b">
        <v>1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 t="s">
        <v>352</v>
      </c>
      <c r="X417" s="12" t="s">
        <v>14</v>
      </c>
      <c r="Y417" s="12" t="s">
        <v>14</v>
      </c>
      <c r="Z417" s="13" t="s">
        <v>280</v>
      </c>
    </row>
    <row r="418" spans="1:26" ht="19.899999999999999" customHeight="1" x14ac:dyDescent="0.25">
      <c r="A418" s="6">
        <v>45985</v>
      </c>
      <c r="B418" s="7" t="s">
        <v>272</v>
      </c>
      <c r="C418" s="8" t="s">
        <v>1216</v>
      </c>
      <c r="D418" s="8" t="s">
        <v>352</v>
      </c>
      <c r="E418" s="8" t="s">
        <v>2064</v>
      </c>
      <c r="F418" s="9" t="s">
        <v>1814</v>
      </c>
      <c r="G418" s="9" t="s">
        <v>1219</v>
      </c>
      <c r="H418" s="9" t="s">
        <v>2065</v>
      </c>
      <c r="I418" s="9" t="s">
        <v>64</v>
      </c>
      <c r="J418" s="10" t="s">
        <v>186</v>
      </c>
      <c r="K418" s="15" t="str">
        <f>VLOOKUP(J418,DADOS!$A$3:$B$105,2,FALSE)</f>
        <v>EE-GI-001-008</v>
      </c>
      <c r="L418" s="15" t="s">
        <v>332</v>
      </c>
      <c r="M418" s="18" t="b">
        <v>1</v>
      </c>
      <c r="N418" s="17" t="b">
        <v>1</v>
      </c>
      <c r="O418" s="17" t="b">
        <v>1</v>
      </c>
      <c r="P418" s="17" t="b">
        <v>1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 t="s">
        <v>352</v>
      </c>
      <c r="X418" s="12" t="s">
        <v>14</v>
      </c>
      <c r="Y418" s="12" t="s">
        <v>14</v>
      </c>
      <c r="Z418" s="13" t="s">
        <v>280</v>
      </c>
    </row>
    <row r="419" spans="1:26" ht="19.899999999999999" customHeight="1" x14ac:dyDescent="0.25">
      <c r="A419" s="6">
        <v>45986</v>
      </c>
      <c r="B419" s="7" t="s">
        <v>511</v>
      </c>
      <c r="C419" s="8" t="s">
        <v>1859</v>
      </c>
      <c r="D419" s="8" t="s">
        <v>265</v>
      </c>
      <c r="E419" s="8" t="s">
        <v>1860</v>
      </c>
      <c r="F419" s="9" t="s">
        <v>1861</v>
      </c>
      <c r="G419" s="9" t="s">
        <v>515</v>
      </c>
      <c r="H419" s="9" t="s">
        <v>1862</v>
      </c>
      <c r="I419" s="9" t="s">
        <v>68</v>
      </c>
      <c r="J419" s="10" t="s">
        <v>15</v>
      </c>
      <c r="K419" s="15" t="str">
        <f>VLOOKUP(J419,DADOS!$A$3:$B$105,2,FALSE)</f>
        <v>EE-GI-001-002</v>
      </c>
      <c r="L419" s="15" t="s">
        <v>332</v>
      </c>
      <c r="M419" s="18" t="b">
        <v>1</v>
      </c>
      <c r="N419" s="17" t="b">
        <v>1</v>
      </c>
      <c r="O419" s="17" t="b">
        <v>1</v>
      </c>
      <c r="P419" s="17" t="b">
        <v>1</v>
      </c>
      <c r="Q419" s="17" t="b">
        <v>0</v>
      </c>
      <c r="R419" s="17" t="b">
        <v>1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 t="s">
        <v>265</v>
      </c>
      <c r="X419" s="12" t="s">
        <v>14</v>
      </c>
      <c r="Y419" s="12" t="s">
        <v>14</v>
      </c>
      <c r="Z419" s="13" t="s">
        <v>280</v>
      </c>
    </row>
    <row r="420" spans="1:26" ht="19.899999999999999" customHeight="1" x14ac:dyDescent="0.25">
      <c r="A420" s="6">
        <v>45986</v>
      </c>
      <c r="B420" s="7" t="s">
        <v>511</v>
      </c>
      <c r="C420" s="8" t="s">
        <v>1859</v>
      </c>
      <c r="D420" s="8" t="s">
        <v>776</v>
      </c>
      <c r="E420" s="8" t="s">
        <v>1866</v>
      </c>
      <c r="F420" s="9" t="s">
        <v>1865</v>
      </c>
      <c r="G420" s="9" t="s">
        <v>1864</v>
      </c>
      <c r="H420" s="9" t="s">
        <v>1863</v>
      </c>
      <c r="I420" s="9" t="s">
        <v>68</v>
      </c>
      <c r="J420" s="10" t="s">
        <v>15</v>
      </c>
      <c r="K420" s="15" t="str">
        <f>VLOOKUP(J420,DADOS!$A$3:$B$105,2,FALSE)</f>
        <v>EE-GI-001-002</v>
      </c>
      <c r="L420" s="15" t="s">
        <v>332</v>
      </c>
      <c r="M420" s="18" t="b">
        <v>1</v>
      </c>
      <c r="N420" s="17" t="b">
        <v>1</v>
      </c>
      <c r="O420" s="17" t="b">
        <v>1</v>
      </c>
      <c r="P420" s="17" t="b">
        <v>1</v>
      </c>
      <c r="Q420" s="17" t="b">
        <v>0</v>
      </c>
      <c r="R420" s="17" t="b">
        <v>1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 t="s">
        <v>776</v>
      </c>
      <c r="X420" s="12" t="s">
        <v>14</v>
      </c>
      <c r="Y420" s="12" t="s">
        <v>14</v>
      </c>
      <c r="Z420" s="13" t="s">
        <v>280</v>
      </c>
    </row>
    <row r="421" spans="1:26" ht="19.899999999999999" customHeight="1" x14ac:dyDescent="0.25">
      <c r="A421" s="6">
        <v>45986</v>
      </c>
      <c r="B421" s="7" t="s">
        <v>511</v>
      </c>
      <c r="C421" s="8" t="s">
        <v>2069</v>
      </c>
      <c r="D421" s="8" t="s">
        <v>352</v>
      </c>
      <c r="E421" s="8" t="s">
        <v>2070</v>
      </c>
      <c r="F421" s="9" t="s">
        <v>2071</v>
      </c>
      <c r="G421" s="9" t="s">
        <v>1864</v>
      </c>
      <c r="H421" s="9" t="s">
        <v>2072</v>
      </c>
      <c r="I421" s="9" t="s">
        <v>93</v>
      </c>
      <c r="J421" s="10" t="s">
        <v>15</v>
      </c>
      <c r="K421" s="15" t="str">
        <f>VLOOKUP(J421,DADOS!$A$3:$B$105,2,FALSE)</f>
        <v>EE-GI-001-002</v>
      </c>
      <c r="L421" s="15" t="s">
        <v>332</v>
      </c>
      <c r="M421" s="18" t="b">
        <v>1</v>
      </c>
      <c r="N421" s="17" t="b">
        <v>1</v>
      </c>
      <c r="O421" s="17" t="b">
        <v>1</v>
      </c>
      <c r="P421" s="17" t="b">
        <v>1</v>
      </c>
      <c r="Q421" s="17" t="b">
        <v>0</v>
      </c>
      <c r="R421" s="17" t="b">
        <v>1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 t="s">
        <v>352</v>
      </c>
      <c r="X421" s="12" t="s">
        <v>14</v>
      </c>
      <c r="Y421" s="12" t="s">
        <v>14</v>
      </c>
      <c r="Z421" s="13" t="s">
        <v>280</v>
      </c>
    </row>
    <row r="422" spans="1:26" ht="19.899999999999999" customHeight="1" x14ac:dyDescent="0.25">
      <c r="A422" s="6">
        <v>45986</v>
      </c>
      <c r="B422" s="7" t="s">
        <v>394</v>
      </c>
      <c r="C422" s="8" t="s">
        <v>859</v>
      </c>
      <c r="D422" s="8" t="s">
        <v>1487</v>
      </c>
      <c r="E422" s="8" t="s">
        <v>1488</v>
      </c>
      <c r="F422" s="9" t="s">
        <v>1489</v>
      </c>
      <c r="G422" s="9" t="s">
        <v>1491</v>
      </c>
      <c r="H422" s="9" t="s">
        <v>1725</v>
      </c>
      <c r="I422" s="9" t="s">
        <v>66</v>
      </c>
      <c r="J422" s="10" t="s">
        <v>241</v>
      </c>
      <c r="K422" s="15" t="str">
        <f>VLOOKUP(J422,DADOS!$A$3:$B$105,2,FALSE)</f>
        <v>EE-GI-221-048</v>
      </c>
      <c r="L422" s="15" t="s">
        <v>401</v>
      </c>
      <c r="M422" s="18" t="b">
        <v>1</v>
      </c>
      <c r="N422" s="17" t="b">
        <v>1</v>
      </c>
      <c r="O422" s="17" t="b">
        <v>1</v>
      </c>
      <c r="P422" s="17" t="b">
        <v>1</v>
      </c>
      <c r="Q422" s="17" t="b">
        <v>1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 t="s">
        <v>1487</v>
      </c>
      <c r="X422" s="12" t="s">
        <v>14</v>
      </c>
      <c r="Y422" s="12" t="s">
        <v>14</v>
      </c>
      <c r="Z422" s="13" t="s">
        <v>280</v>
      </c>
    </row>
    <row r="423" spans="1:26" ht="19.899999999999999" customHeight="1" x14ac:dyDescent="0.25">
      <c r="A423" s="6">
        <v>45986</v>
      </c>
      <c r="B423" s="7" t="s">
        <v>394</v>
      </c>
      <c r="C423" s="8" t="s">
        <v>859</v>
      </c>
      <c r="D423" s="8" t="s">
        <v>1487</v>
      </c>
      <c r="E423" s="8" t="s">
        <v>1488</v>
      </c>
      <c r="F423" s="9" t="s">
        <v>1490</v>
      </c>
      <c r="G423" s="9" t="s">
        <v>1492</v>
      </c>
      <c r="H423" s="9" t="s">
        <v>1725</v>
      </c>
      <c r="I423" s="9" t="s">
        <v>66</v>
      </c>
      <c r="J423" s="10" t="s">
        <v>241</v>
      </c>
      <c r="K423" s="15" t="str">
        <f>VLOOKUP(J423,DADOS!$A$3:$B$105,2,FALSE)</f>
        <v>EE-GI-221-048</v>
      </c>
      <c r="L423" s="15" t="s">
        <v>401</v>
      </c>
      <c r="M423" s="18" t="b">
        <v>1</v>
      </c>
      <c r="N423" s="17" t="b">
        <v>1</v>
      </c>
      <c r="O423" s="17" t="b">
        <v>1</v>
      </c>
      <c r="P423" s="17" t="b">
        <v>1</v>
      </c>
      <c r="Q423" s="17" t="b">
        <v>1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 t="s">
        <v>1487</v>
      </c>
      <c r="X423" s="12" t="s">
        <v>14</v>
      </c>
      <c r="Y423" s="12" t="s">
        <v>14</v>
      </c>
      <c r="Z423" s="13" t="s">
        <v>280</v>
      </c>
    </row>
    <row r="424" spans="1:26" ht="19.899999999999999" customHeight="1" x14ac:dyDescent="0.25">
      <c r="A424" s="6">
        <v>45986</v>
      </c>
      <c r="B424" s="7" t="s">
        <v>394</v>
      </c>
      <c r="C424" s="8" t="s">
        <v>703</v>
      </c>
      <c r="D424" s="8" t="s">
        <v>298</v>
      </c>
      <c r="E424" s="8" t="s">
        <v>1488</v>
      </c>
      <c r="F424" s="9" t="s">
        <v>706</v>
      </c>
      <c r="G424" s="9" t="s">
        <v>1493</v>
      </c>
      <c r="H424" s="9" t="s">
        <v>1724</v>
      </c>
      <c r="I424" s="9" t="s">
        <v>66</v>
      </c>
      <c r="J424" s="10" t="s">
        <v>19</v>
      </c>
      <c r="K424" s="15" t="str">
        <f>VLOOKUP(J424,DADOS!$A$3:$B$105,2,FALSE)</f>
        <v>EE-GI-221-033</v>
      </c>
      <c r="L424" s="15" t="s">
        <v>401</v>
      </c>
      <c r="M424" s="18" t="b">
        <v>1</v>
      </c>
      <c r="N424" s="17" t="b">
        <v>1</v>
      </c>
      <c r="O424" s="17" t="b">
        <v>1</v>
      </c>
      <c r="P424" s="17" t="b">
        <v>1</v>
      </c>
      <c r="Q424" s="17" t="b">
        <v>1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 t="s">
        <v>298</v>
      </c>
      <c r="X424" s="12" t="s">
        <v>14</v>
      </c>
      <c r="Y424" s="12" t="s">
        <v>14</v>
      </c>
      <c r="Z424" s="13" t="s">
        <v>280</v>
      </c>
    </row>
    <row r="425" spans="1:26" ht="19.899999999999999" customHeight="1" x14ac:dyDescent="0.25">
      <c r="A425" s="6">
        <v>45986</v>
      </c>
      <c r="B425" s="7" t="s">
        <v>394</v>
      </c>
      <c r="C425" s="8" t="s">
        <v>1494</v>
      </c>
      <c r="D425" s="8" t="s">
        <v>711</v>
      </c>
      <c r="E425" s="8" t="s">
        <v>1488</v>
      </c>
      <c r="F425" s="9" t="s">
        <v>1495</v>
      </c>
      <c r="G425" s="9" t="s">
        <v>1496</v>
      </c>
      <c r="H425" s="9" t="s">
        <v>1722</v>
      </c>
      <c r="I425" s="9" t="s">
        <v>66</v>
      </c>
      <c r="J425" s="10" t="s">
        <v>241</v>
      </c>
      <c r="K425" s="15" t="str">
        <f>VLOOKUP(J425,DADOS!$A$3:$B$105,2,FALSE)</f>
        <v>EE-GI-221-048</v>
      </c>
      <c r="L425" s="15" t="s">
        <v>401</v>
      </c>
      <c r="M425" s="18" t="b">
        <v>1</v>
      </c>
      <c r="N425" s="17" t="b">
        <v>1</v>
      </c>
      <c r="O425" s="17" t="b">
        <v>1</v>
      </c>
      <c r="P425" s="17" t="b">
        <v>1</v>
      </c>
      <c r="Q425" s="17" t="b">
        <v>1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 t="s">
        <v>711</v>
      </c>
      <c r="X425" s="12" t="s">
        <v>14</v>
      </c>
      <c r="Y425" s="12" t="s">
        <v>14</v>
      </c>
      <c r="Z425" s="13" t="s">
        <v>280</v>
      </c>
    </row>
    <row r="426" spans="1:26" ht="19.899999999999999" customHeight="1" x14ac:dyDescent="0.25">
      <c r="A426" s="6">
        <v>45986</v>
      </c>
      <c r="B426" s="7" t="s">
        <v>394</v>
      </c>
      <c r="C426" s="8" t="s">
        <v>1494</v>
      </c>
      <c r="D426" s="8" t="s">
        <v>265</v>
      </c>
      <c r="E426" s="8" t="s">
        <v>1488</v>
      </c>
      <c r="F426" s="9" t="s">
        <v>1497</v>
      </c>
      <c r="G426" s="9" t="s">
        <v>1496</v>
      </c>
      <c r="H426" s="9" t="s">
        <v>1722</v>
      </c>
      <c r="I426" s="9" t="s">
        <v>66</v>
      </c>
      <c r="J426" s="10" t="s">
        <v>241</v>
      </c>
      <c r="K426" s="15" t="str">
        <f>VLOOKUP(J426,DADOS!$A$3:$B$105,2,FALSE)</f>
        <v>EE-GI-221-048</v>
      </c>
      <c r="L426" s="15" t="s">
        <v>401</v>
      </c>
      <c r="M426" s="18" t="b">
        <v>1</v>
      </c>
      <c r="N426" s="17" t="b">
        <v>1</v>
      </c>
      <c r="O426" s="17" t="b">
        <v>1</v>
      </c>
      <c r="P426" s="17" t="b">
        <v>1</v>
      </c>
      <c r="Q426" s="17" t="b">
        <v>1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 t="s">
        <v>265</v>
      </c>
      <c r="X426" s="12" t="s">
        <v>14</v>
      </c>
      <c r="Y426" s="12" t="s">
        <v>14</v>
      </c>
      <c r="Z426" s="13" t="s">
        <v>280</v>
      </c>
    </row>
    <row r="427" spans="1:26" ht="19.899999999999999" customHeight="1" x14ac:dyDescent="0.25">
      <c r="A427" s="6">
        <v>45986</v>
      </c>
      <c r="B427" s="7" t="s">
        <v>394</v>
      </c>
      <c r="C427" s="8" t="s">
        <v>1498</v>
      </c>
      <c r="D427" s="8" t="s">
        <v>298</v>
      </c>
      <c r="E427" s="8" t="s">
        <v>1488</v>
      </c>
      <c r="F427" s="9" t="s">
        <v>1499</v>
      </c>
      <c r="G427" s="9" t="s">
        <v>1500</v>
      </c>
      <c r="H427" s="9" t="s">
        <v>1727</v>
      </c>
      <c r="I427" s="9" t="s">
        <v>66</v>
      </c>
      <c r="J427" s="10" t="s">
        <v>60</v>
      </c>
      <c r="K427" s="15" t="str">
        <f>VLOOKUP(J427,DADOS!$A$3:$B$105,2,FALSE)</f>
        <v>EE-GI-221-038</v>
      </c>
      <c r="L427" s="15" t="s">
        <v>401</v>
      </c>
      <c r="M427" s="18" t="b">
        <v>1</v>
      </c>
      <c r="N427" s="17" t="b">
        <v>1</v>
      </c>
      <c r="O427" s="17" t="b">
        <v>1</v>
      </c>
      <c r="P427" s="17" t="b">
        <v>1</v>
      </c>
      <c r="Q427" s="17" t="b">
        <v>1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0</v>
      </c>
      <c r="W427" s="11" t="s">
        <v>298</v>
      </c>
      <c r="X427" s="12" t="s">
        <v>14</v>
      </c>
      <c r="Y427" s="12" t="s">
        <v>14</v>
      </c>
      <c r="Z427" s="13" t="s">
        <v>280</v>
      </c>
    </row>
    <row r="428" spans="1:26" ht="19.899999999999999" customHeight="1" x14ac:dyDescent="0.25">
      <c r="A428" s="6">
        <v>45986</v>
      </c>
      <c r="B428" s="7" t="s">
        <v>394</v>
      </c>
      <c r="C428" s="8" t="s">
        <v>1501</v>
      </c>
      <c r="D428" s="8" t="s">
        <v>290</v>
      </c>
      <c r="E428" s="8" t="s">
        <v>1488</v>
      </c>
      <c r="F428" s="9" t="s">
        <v>1502</v>
      </c>
      <c r="G428" s="9" t="s">
        <v>1503</v>
      </c>
      <c r="H428" s="9" t="s">
        <v>1723</v>
      </c>
      <c r="I428" s="9" t="s">
        <v>66</v>
      </c>
      <c r="J428" s="10" t="s">
        <v>233</v>
      </c>
      <c r="K428" s="15" t="str">
        <f>VLOOKUP(J428,DADOS!$A$3:$B$105,2,FALSE)</f>
        <v>EE-GI-221-031</v>
      </c>
      <c r="L428" s="15" t="s">
        <v>401</v>
      </c>
      <c r="M428" s="18" t="b">
        <v>1</v>
      </c>
      <c r="N428" s="17" t="b">
        <v>1</v>
      </c>
      <c r="O428" s="17" t="b">
        <v>1</v>
      </c>
      <c r="P428" s="17" t="b">
        <v>1</v>
      </c>
      <c r="Q428" s="17" t="b">
        <v>1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 t="s">
        <v>290</v>
      </c>
      <c r="X428" s="12" t="s">
        <v>14</v>
      </c>
      <c r="Y428" s="12" t="s">
        <v>14</v>
      </c>
      <c r="Z428" s="13" t="s">
        <v>280</v>
      </c>
    </row>
    <row r="429" spans="1:26" ht="19.899999999999999" customHeight="1" x14ac:dyDescent="0.25">
      <c r="A429" s="6">
        <v>45986</v>
      </c>
      <c r="B429" s="7" t="s">
        <v>394</v>
      </c>
      <c r="C429" s="8" t="s">
        <v>1501</v>
      </c>
      <c r="D429" s="8" t="s">
        <v>634</v>
      </c>
      <c r="E429" s="8" t="s">
        <v>1488</v>
      </c>
      <c r="F429" s="9" t="s">
        <v>1504</v>
      </c>
      <c r="G429" s="9" t="s">
        <v>1503</v>
      </c>
      <c r="H429" s="9" t="s">
        <v>1723</v>
      </c>
      <c r="I429" s="9" t="s">
        <v>66</v>
      </c>
      <c r="J429" s="10" t="s">
        <v>233</v>
      </c>
      <c r="K429" s="15" t="str">
        <f>VLOOKUP(J429,DADOS!$A$3:$B$105,2,FALSE)</f>
        <v>EE-GI-221-031</v>
      </c>
      <c r="L429" s="15" t="s">
        <v>401</v>
      </c>
      <c r="M429" s="18" t="b">
        <v>1</v>
      </c>
      <c r="N429" s="17" t="b">
        <v>1</v>
      </c>
      <c r="O429" s="17" t="b">
        <v>1</v>
      </c>
      <c r="P429" s="17" t="b">
        <v>1</v>
      </c>
      <c r="Q429" s="17" t="b">
        <v>1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 t="s">
        <v>634</v>
      </c>
      <c r="X429" s="12" t="s">
        <v>14</v>
      </c>
      <c r="Y429" s="12" t="s">
        <v>14</v>
      </c>
      <c r="Z429" s="13" t="s">
        <v>280</v>
      </c>
    </row>
    <row r="430" spans="1:26" ht="19.899999999999999" customHeight="1" x14ac:dyDescent="0.25">
      <c r="A430" s="6">
        <v>45986</v>
      </c>
      <c r="B430" s="7" t="s">
        <v>394</v>
      </c>
      <c r="C430" s="8" t="s">
        <v>1501</v>
      </c>
      <c r="D430" s="8" t="s">
        <v>309</v>
      </c>
      <c r="E430" s="8" t="s">
        <v>1488</v>
      </c>
      <c r="F430" s="9" t="s">
        <v>1505</v>
      </c>
      <c r="G430" s="9" t="s">
        <v>1503</v>
      </c>
      <c r="H430" s="9" t="s">
        <v>1723</v>
      </c>
      <c r="I430" s="9" t="s">
        <v>66</v>
      </c>
      <c r="J430" s="10" t="s">
        <v>233</v>
      </c>
      <c r="K430" s="15" t="str">
        <f>VLOOKUP(J430,DADOS!$A$3:$B$105,2,FALSE)</f>
        <v>EE-GI-221-031</v>
      </c>
      <c r="L430" s="15" t="s">
        <v>401</v>
      </c>
      <c r="M430" s="18" t="b">
        <v>1</v>
      </c>
      <c r="N430" s="17" t="b">
        <v>1</v>
      </c>
      <c r="O430" s="17" t="b">
        <v>1</v>
      </c>
      <c r="P430" s="17" t="b">
        <v>1</v>
      </c>
      <c r="Q430" s="17" t="b">
        <v>1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 t="s">
        <v>309</v>
      </c>
      <c r="X430" s="12" t="s">
        <v>14</v>
      </c>
      <c r="Y430" s="12" t="s">
        <v>14</v>
      </c>
      <c r="Z430" s="13" t="s">
        <v>280</v>
      </c>
    </row>
    <row r="431" spans="1:26" ht="19.899999999999999" customHeight="1" x14ac:dyDescent="0.25">
      <c r="A431" s="6">
        <v>45986</v>
      </c>
      <c r="B431" s="7" t="s">
        <v>394</v>
      </c>
      <c r="C431" s="8" t="s">
        <v>1506</v>
      </c>
      <c r="D431" s="8" t="s">
        <v>461</v>
      </c>
      <c r="E431" s="8" t="s">
        <v>1488</v>
      </c>
      <c r="F431" s="9" t="s">
        <v>1507</v>
      </c>
      <c r="G431" s="9" t="s">
        <v>1508</v>
      </c>
      <c r="H431" s="9" t="s">
        <v>1724</v>
      </c>
      <c r="I431" s="9" t="s">
        <v>68</v>
      </c>
      <c r="J431" s="10" t="s">
        <v>241</v>
      </c>
      <c r="K431" s="15" t="str">
        <f>VLOOKUP(J431,DADOS!$A$3:$B$105,2,FALSE)</f>
        <v>EE-GI-221-048</v>
      </c>
      <c r="L431" s="15" t="s">
        <v>401</v>
      </c>
      <c r="M431" s="18" t="b">
        <v>1</v>
      </c>
      <c r="N431" s="17" t="b">
        <v>1</v>
      </c>
      <c r="O431" s="17" t="b">
        <v>1</v>
      </c>
      <c r="P431" s="17" t="b">
        <v>1</v>
      </c>
      <c r="Q431" s="17" t="b">
        <v>1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 t="s">
        <v>461</v>
      </c>
      <c r="X431" s="12" t="s">
        <v>14</v>
      </c>
      <c r="Y431" s="12" t="s">
        <v>14</v>
      </c>
      <c r="Z431" s="13" t="s">
        <v>280</v>
      </c>
    </row>
    <row r="432" spans="1:26" ht="19.899999999999999" customHeight="1" x14ac:dyDescent="0.25">
      <c r="A432" s="6">
        <v>45986</v>
      </c>
      <c r="B432" s="7" t="s">
        <v>394</v>
      </c>
      <c r="C432" s="8" t="s">
        <v>1506</v>
      </c>
      <c r="D432" s="8" t="s">
        <v>899</v>
      </c>
      <c r="E432" s="8" t="s">
        <v>1488</v>
      </c>
      <c r="F432" s="9" t="s">
        <v>1509</v>
      </c>
      <c r="G432" s="9" t="s">
        <v>1510</v>
      </c>
      <c r="H432" s="9" t="s">
        <v>1724</v>
      </c>
      <c r="I432" s="9" t="s">
        <v>68</v>
      </c>
      <c r="J432" s="10" t="s">
        <v>241</v>
      </c>
      <c r="K432" s="15" t="str">
        <f>VLOOKUP(J432,DADOS!$A$3:$B$105,2,FALSE)</f>
        <v>EE-GI-221-048</v>
      </c>
      <c r="L432" s="15" t="s">
        <v>401</v>
      </c>
      <c r="M432" s="18" t="b">
        <v>1</v>
      </c>
      <c r="N432" s="17" t="b">
        <v>1</v>
      </c>
      <c r="O432" s="17" t="b">
        <v>1</v>
      </c>
      <c r="P432" s="17" t="b">
        <v>1</v>
      </c>
      <c r="Q432" s="17" t="b">
        <v>1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0</v>
      </c>
      <c r="W432" s="11" t="s">
        <v>899</v>
      </c>
      <c r="X432" s="12" t="s">
        <v>14</v>
      </c>
      <c r="Y432" s="12" t="s">
        <v>14</v>
      </c>
      <c r="Z432" s="13" t="s">
        <v>280</v>
      </c>
    </row>
    <row r="433" spans="1:26" ht="19.899999999999999" customHeight="1" x14ac:dyDescent="0.25">
      <c r="A433" s="6">
        <v>45986</v>
      </c>
      <c r="B433" s="7" t="s">
        <v>394</v>
      </c>
      <c r="C433" s="8" t="s">
        <v>1511</v>
      </c>
      <c r="D433" s="8" t="s">
        <v>634</v>
      </c>
      <c r="E433" s="8" t="s">
        <v>1488</v>
      </c>
      <c r="F433" s="9" t="s">
        <v>1512</v>
      </c>
      <c r="G433" s="9" t="s">
        <v>1514</v>
      </c>
      <c r="H433" s="9" t="s">
        <v>1726</v>
      </c>
      <c r="I433" s="9" t="s">
        <v>66</v>
      </c>
      <c r="J433" s="10" t="s">
        <v>241</v>
      </c>
      <c r="K433" s="15" t="str">
        <f>VLOOKUP(J433,DADOS!$A$3:$B$105,2,FALSE)</f>
        <v>EE-GI-221-048</v>
      </c>
      <c r="L433" s="15" t="s">
        <v>401</v>
      </c>
      <c r="M433" s="18" t="b">
        <v>1</v>
      </c>
      <c r="N433" s="17" t="b">
        <v>1</v>
      </c>
      <c r="O433" s="17" t="b">
        <v>1</v>
      </c>
      <c r="P433" s="17" t="b">
        <v>1</v>
      </c>
      <c r="Q433" s="17" t="b">
        <v>1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 t="s">
        <v>634</v>
      </c>
      <c r="X433" s="12" t="s">
        <v>14</v>
      </c>
      <c r="Y433" s="12" t="s">
        <v>14</v>
      </c>
      <c r="Z433" s="13" t="s">
        <v>280</v>
      </c>
    </row>
    <row r="434" spans="1:26" ht="19.899999999999999" customHeight="1" x14ac:dyDescent="0.25">
      <c r="A434" s="6">
        <v>45986</v>
      </c>
      <c r="B434" s="7" t="s">
        <v>394</v>
      </c>
      <c r="C434" s="8" t="s">
        <v>1511</v>
      </c>
      <c r="D434" s="8" t="s">
        <v>634</v>
      </c>
      <c r="E434" s="8" t="s">
        <v>1488</v>
      </c>
      <c r="F434" s="9" t="s">
        <v>1513</v>
      </c>
      <c r="G434" s="9" t="s">
        <v>1514</v>
      </c>
      <c r="H434" s="9" t="s">
        <v>1726</v>
      </c>
      <c r="I434" s="9" t="s">
        <v>66</v>
      </c>
      <c r="J434" s="10" t="s">
        <v>241</v>
      </c>
      <c r="K434" s="15" t="str">
        <f>VLOOKUP(J434,DADOS!$A$3:$B$105,2,FALSE)</f>
        <v>EE-GI-221-048</v>
      </c>
      <c r="L434" s="15" t="s">
        <v>401</v>
      </c>
      <c r="M434" s="18" t="b">
        <v>1</v>
      </c>
      <c r="N434" s="17" t="b">
        <v>1</v>
      </c>
      <c r="O434" s="17" t="b">
        <v>1</v>
      </c>
      <c r="P434" s="17" t="b">
        <v>1</v>
      </c>
      <c r="Q434" s="17" t="b">
        <v>1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 t="s">
        <v>634</v>
      </c>
      <c r="X434" s="12" t="s">
        <v>14</v>
      </c>
      <c r="Y434" s="12" t="s">
        <v>14</v>
      </c>
      <c r="Z434" s="13" t="s">
        <v>280</v>
      </c>
    </row>
    <row r="435" spans="1:26" ht="19.899999999999999" customHeight="1" x14ac:dyDescent="0.25">
      <c r="A435" s="6">
        <v>45986</v>
      </c>
      <c r="B435" s="7" t="s">
        <v>394</v>
      </c>
      <c r="C435" s="8" t="s">
        <v>924</v>
      </c>
      <c r="D435" s="8" t="s">
        <v>1467</v>
      </c>
      <c r="E435" s="8" t="s">
        <v>1488</v>
      </c>
      <c r="F435" s="9" t="s">
        <v>1515</v>
      </c>
      <c r="G435" s="9" t="s">
        <v>1516</v>
      </c>
      <c r="H435" s="9" t="s">
        <v>1721</v>
      </c>
      <c r="I435" s="9" t="s">
        <v>66</v>
      </c>
      <c r="J435" s="10" t="s">
        <v>233</v>
      </c>
      <c r="K435" s="15" t="str">
        <f>VLOOKUP(J435,DADOS!$A$3:$B$105,2,FALSE)</f>
        <v>EE-GI-221-031</v>
      </c>
      <c r="L435" s="15" t="s">
        <v>401</v>
      </c>
      <c r="M435" s="18" t="b">
        <v>1</v>
      </c>
      <c r="N435" s="17" t="b">
        <v>1</v>
      </c>
      <c r="O435" s="17" t="b">
        <v>1</v>
      </c>
      <c r="P435" s="17" t="b">
        <v>1</v>
      </c>
      <c r="Q435" s="17" t="b">
        <v>1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 t="s">
        <v>1467</v>
      </c>
      <c r="X435" s="12" t="s">
        <v>14</v>
      </c>
      <c r="Y435" s="12" t="s">
        <v>14</v>
      </c>
      <c r="Z435" s="13" t="s">
        <v>280</v>
      </c>
    </row>
    <row r="436" spans="1:26" ht="19.899999999999999" customHeight="1" x14ac:dyDescent="0.25">
      <c r="A436" s="6">
        <v>45986</v>
      </c>
      <c r="B436" s="7" t="s">
        <v>394</v>
      </c>
      <c r="C436" s="8" t="s">
        <v>1438</v>
      </c>
      <c r="D436" s="8" t="s">
        <v>1517</v>
      </c>
      <c r="E436" s="8" t="s">
        <v>1488</v>
      </c>
      <c r="F436" s="9" t="s">
        <v>1518</v>
      </c>
      <c r="G436" s="9" t="s">
        <v>1519</v>
      </c>
      <c r="H436" s="9" t="s">
        <v>1719</v>
      </c>
      <c r="I436" s="9" t="s">
        <v>66</v>
      </c>
      <c r="J436" s="10" t="s">
        <v>233</v>
      </c>
      <c r="K436" s="15" t="str">
        <f>VLOOKUP(J436,DADOS!$A$3:$B$105,2,FALSE)</f>
        <v>EE-GI-221-031</v>
      </c>
      <c r="L436" s="15" t="s">
        <v>401</v>
      </c>
      <c r="M436" s="18" t="b">
        <v>1</v>
      </c>
      <c r="N436" s="17" t="b">
        <v>1</v>
      </c>
      <c r="O436" s="17" t="b">
        <v>1</v>
      </c>
      <c r="P436" s="17" t="b">
        <v>1</v>
      </c>
      <c r="Q436" s="17" t="b">
        <v>1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 t="s">
        <v>1517</v>
      </c>
      <c r="X436" s="12" t="s">
        <v>14</v>
      </c>
      <c r="Y436" s="12" t="s">
        <v>14</v>
      </c>
      <c r="Z436" s="13" t="s">
        <v>280</v>
      </c>
    </row>
    <row r="437" spans="1:26" ht="19.899999999999999" customHeight="1" x14ac:dyDescent="0.25">
      <c r="A437" s="6">
        <v>45986</v>
      </c>
      <c r="B437" s="7" t="s">
        <v>394</v>
      </c>
      <c r="C437" s="8" t="s">
        <v>1520</v>
      </c>
      <c r="D437" s="8" t="s">
        <v>760</v>
      </c>
      <c r="E437" s="8" t="s">
        <v>1488</v>
      </c>
      <c r="F437" s="9" t="s">
        <v>1521</v>
      </c>
      <c r="G437" s="9" t="s">
        <v>1523</v>
      </c>
      <c r="H437" s="9" t="s">
        <v>1720</v>
      </c>
      <c r="I437" s="9" t="s">
        <v>66</v>
      </c>
      <c r="J437" s="10" t="s">
        <v>241</v>
      </c>
      <c r="K437" s="15" t="str">
        <f>VLOOKUP(J437,DADOS!$A$3:$B$105,2,FALSE)</f>
        <v>EE-GI-221-048</v>
      </c>
      <c r="L437" s="15" t="s">
        <v>401</v>
      </c>
      <c r="M437" s="18" t="b">
        <v>1</v>
      </c>
      <c r="N437" s="17" t="b">
        <v>1</v>
      </c>
      <c r="O437" s="17" t="b">
        <v>1</v>
      </c>
      <c r="P437" s="17" t="b">
        <v>1</v>
      </c>
      <c r="Q437" s="17" t="b">
        <v>1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 t="s">
        <v>760</v>
      </c>
      <c r="X437" s="12" t="s">
        <v>14</v>
      </c>
      <c r="Y437" s="12" t="s">
        <v>14</v>
      </c>
      <c r="Z437" s="13" t="s">
        <v>280</v>
      </c>
    </row>
    <row r="438" spans="1:26" ht="19.899999999999999" customHeight="1" x14ac:dyDescent="0.25">
      <c r="A438" s="6">
        <v>45986</v>
      </c>
      <c r="B438" s="7" t="s">
        <v>394</v>
      </c>
      <c r="C438" s="8" t="s">
        <v>1520</v>
      </c>
      <c r="D438" s="8" t="s">
        <v>265</v>
      </c>
      <c r="E438" s="8" t="s">
        <v>1488</v>
      </c>
      <c r="F438" s="9" t="s">
        <v>1522</v>
      </c>
      <c r="G438" s="9" t="s">
        <v>1523</v>
      </c>
      <c r="H438" s="9" t="s">
        <v>1720</v>
      </c>
      <c r="I438" s="9" t="s">
        <v>66</v>
      </c>
      <c r="J438" s="10" t="s">
        <v>241</v>
      </c>
      <c r="K438" s="15" t="str">
        <f>VLOOKUP(J438,DADOS!$A$3:$B$105,2,FALSE)</f>
        <v>EE-GI-221-048</v>
      </c>
      <c r="L438" s="15" t="s">
        <v>401</v>
      </c>
      <c r="M438" s="18" t="b">
        <v>1</v>
      </c>
      <c r="N438" s="17" t="b">
        <v>1</v>
      </c>
      <c r="O438" s="17" t="b">
        <v>1</v>
      </c>
      <c r="P438" s="17" t="b">
        <v>1</v>
      </c>
      <c r="Q438" s="17" t="b">
        <v>1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 t="s">
        <v>265</v>
      </c>
      <c r="X438" s="12" t="s">
        <v>14</v>
      </c>
      <c r="Y438" s="12" t="s">
        <v>14</v>
      </c>
      <c r="Z438" s="13" t="s">
        <v>280</v>
      </c>
    </row>
    <row r="439" spans="1:26" ht="19.899999999999999" customHeight="1" x14ac:dyDescent="0.25">
      <c r="A439" s="6">
        <v>45986</v>
      </c>
      <c r="B439" s="7" t="s">
        <v>471</v>
      </c>
      <c r="C439" s="8" t="s">
        <v>1528</v>
      </c>
      <c r="D439" s="8" t="s">
        <v>265</v>
      </c>
      <c r="E439" s="8" t="s">
        <v>1529</v>
      </c>
      <c r="F439" s="9" t="s">
        <v>1530</v>
      </c>
      <c r="G439" s="9" t="s">
        <v>1531</v>
      </c>
      <c r="H439" s="9" t="s">
        <v>1532</v>
      </c>
      <c r="I439" s="9" t="s">
        <v>70</v>
      </c>
      <c r="J439" s="10" t="s">
        <v>259</v>
      </c>
      <c r="K439" s="15" t="str">
        <f>VLOOKUP(J439,DADOS!$A$3:$B$105,2,FALSE)</f>
        <v>EE-GI-001-072</v>
      </c>
      <c r="L439" s="15" t="s">
        <v>278</v>
      </c>
      <c r="M439" s="18" t="b">
        <v>1</v>
      </c>
      <c r="N439" s="17" t="b">
        <v>1</v>
      </c>
      <c r="O439" s="17" t="b">
        <v>1</v>
      </c>
      <c r="P439" s="17" t="b">
        <v>1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 t="s">
        <v>265</v>
      </c>
      <c r="X439" s="12" t="s">
        <v>14</v>
      </c>
      <c r="Y439" s="12" t="s">
        <v>14</v>
      </c>
      <c r="Z439" s="13" t="s">
        <v>280</v>
      </c>
    </row>
    <row r="440" spans="1:26" ht="19.899999999999999" customHeight="1" x14ac:dyDescent="0.25">
      <c r="A440" s="6">
        <v>45986</v>
      </c>
      <c r="B440" s="7" t="s">
        <v>626</v>
      </c>
      <c r="C440" s="8" t="s">
        <v>1820</v>
      </c>
      <c r="D440" s="8" t="s">
        <v>1821</v>
      </c>
      <c r="E440" s="8" t="s">
        <v>1823</v>
      </c>
      <c r="F440" s="9" t="s">
        <v>1822</v>
      </c>
      <c r="G440" s="9" t="s">
        <v>1824</v>
      </c>
      <c r="H440" s="9" t="s">
        <v>1825</v>
      </c>
      <c r="I440" s="9" t="s">
        <v>66</v>
      </c>
      <c r="J440" s="10" t="s">
        <v>174</v>
      </c>
      <c r="K440" s="15" t="str">
        <f>VLOOKUP(J440,DADOS!$A$3:$B$105,2,FALSE)</f>
        <v>EE-GI-001-007</v>
      </c>
      <c r="L440" s="15" t="s">
        <v>321</v>
      </c>
      <c r="M440" s="18" t="b">
        <v>1</v>
      </c>
      <c r="N440" s="17" t="b">
        <v>1</v>
      </c>
      <c r="O440" s="17" t="b">
        <v>1</v>
      </c>
      <c r="P440" s="17" t="b">
        <v>1</v>
      </c>
      <c r="Q440" s="17" t="b">
        <v>0</v>
      </c>
      <c r="R440" s="17" t="b">
        <v>1</v>
      </c>
      <c r="S440" s="17" t="b">
        <v>0</v>
      </c>
      <c r="T440" s="17" t="b">
        <v>0</v>
      </c>
      <c r="U440" s="17" t="b">
        <v>0</v>
      </c>
      <c r="V440" s="17" t="b">
        <v>1</v>
      </c>
      <c r="W440" s="11" t="s">
        <v>1821</v>
      </c>
      <c r="X440" s="12" t="s">
        <v>14</v>
      </c>
      <c r="Y440" s="12" t="s">
        <v>14</v>
      </c>
      <c r="Z440" s="13" t="s">
        <v>322</v>
      </c>
    </row>
    <row r="441" spans="1:26" ht="19.899999999999999" customHeight="1" x14ac:dyDescent="0.25">
      <c r="A441" s="6">
        <v>45986</v>
      </c>
      <c r="B441" s="7" t="s">
        <v>626</v>
      </c>
      <c r="C441" s="8" t="s">
        <v>1820</v>
      </c>
      <c r="D441" s="8" t="s">
        <v>843</v>
      </c>
      <c r="E441" s="8" t="s">
        <v>1823</v>
      </c>
      <c r="F441" s="9" t="s">
        <v>1826</v>
      </c>
      <c r="G441" s="9" t="s">
        <v>1824</v>
      </c>
      <c r="H441" s="9" t="s">
        <v>1825</v>
      </c>
      <c r="I441" s="9" t="s">
        <v>66</v>
      </c>
      <c r="J441" s="10" t="s">
        <v>174</v>
      </c>
      <c r="K441" s="15" t="str">
        <f>VLOOKUP(J441,DADOS!$A$3:$B$105,2,FALSE)</f>
        <v>EE-GI-001-007</v>
      </c>
      <c r="L441" s="15" t="s">
        <v>321</v>
      </c>
      <c r="M441" s="18" t="b">
        <v>1</v>
      </c>
      <c r="N441" s="17" t="b">
        <v>1</v>
      </c>
      <c r="O441" s="17" t="b">
        <v>1</v>
      </c>
      <c r="P441" s="17" t="b">
        <v>1</v>
      </c>
      <c r="Q441" s="17" t="b">
        <v>0</v>
      </c>
      <c r="R441" s="17" t="b">
        <v>1</v>
      </c>
      <c r="S441" s="17" t="b">
        <v>0</v>
      </c>
      <c r="T441" s="17" t="b">
        <v>0</v>
      </c>
      <c r="U441" s="17" t="b">
        <v>0</v>
      </c>
      <c r="V441" s="17" t="b">
        <v>1</v>
      </c>
      <c r="W441" s="11" t="s">
        <v>843</v>
      </c>
      <c r="X441" s="12" t="s">
        <v>14</v>
      </c>
      <c r="Y441" s="12" t="s">
        <v>14</v>
      </c>
      <c r="Z441" s="13" t="s">
        <v>322</v>
      </c>
    </row>
    <row r="442" spans="1:26" ht="19.899999999999999" customHeight="1" x14ac:dyDescent="0.25">
      <c r="A442" s="6">
        <v>45986</v>
      </c>
      <c r="B442" s="7" t="s">
        <v>471</v>
      </c>
      <c r="C442" s="8" t="s">
        <v>1533</v>
      </c>
      <c r="D442" s="8" t="s">
        <v>265</v>
      </c>
      <c r="E442" s="8" t="s">
        <v>1534</v>
      </c>
      <c r="F442" s="9" t="s">
        <v>1535</v>
      </c>
      <c r="G442" s="9" t="s">
        <v>1536</v>
      </c>
      <c r="H442" s="9" t="s">
        <v>1538</v>
      </c>
      <c r="I442" s="9" t="s">
        <v>70</v>
      </c>
      <c r="J442" s="10" t="s">
        <v>259</v>
      </c>
      <c r="K442" s="15" t="str">
        <f>VLOOKUP(J442,DADOS!$A$3:$B$105,2,FALSE)</f>
        <v>EE-GI-001-072</v>
      </c>
      <c r="L442" s="15" t="s">
        <v>332</v>
      </c>
      <c r="M442" s="18" t="b">
        <v>1</v>
      </c>
      <c r="N442" s="17" t="b">
        <v>1</v>
      </c>
      <c r="O442" s="17" t="b">
        <v>1</v>
      </c>
      <c r="P442" s="17" t="b">
        <v>1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 t="s">
        <v>265</v>
      </c>
      <c r="X442" s="12" t="s">
        <v>14</v>
      </c>
      <c r="Y442" s="12" t="s">
        <v>14</v>
      </c>
      <c r="Z442" s="13" t="s">
        <v>280</v>
      </c>
    </row>
    <row r="443" spans="1:26" ht="19.899999999999999" customHeight="1" x14ac:dyDescent="0.25">
      <c r="A443" s="6">
        <v>45986</v>
      </c>
      <c r="B443" s="7" t="s">
        <v>471</v>
      </c>
      <c r="C443" s="8" t="s">
        <v>1539</v>
      </c>
      <c r="D443" s="8" t="s">
        <v>265</v>
      </c>
      <c r="E443" s="8" t="s">
        <v>1534</v>
      </c>
      <c r="F443" s="9" t="s">
        <v>1540</v>
      </c>
      <c r="G443" s="9" t="s">
        <v>1537</v>
      </c>
      <c r="H443" s="9" t="s">
        <v>1538</v>
      </c>
      <c r="I443" s="9" t="s">
        <v>70</v>
      </c>
      <c r="J443" s="10" t="s">
        <v>259</v>
      </c>
      <c r="K443" s="15" t="str">
        <f>VLOOKUP(J443,DADOS!$A$3:$B$105,2,FALSE)</f>
        <v>EE-GI-001-072</v>
      </c>
      <c r="L443" s="15" t="s">
        <v>304</v>
      </c>
      <c r="M443" s="18" t="b">
        <v>1</v>
      </c>
      <c r="N443" s="17" t="b">
        <v>1</v>
      </c>
      <c r="O443" s="17" t="b">
        <v>1</v>
      </c>
      <c r="P443" s="17" t="b">
        <v>1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 t="s">
        <v>265</v>
      </c>
      <c r="X443" s="12" t="s">
        <v>14</v>
      </c>
      <c r="Y443" s="12" t="s">
        <v>14</v>
      </c>
      <c r="Z443" s="13" t="s">
        <v>280</v>
      </c>
    </row>
    <row r="444" spans="1:26" ht="19.899999999999999" customHeight="1" x14ac:dyDescent="0.25">
      <c r="A444" s="6">
        <v>45986</v>
      </c>
      <c r="B444" s="7" t="s">
        <v>459</v>
      </c>
      <c r="C444" s="8" t="s">
        <v>1541</v>
      </c>
      <c r="D444" s="8" t="s">
        <v>352</v>
      </c>
      <c r="E444" s="8" t="s">
        <v>1542</v>
      </c>
      <c r="F444" s="9" t="s">
        <v>1543</v>
      </c>
      <c r="G444" s="9" t="s">
        <v>1544</v>
      </c>
      <c r="H444" s="9" t="s">
        <v>1546</v>
      </c>
      <c r="I444" s="9" t="s">
        <v>70</v>
      </c>
      <c r="J444" s="10" t="s">
        <v>259</v>
      </c>
      <c r="K444" s="15" t="str">
        <f>VLOOKUP(J444,DADOS!$A$3:$B$105,2,FALSE)</f>
        <v>EE-GI-001-072</v>
      </c>
      <c r="L444" s="15" t="s">
        <v>332</v>
      </c>
      <c r="M444" s="18" t="b">
        <v>1</v>
      </c>
      <c r="N444" s="17" t="b">
        <v>1</v>
      </c>
      <c r="O444" s="17" t="b">
        <v>1</v>
      </c>
      <c r="P444" s="17" t="b">
        <v>1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 t="s">
        <v>352</v>
      </c>
      <c r="X444" s="12" t="s">
        <v>14</v>
      </c>
      <c r="Y444" s="12" t="s">
        <v>14</v>
      </c>
      <c r="Z444" s="13" t="s">
        <v>280</v>
      </c>
    </row>
    <row r="445" spans="1:26" ht="19.899999999999999" customHeight="1" x14ac:dyDescent="0.25">
      <c r="A445" s="6">
        <v>45986</v>
      </c>
      <c r="B445" s="7" t="s">
        <v>459</v>
      </c>
      <c r="C445" s="8" t="s">
        <v>1547</v>
      </c>
      <c r="D445" s="8" t="s">
        <v>352</v>
      </c>
      <c r="E445" s="8" t="s">
        <v>886</v>
      </c>
      <c r="F445" s="9" t="s">
        <v>1548</v>
      </c>
      <c r="G445" s="9" t="s">
        <v>1545</v>
      </c>
      <c r="H445" s="9" t="s">
        <v>1549</v>
      </c>
      <c r="I445" s="9" t="s">
        <v>70</v>
      </c>
      <c r="J445" s="10" t="s">
        <v>259</v>
      </c>
      <c r="K445" s="15" t="str">
        <f>VLOOKUP(J445,DADOS!$A$3:$B$105,2,FALSE)</f>
        <v>EE-GI-001-072</v>
      </c>
      <c r="L445" s="15" t="s">
        <v>304</v>
      </c>
      <c r="M445" s="18" t="b">
        <v>1</v>
      </c>
      <c r="N445" s="17" t="b">
        <v>1</v>
      </c>
      <c r="O445" s="17" t="b">
        <v>1</v>
      </c>
      <c r="P445" s="17" t="b">
        <v>1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 t="s">
        <v>352</v>
      </c>
      <c r="X445" s="12" t="s">
        <v>14</v>
      </c>
      <c r="Y445" s="12" t="s">
        <v>14</v>
      </c>
      <c r="Z445" s="13" t="s">
        <v>280</v>
      </c>
    </row>
    <row r="446" spans="1:26" ht="19.899999999999999" customHeight="1" x14ac:dyDescent="0.25">
      <c r="A446" s="6">
        <v>45986</v>
      </c>
      <c r="B446" s="7" t="s">
        <v>428</v>
      </c>
      <c r="C446" s="8" t="s">
        <v>1554</v>
      </c>
      <c r="D446" s="8" t="s">
        <v>352</v>
      </c>
      <c r="E446" s="8" t="s">
        <v>1550</v>
      </c>
      <c r="F446" s="9" t="s">
        <v>1551</v>
      </c>
      <c r="G446" s="9" t="s">
        <v>1552</v>
      </c>
      <c r="H446" s="9" t="s">
        <v>1553</v>
      </c>
      <c r="I446" s="9" t="s">
        <v>14</v>
      </c>
      <c r="J446" s="10" t="s">
        <v>255</v>
      </c>
      <c r="K446" s="15" t="str">
        <f>VLOOKUP(J446,DADOS!$A$3:$B$105,2,FALSE)</f>
        <v>EE-GI-001-074</v>
      </c>
      <c r="L446" s="15" t="s">
        <v>278</v>
      </c>
      <c r="M446" s="18" t="b">
        <v>1</v>
      </c>
      <c r="N446" s="17" t="b">
        <v>1</v>
      </c>
      <c r="O446" s="17" t="b">
        <v>1</v>
      </c>
      <c r="P446" s="17" t="b">
        <v>1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 t="s">
        <v>352</v>
      </c>
      <c r="X446" s="12" t="s">
        <v>14</v>
      </c>
      <c r="Y446" s="12" t="s">
        <v>14</v>
      </c>
      <c r="Z446" s="13" t="s">
        <v>280</v>
      </c>
    </row>
    <row r="447" spans="1:26" ht="19.899999999999999" customHeight="1" x14ac:dyDescent="0.25">
      <c r="A447" s="6">
        <v>45986</v>
      </c>
      <c r="B447" s="7" t="s">
        <v>428</v>
      </c>
      <c r="C447" s="8" t="s">
        <v>1555</v>
      </c>
      <c r="D447" s="8" t="s">
        <v>518</v>
      </c>
      <c r="E447" s="8" t="s">
        <v>1556</v>
      </c>
      <c r="F447" s="9" t="s">
        <v>1557</v>
      </c>
      <c r="G447" s="9" t="s">
        <v>1559</v>
      </c>
      <c r="H447" s="9" t="s">
        <v>1558</v>
      </c>
      <c r="I447" s="9" t="s">
        <v>65</v>
      </c>
      <c r="J447" s="10" t="s">
        <v>258</v>
      </c>
      <c r="K447" s="15" t="str">
        <f>VLOOKUP(J447,DADOS!$A$3:$B$105,2,FALSE)</f>
        <v>EE-GI-001-071</v>
      </c>
      <c r="L447" s="15" t="s">
        <v>278</v>
      </c>
      <c r="M447" s="18" t="b">
        <v>1</v>
      </c>
      <c r="N447" s="17" t="b">
        <v>1</v>
      </c>
      <c r="O447" s="17" t="b">
        <v>1</v>
      </c>
      <c r="P447" s="17" t="b">
        <v>1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 t="s">
        <v>518</v>
      </c>
      <c r="X447" s="12" t="s">
        <v>14</v>
      </c>
      <c r="Y447" s="12" t="s">
        <v>14</v>
      </c>
      <c r="Z447" s="13" t="s">
        <v>280</v>
      </c>
    </row>
    <row r="448" spans="1:26" ht="19.899999999999999" customHeight="1" x14ac:dyDescent="0.25">
      <c r="A448" s="6">
        <v>45986</v>
      </c>
      <c r="B448" s="7" t="s">
        <v>428</v>
      </c>
      <c r="C448" s="8" t="s">
        <v>1555</v>
      </c>
      <c r="D448" s="8" t="s">
        <v>265</v>
      </c>
      <c r="E448" s="8" t="s">
        <v>1560</v>
      </c>
      <c r="F448" s="9" t="s">
        <v>1561</v>
      </c>
      <c r="G448" s="9" t="s">
        <v>1562</v>
      </c>
      <c r="H448" s="9" t="s">
        <v>1563</v>
      </c>
      <c r="I448" s="9" t="s">
        <v>65</v>
      </c>
      <c r="J448" s="10" t="s">
        <v>258</v>
      </c>
      <c r="K448" s="15" t="str">
        <f>VLOOKUP(J448,DADOS!$A$3:$B$105,2,FALSE)</f>
        <v>EE-GI-001-071</v>
      </c>
      <c r="L448" s="15" t="s">
        <v>278</v>
      </c>
      <c r="M448" s="18" t="b">
        <v>1</v>
      </c>
      <c r="N448" s="17" t="b">
        <v>1</v>
      </c>
      <c r="O448" s="17" t="b">
        <v>1</v>
      </c>
      <c r="P448" s="17" t="b">
        <v>1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 t="s">
        <v>265</v>
      </c>
      <c r="X448" s="12" t="s">
        <v>14</v>
      </c>
      <c r="Y448" s="12" t="s">
        <v>14</v>
      </c>
      <c r="Z448" s="13" t="s">
        <v>280</v>
      </c>
    </row>
    <row r="449" spans="1:26" ht="19.899999999999999" customHeight="1" x14ac:dyDescent="0.25">
      <c r="A449" s="6">
        <v>45986</v>
      </c>
      <c r="B449" s="7" t="s">
        <v>428</v>
      </c>
      <c r="C449" s="8" t="s">
        <v>1564</v>
      </c>
      <c r="D449" s="8" t="s">
        <v>473</v>
      </c>
      <c r="E449" s="8" t="s">
        <v>1565</v>
      </c>
      <c r="F449" s="9" t="s">
        <v>1566</v>
      </c>
      <c r="G449" s="9" t="s">
        <v>1567</v>
      </c>
      <c r="H449" s="9" t="s">
        <v>1568</v>
      </c>
      <c r="I449" s="9" t="s">
        <v>65</v>
      </c>
      <c r="J449" s="10" t="s">
        <v>255</v>
      </c>
      <c r="K449" s="15" t="str">
        <f>VLOOKUP(J449,DADOS!$A$3:$B$105,2,FALSE)</f>
        <v>EE-GI-001-074</v>
      </c>
      <c r="L449" s="15" t="s">
        <v>332</v>
      </c>
      <c r="M449" s="18" t="b">
        <v>1</v>
      </c>
      <c r="N449" s="17" t="b">
        <v>1</v>
      </c>
      <c r="O449" s="17" t="b">
        <v>1</v>
      </c>
      <c r="P449" s="17" t="b">
        <v>1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 t="s">
        <v>473</v>
      </c>
      <c r="X449" s="12" t="s">
        <v>14</v>
      </c>
      <c r="Y449" s="12" t="s">
        <v>14</v>
      </c>
      <c r="Z449" s="13" t="s">
        <v>280</v>
      </c>
    </row>
    <row r="450" spans="1:26" ht="19.899999999999999" customHeight="1" x14ac:dyDescent="0.25">
      <c r="A450" s="6">
        <v>45986</v>
      </c>
      <c r="B450" s="7" t="s">
        <v>296</v>
      </c>
      <c r="C450" s="8" t="s">
        <v>1915</v>
      </c>
      <c r="D450" s="8" t="s">
        <v>323</v>
      </c>
      <c r="E450" s="8" t="s">
        <v>1604</v>
      </c>
      <c r="F450" s="8" t="s">
        <v>1916</v>
      </c>
      <c r="G450" s="9" t="s">
        <v>1118</v>
      </c>
      <c r="H450" s="9" t="s">
        <v>1917</v>
      </c>
      <c r="I450" s="9" t="s">
        <v>67</v>
      </c>
      <c r="J450" s="10" t="s">
        <v>174</v>
      </c>
      <c r="K450" s="15" t="str">
        <f>VLOOKUP(J450,DADOS!$A$3:$B$105,2,FALSE)</f>
        <v>EE-GI-001-007</v>
      </c>
      <c r="L450" s="15" t="s">
        <v>321</v>
      </c>
      <c r="M450" s="18" t="b">
        <v>1</v>
      </c>
      <c r="N450" s="17" t="b">
        <v>1</v>
      </c>
      <c r="O450" s="17" t="b">
        <v>1</v>
      </c>
      <c r="P450" s="17" t="b">
        <v>1</v>
      </c>
      <c r="Q450" s="17" t="b">
        <v>0</v>
      </c>
      <c r="R450" s="17" t="b">
        <v>1</v>
      </c>
      <c r="S450" s="17" t="b">
        <v>0</v>
      </c>
      <c r="T450" s="17" t="b">
        <v>0</v>
      </c>
      <c r="U450" s="17" t="b">
        <v>0</v>
      </c>
      <c r="V450" s="17" t="b">
        <v>1</v>
      </c>
      <c r="W450" s="11" t="s">
        <v>323</v>
      </c>
      <c r="X450" s="12" t="s">
        <v>14</v>
      </c>
      <c r="Y450" s="12" t="s">
        <v>14</v>
      </c>
      <c r="Z450" s="13" t="s">
        <v>322</v>
      </c>
    </row>
    <row r="451" spans="1:26" ht="19.899999999999999" customHeight="1" x14ac:dyDescent="0.25">
      <c r="A451" s="6">
        <v>45986</v>
      </c>
      <c r="B451" s="7" t="s">
        <v>410</v>
      </c>
      <c r="C451" s="8" t="s">
        <v>1855</v>
      </c>
      <c r="D451" s="8" t="s">
        <v>290</v>
      </c>
      <c r="E451" s="8" t="s">
        <v>1856</v>
      </c>
      <c r="F451" s="8" t="s">
        <v>1857</v>
      </c>
      <c r="G451" s="9" t="s">
        <v>1858</v>
      </c>
      <c r="H451" s="9" t="s">
        <v>1867</v>
      </c>
      <c r="I451" s="9" t="s">
        <v>69</v>
      </c>
      <c r="J451" s="10" t="s">
        <v>176</v>
      </c>
      <c r="K451" s="15" t="str">
        <f>VLOOKUP(J451,DADOS!$A$3:$B$105,2,FALSE)</f>
        <v>EE-GI-001-011</v>
      </c>
      <c r="L451" s="15" t="s">
        <v>321</v>
      </c>
      <c r="M451" s="18" t="b">
        <v>0</v>
      </c>
      <c r="N451" s="17" t="b">
        <v>1</v>
      </c>
      <c r="O451" s="17" t="b">
        <v>1</v>
      </c>
      <c r="P451" s="17" t="b">
        <v>1</v>
      </c>
      <c r="Q451" s="17" t="b">
        <v>0</v>
      </c>
      <c r="R451" s="17" t="b">
        <v>1</v>
      </c>
      <c r="S451" s="17" t="b">
        <v>0</v>
      </c>
      <c r="T451" s="17" t="b">
        <v>0</v>
      </c>
      <c r="U451" s="17" t="b">
        <v>0</v>
      </c>
      <c r="V451" s="17" t="b">
        <v>1</v>
      </c>
      <c r="W451" s="11" t="s">
        <v>290</v>
      </c>
      <c r="X451" s="12" t="s">
        <v>14</v>
      </c>
      <c r="Y451" s="12" t="s">
        <v>14</v>
      </c>
      <c r="Z451" s="13" t="s">
        <v>322</v>
      </c>
    </row>
    <row r="452" spans="1:26" ht="19.899999999999999" customHeight="1" x14ac:dyDescent="0.25">
      <c r="A452" s="6">
        <v>45986</v>
      </c>
      <c r="B452" s="7" t="s">
        <v>410</v>
      </c>
      <c r="C452" s="8" t="s">
        <v>1843</v>
      </c>
      <c r="D452" s="8" t="s">
        <v>527</v>
      </c>
      <c r="E452" s="8" t="s">
        <v>1845</v>
      </c>
      <c r="F452" s="8" t="s">
        <v>1844</v>
      </c>
      <c r="G452" s="9" t="s">
        <v>1846</v>
      </c>
      <c r="H452" s="9" t="s">
        <v>1868</v>
      </c>
      <c r="I452" s="9" t="s">
        <v>65</v>
      </c>
      <c r="J452" s="10" t="s">
        <v>174</v>
      </c>
      <c r="K452" s="15" t="str">
        <f>VLOOKUP(J452,DADOS!$A$3:$B$105,2,FALSE)</f>
        <v>EE-GI-001-007</v>
      </c>
      <c r="L452" s="15" t="s">
        <v>321</v>
      </c>
      <c r="M452" s="18" t="b">
        <v>0</v>
      </c>
      <c r="N452" s="17" t="b">
        <v>1</v>
      </c>
      <c r="O452" s="17" t="b">
        <v>1</v>
      </c>
      <c r="P452" s="17" t="b">
        <v>1</v>
      </c>
      <c r="Q452" s="17" t="b">
        <v>0</v>
      </c>
      <c r="R452" s="17" t="b">
        <v>1</v>
      </c>
      <c r="S452" s="17" t="b">
        <v>0</v>
      </c>
      <c r="T452" s="17" t="b">
        <v>0</v>
      </c>
      <c r="U452" s="17" t="b">
        <v>0</v>
      </c>
      <c r="V452" s="17" t="b">
        <v>1</v>
      </c>
      <c r="W452" s="11" t="s">
        <v>527</v>
      </c>
      <c r="X452" s="12" t="s">
        <v>14</v>
      </c>
      <c r="Y452" s="12" t="s">
        <v>14</v>
      </c>
      <c r="Z452" s="13" t="s">
        <v>322</v>
      </c>
    </row>
    <row r="453" spans="1:26" ht="19.899999999999999" customHeight="1" x14ac:dyDescent="0.25">
      <c r="A453" s="6">
        <v>45986</v>
      </c>
      <c r="B453" s="7" t="s">
        <v>410</v>
      </c>
      <c r="C453" s="8" t="s">
        <v>1851</v>
      </c>
      <c r="D453" s="8" t="s">
        <v>352</v>
      </c>
      <c r="E453" s="8" t="s">
        <v>1852</v>
      </c>
      <c r="F453" s="8" t="s">
        <v>1853</v>
      </c>
      <c r="G453" s="9" t="s">
        <v>1854</v>
      </c>
      <c r="H453" s="9" t="s">
        <v>1869</v>
      </c>
      <c r="I453" s="9" t="s">
        <v>69</v>
      </c>
      <c r="J453" s="10" t="s">
        <v>176</v>
      </c>
      <c r="K453" s="15" t="str">
        <f>VLOOKUP(J453,DADOS!$A$3:$B$105,2,FALSE)</f>
        <v>EE-GI-001-011</v>
      </c>
      <c r="L453" s="15" t="s">
        <v>321</v>
      </c>
      <c r="M453" s="18" t="b">
        <v>0</v>
      </c>
      <c r="N453" s="17" t="b">
        <v>1</v>
      </c>
      <c r="O453" s="17" t="b">
        <v>1</v>
      </c>
      <c r="P453" s="17" t="b">
        <v>1</v>
      </c>
      <c r="Q453" s="17" t="b">
        <v>0</v>
      </c>
      <c r="R453" s="17" t="b">
        <v>1</v>
      </c>
      <c r="S453" s="17" t="b">
        <v>0</v>
      </c>
      <c r="T453" s="17" t="b">
        <v>0</v>
      </c>
      <c r="U453" s="17" t="b">
        <v>0</v>
      </c>
      <c r="V453" s="17" t="b">
        <v>1</v>
      </c>
      <c r="W453" s="11" t="s">
        <v>352</v>
      </c>
      <c r="X453" s="12" t="s">
        <v>14</v>
      </c>
      <c r="Y453" s="12" t="s">
        <v>14</v>
      </c>
      <c r="Z453" s="13" t="s">
        <v>322</v>
      </c>
    </row>
    <row r="454" spans="1:26" ht="19.899999999999999" customHeight="1" x14ac:dyDescent="0.25">
      <c r="A454" s="6">
        <v>45986</v>
      </c>
      <c r="B454" s="7" t="s">
        <v>410</v>
      </c>
      <c r="C454" s="8" t="s">
        <v>1847</v>
      </c>
      <c r="D454" s="8" t="s">
        <v>265</v>
      </c>
      <c r="E454" s="8" t="s">
        <v>1848</v>
      </c>
      <c r="F454" s="8" t="s">
        <v>1849</v>
      </c>
      <c r="G454" s="9" t="s">
        <v>1850</v>
      </c>
      <c r="H454" s="9" t="s">
        <v>1870</v>
      </c>
      <c r="I454" s="9" t="s">
        <v>97</v>
      </c>
      <c r="J454" s="10" t="s">
        <v>251</v>
      </c>
      <c r="K454" s="15" t="str">
        <f>VLOOKUP(J454,DADOS!$A$3:$B$105,2,FALSE)</f>
        <v>EE-GI-001-030</v>
      </c>
      <c r="L454" s="15" t="s">
        <v>321</v>
      </c>
      <c r="M454" s="18" t="b">
        <v>0</v>
      </c>
      <c r="N454" s="17" t="b">
        <v>1</v>
      </c>
      <c r="O454" s="17" t="b">
        <v>1</v>
      </c>
      <c r="P454" s="17" t="b">
        <v>1</v>
      </c>
      <c r="Q454" s="17" t="b">
        <v>0</v>
      </c>
      <c r="R454" s="17" t="b">
        <v>1</v>
      </c>
      <c r="S454" s="17" t="b">
        <v>0</v>
      </c>
      <c r="T454" s="17" t="b">
        <v>0</v>
      </c>
      <c r="U454" s="17" t="b">
        <v>0</v>
      </c>
      <c r="V454" s="17" t="b">
        <v>1</v>
      </c>
      <c r="W454" s="11" t="s">
        <v>265</v>
      </c>
      <c r="X454" s="12" t="s">
        <v>14</v>
      </c>
      <c r="Y454" s="12" t="s">
        <v>14</v>
      </c>
      <c r="Z454" s="13" t="s">
        <v>322</v>
      </c>
    </row>
    <row r="455" spans="1:26" ht="19.899999999999999" customHeight="1" x14ac:dyDescent="0.25">
      <c r="A455" s="6">
        <v>45986</v>
      </c>
      <c r="B455" s="7" t="s">
        <v>428</v>
      </c>
      <c r="C455" s="8" t="s">
        <v>1572</v>
      </c>
      <c r="D455" s="8" t="s">
        <v>419</v>
      </c>
      <c r="E455" s="8" t="s">
        <v>1569</v>
      </c>
      <c r="F455" s="9" t="s">
        <v>1573</v>
      </c>
      <c r="G455" s="9" t="s">
        <v>1574</v>
      </c>
      <c r="H455" s="9" t="s">
        <v>1570</v>
      </c>
      <c r="I455" s="9" t="s">
        <v>65</v>
      </c>
      <c r="J455" s="10" t="s">
        <v>255</v>
      </c>
      <c r="K455" s="15" t="str">
        <f>VLOOKUP(J455,DADOS!$A$3:$B$105,2,FALSE)</f>
        <v>EE-GI-001-074</v>
      </c>
      <c r="L455" s="15" t="s">
        <v>332</v>
      </c>
      <c r="M455" s="18" t="b">
        <v>1</v>
      </c>
      <c r="N455" s="17" t="b">
        <v>1</v>
      </c>
      <c r="O455" s="17" t="b">
        <v>1</v>
      </c>
      <c r="P455" s="17" t="b">
        <v>1</v>
      </c>
      <c r="Q455" s="17" t="b">
        <v>0</v>
      </c>
      <c r="R455" s="17" t="b">
        <v>1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 t="s">
        <v>419</v>
      </c>
      <c r="X455" s="12" t="s">
        <v>14</v>
      </c>
      <c r="Y455" s="12" t="s">
        <v>14</v>
      </c>
      <c r="Z455" s="13" t="s">
        <v>280</v>
      </c>
    </row>
    <row r="456" spans="1:26" ht="19.899999999999999" customHeight="1" x14ac:dyDescent="0.25">
      <c r="A456" s="6">
        <v>45986</v>
      </c>
      <c r="B456" s="7" t="s">
        <v>428</v>
      </c>
      <c r="C456" s="8" t="s">
        <v>1576</v>
      </c>
      <c r="D456" s="8" t="s">
        <v>419</v>
      </c>
      <c r="E456" s="8" t="s">
        <v>1569</v>
      </c>
      <c r="F456" s="9" t="s">
        <v>1561</v>
      </c>
      <c r="G456" s="9" t="s">
        <v>1575</v>
      </c>
      <c r="H456" s="9" t="s">
        <v>1570</v>
      </c>
      <c r="I456" s="9" t="s">
        <v>65</v>
      </c>
      <c r="J456" s="10" t="s">
        <v>255</v>
      </c>
      <c r="K456" s="15" t="str">
        <f>VLOOKUP(J456,DADOS!$A$3:$B$105,2,FALSE)</f>
        <v>EE-GI-001-074</v>
      </c>
      <c r="L456" s="15" t="s">
        <v>332</v>
      </c>
      <c r="M456" s="18" t="b">
        <v>1</v>
      </c>
      <c r="N456" s="17" t="b">
        <v>1</v>
      </c>
      <c r="O456" s="17" t="b">
        <v>1</v>
      </c>
      <c r="P456" s="17" t="b">
        <v>1</v>
      </c>
      <c r="Q456" s="17" t="b">
        <v>0</v>
      </c>
      <c r="R456" s="17" t="b">
        <v>1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 t="s">
        <v>419</v>
      </c>
      <c r="X456" s="12" t="s">
        <v>14</v>
      </c>
      <c r="Y456" s="12" t="s">
        <v>14</v>
      </c>
      <c r="Z456" s="13" t="s">
        <v>280</v>
      </c>
    </row>
    <row r="457" spans="1:26" ht="19.899999999999999" customHeight="1" x14ac:dyDescent="0.25">
      <c r="A457" s="6">
        <v>45986</v>
      </c>
      <c r="B457" s="7" t="s">
        <v>428</v>
      </c>
      <c r="C457" s="8" t="s">
        <v>1577</v>
      </c>
      <c r="D457" s="8" t="s">
        <v>473</v>
      </c>
      <c r="E457" s="8" t="s">
        <v>1569</v>
      </c>
      <c r="F457" s="9" t="s">
        <v>1578</v>
      </c>
      <c r="G457" s="9" t="s">
        <v>1579</v>
      </c>
      <c r="H457" s="9" t="s">
        <v>1597</v>
      </c>
      <c r="I457" s="9" t="s">
        <v>65</v>
      </c>
      <c r="J457" s="10" t="s">
        <v>255</v>
      </c>
      <c r="K457" s="15" t="str">
        <f>VLOOKUP(J457,DADOS!$A$3:$B$105,2,FALSE)</f>
        <v>EE-GI-001-074</v>
      </c>
      <c r="L457" s="15" t="s">
        <v>332</v>
      </c>
      <c r="M457" s="18" t="b">
        <v>1</v>
      </c>
      <c r="N457" s="17" t="b">
        <v>1</v>
      </c>
      <c r="O457" s="17" t="b">
        <v>1</v>
      </c>
      <c r="P457" s="17" t="b">
        <v>1</v>
      </c>
      <c r="Q457" s="17" t="b">
        <v>0</v>
      </c>
      <c r="R457" s="17" t="b">
        <v>1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 t="s">
        <v>473</v>
      </c>
      <c r="X457" s="12" t="s">
        <v>14</v>
      </c>
      <c r="Y457" s="12" t="s">
        <v>14</v>
      </c>
      <c r="Z457" s="13" t="s">
        <v>280</v>
      </c>
    </row>
    <row r="458" spans="1:26" ht="19.899999999999999" customHeight="1" x14ac:dyDescent="0.25">
      <c r="A458" s="6">
        <v>45986</v>
      </c>
      <c r="B458" s="7" t="s">
        <v>410</v>
      </c>
      <c r="C458" s="8" t="s">
        <v>1674</v>
      </c>
      <c r="D458" s="8" t="s">
        <v>352</v>
      </c>
      <c r="E458" s="8" t="s">
        <v>274</v>
      </c>
      <c r="F458" s="9" t="s">
        <v>1675</v>
      </c>
      <c r="G458" s="9" t="s">
        <v>1676</v>
      </c>
      <c r="H458" s="9" t="s">
        <v>1677</v>
      </c>
      <c r="I458" s="9" t="s">
        <v>69</v>
      </c>
      <c r="J458" s="10" t="s">
        <v>176</v>
      </c>
      <c r="K458" s="15" t="str">
        <f>VLOOKUP(J458,DADOS!$A$3:$B$105,2,FALSE)</f>
        <v>EE-GI-001-011</v>
      </c>
      <c r="L458" s="15" t="s">
        <v>304</v>
      </c>
      <c r="M458" s="18" t="b">
        <v>1</v>
      </c>
      <c r="N458" s="17" t="b">
        <v>1</v>
      </c>
      <c r="O458" s="17" t="b">
        <v>1</v>
      </c>
      <c r="P458" s="17" t="b">
        <v>1</v>
      </c>
      <c r="Q458" s="17" t="b">
        <v>0</v>
      </c>
      <c r="R458" s="17" t="b">
        <v>1</v>
      </c>
      <c r="S458" s="17" t="b">
        <v>0</v>
      </c>
      <c r="T458" s="17" t="b">
        <v>0</v>
      </c>
      <c r="U458" s="17" t="b">
        <v>0</v>
      </c>
      <c r="V458" s="17" t="b">
        <v>1</v>
      </c>
      <c r="W458" s="11" t="s">
        <v>352</v>
      </c>
      <c r="X458" s="12" t="s">
        <v>14</v>
      </c>
      <c r="Y458" s="12" t="s">
        <v>14</v>
      </c>
      <c r="Z458" s="13" t="s">
        <v>280</v>
      </c>
    </row>
    <row r="459" spans="1:26" ht="19.899999999999999" customHeight="1" x14ac:dyDescent="0.25">
      <c r="A459" s="6">
        <v>45987</v>
      </c>
      <c r="B459" s="7" t="s">
        <v>296</v>
      </c>
      <c r="C459" s="8" t="s">
        <v>1817</v>
      </c>
      <c r="D459" s="8" t="s">
        <v>309</v>
      </c>
      <c r="E459" s="8" t="s">
        <v>1704</v>
      </c>
      <c r="F459" s="9" t="s">
        <v>1818</v>
      </c>
      <c r="G459" s="9" t="s">
        <v>1819</v>
      </c>
      <c r="H459" s="34"/>
      <c r="I459" s="9" t="s">
        <v>66</v>
      </c>
      <c r="J459" s="10" t="s">
        <v>173</v>
      </c>
      <c r="K459" s="15" t="str">
        <f>VLOOKUP(J459,DADOS!$A$3:$B$105,2,FALSE)</f>
        <v>EE-GI-001-006</v>
      </c>
      <c r="L459" s="15" t="s">
        <v>321</v>
      </c>
      <c r="M459" s="18" t="b">
        <v>0</v>
      </c>
      <c r="N459" s="17" t="b">
        <v>1</v>
      </c>
      <c r="O459" s="17" t="b">
        <v>1</v>
      </c>
      <c r="P459" s="17" t="b">
        <v>1</v>
      </c>
      <c r="Q459" s="17" t="b">
        <v>0</v>
      </c>
      <c r="R459" s="17" t="b">
        <v>1</v>
      </c>
      <c r="S459" s="17" t="b">
        <v>0</v>
      </c>
      <c r="T459" s="17" t="b">
        <v>0</v>
      </c>
      <c r="U459" s="17" t="b">
        <v>0</v>
      </c>
      <c r="V459" s="17" t="b">
        <v>1</v>
      </c>
      <c r="W459" s="11" t="s">
        <v>309</v>
      </c>
      <c r="X459" s="12" t="s">
        <v>14</v>
      </c>
      <c r="Y459" s="12" t="s">
        <v>14</v>
      </c>
      <c r="Z459" s="13" t="s">
        <v>322</v>
      </c>
    </row>
    <row r="460" spans="1:26" ht="19.899999999999999" customHeight="1" x14ac:dyDescent="0.25">
      <c r="A460" s="6">
        <v>45987</v>
      </c>
      <c r="B460" s="7" t="s">
        <v>394</v>
      </c>
      <c r="C460" s="8" t="s">
        <v>1581</v>
      </c>
      <c r="D460" s="8" t="s">
        <v>309</v>
      </c>
      <c r="E460" s="8" t="s">
        <v>1488</v>
      </c>
      <c r="F460" s="9" t="s">
        <v>1582</v>
      </c>
      <c r="G460" s="9" t="s">
        <v>719</v>
      </c>
      <c r="H460" s="9" t="s">
        <v>1728</v>
      </c>
      <c r="I460" s="9" t="s">
        <v>66</v>
      </c>
      <c r="J460" s="10" t="s">
        <v>20</v>
      </c>
      <c r="K460" s="15" t="str">
        <f>VLOOKUP(J460,DADOS!$A$3:$B$105,2,FALSE)</f>
        <v>EE-GI-221-034</v>
      </c>
      <c r="L460" s="15" t="s">
        <v>401</v>
      </c>
      <c r="M460" s="18" t="b">
        <v>1</v>
      </c>
      <c r="N460" s="17" t="b">
        <v>1</v>
      </c>
      <c r="O460" s="17" t="b">
        <v>1</v>
      </c>
      <c r="P460" s="17" t="b">
        <v>1</v>
      </c>
      <c r="Q460" s="17" t="b">
        <v>1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 t="s">
        <v>265</v>
      </c>
      <c r="X460" s="12" t="s">
        <v>352</v>
      </c>
      <c r="Y460" s="12" t="s">
        <v>1583</v>
      </c>
      <c r="Z460" s="12" t="s">
        <v>280</v>
      </c>
    </row>
    <row r="461" spans="1:26" ht="19.899999999999999" customHeight="1" x14ac:dyDescent="0.25">
      <c r="A461" s="6">
        <v>45987</v>
      </c>
      <c r="B461" s="7" t="s">
        <v>785</v>
      </c>
      <c r="C461" s="8" t="s">
        <v>1739</v>
      </c>
      <c r="D461" s="8" t="s">
        <v>352</v>
      </c>
      <c r="E461" s="8" t="s">
        <v>1740</v>
      </c>
      <c r="F461" s="9" t="s">
        <v>1741</v>
      </c>
      <c r="G461" s="9" t="s">
        <v>1742</v>
      </c>
      <c r="H461" s="9" t="s">
        <v>1743</v>
      </c>
      <c r="I461" s="9" t="s">
        <v>69</v>
      </c>
      <c r="J461" s="10" t="s">
        <v>190</v>
      </c>
      <c r="K461" s="15" t="str">
        <f>VLOOKUP(J461,DADOS!$A$3:$B$105,2,FALSE)</f>
        <v>EE-GI-001-037</v>
      </c>
      <c r="L461" s="15" t="s">
        <v>304</v>
      </c>
      <c r="M461" s="18" t="b">
        <v>1</v>
      </c>
      <c r="N461" s="17" t="b">
        <v>1</v>
      </c>
      <c r="O461" s="17" t="b">
        <v>1</v>
      </c>
      <c r="P461" s="17" t="b">
        <v>1</v>
      </c>
      <c r="Q461" s="17" t="b">
        <v>0</v>
      </c>
      <c r="R461" s="17" t="b">
        <v>1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 t="s">
        <v>352</v>
      </c>
      <c r="X461" s="12" t="s">
        <v>14</v>
      </c>
      <c r="Y461" s="12" t="s">
        <v>14</v>
      </c>
      <c r="Z461" s="13" t="s">
        <v>280</v>
      </c>
    </row>
    <row r="462" spans="1:26" ht="19.899999999999999" customHeight="1" x14ac:dyDescent="0.25">
      <c r="A462" s="6">
        <v>45987</v>
      </c>
      <c r="B462" s="7" t="s">
        <v>785</v>
      </c>
      <c r="C462" s="8" t="s">
        <v>1739</v>
      </c>
      <c r="D462" s="8" t="s">
        <v>352</v>
      </c>
      <c r="E462" s="8" t="s">
        <v>1740</v>
      </c>
      <c r="F462" s="9" t="s">
        <v>1744</v>
      </c>
      <c r="G462" s="9" t="s">
        <v>1742</v>
      </c>
      <c r="H462" s="9" t="s">
        <v>1745</v>
      </c>
      <c r="I462" s="9" t="s">
        <v>69</v>
      </c>
      <c r="J462" s="10" t="s">
        <v>190</v>
      </c>
      <c r="K462" s="15" t="str">
        <f>VLOOKUP(J462,DADOS!$A$3:$B$105,2,FALSE)</f>
        <v>EE-GI-001-037</v>
      </c>
      <c r="L462" s="15" t="s">
        <v>304</v>
      </c>
      <c r="M462" s="18" t="b">
        <v>1</v>
      </c>
      <c r="N462" s="17" t="b">
        <v>1</v>
      </c>
      <c r="O462" s="17" t="b">
        <v>1</v>
      </c>
      <c r="P462" s="17" t="b">
        <v>1</v>
      </c>
      <c r="Q462" s="17" t="b">
        <v>0</v>
      </c>
      <c r="R462" s="17" t="b">
        <v>1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 t="s">
        <v>352</v>
      </c>
      <c r="X462" s="12" t="s">
        <v>14</v>
      </c>
      <c r="Y462" s="12" t="s">
        <v>14</v>
      </c>
      <c r="Z462" s="13" t="s">
        <v>280</v>
      </c>
    </row>
    <row r="463" spans="1:26" ht="19.899999999999999" customHeight="1" x14ac:dyDescent="0.25">
      <c r="A463" s="6">
        <v>45987</v>
      </c>
      <c r="B463" s="7" t="s">
        <v>785</v>
      </c>
      <c r="C463" s="8" t="s">
        <v>1739</v>
      </c>
      <c r="D463" s="8" t="s">
        <v>265</v>
      </c>
      <c r="E463" s="8" t="s">
        <v>1740</v>
      </c>
      <c r="F463" s="9" t="s">
        <v>1746</v>
      </c>
      <c r="G463" s="9" t="s">
        <v>1742</v>
      </c>
      <c r="H463" s="9" t="s">
        <v>1747</v>
      </c>
      <c r="I463" s="9" t="s">
        <v>69</v>
      </c>
      <c r="J463" s="10" t="s">
        <v>190</v>
      </c>
      <c r="K463" s="15" t="str">
        <f>VLOOKUP(J463,DADOS!$A$3:$B$105,2,FALSE)</f>
        <v>EE-GI-001-037</v>
      </c>
      <c r="L463" s="15" t="s">
        <v>304</v>
      </c>
      <c r="M463" s="18" t="b">
        <v>1</v>
      </c>
      <c r="N463" s="17" t="b">
        <v>1</v>
      </c>
      <c r="O463" s="17" t="b">
        <v>1</v>
      </c>
      <c r="P463" s="17" t="b">
        <v>1</v>
      </c>
      <c r="Q463" s="17" t="b">
        <v>0</v>
      </c>
      <c r="R463" s="17" t="b">
        <v>1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 t="s">
        <v>265</v>
      </c>
      <c r="X463" s="12" t="s">
        <v>14</v>
      </c>
      <c r="Y463" s="12" t="s">
        <v>14</v>
      </c>
      <c r="Z463" s="13" t="s">
        <v>280</v>
      </c>
    </row>
    <row r="464" spans="1:26" ht="19.899999999999999" customHeight="1" x14ac:dyDescent="0.25">
      <c r="A464" s="6">
        <v>45987</v>
      </c>
      <c r="B464" s="7" t="s">
        <v>785</v>
      </c>
      <c r="C464" s="8" t="s">
        <v>1739</v>
      </c>
      <c r="D464" s="8" t="s">
        <v>265</v>
      </c>
      <c r="E464" s="8" t="s">
        <v>1740</v>
      </c>
      <c r="F464" s="9" t="s">
        <v>1748</v>
      </c>
      <c r="G464" s="9" t="s">
        <v>1752</v>
      </c>
      <c r="H464" s="9" t="s">
        <v>1754</v>
      </c>
      <c r="I464" s="9" t="s">
        <v>69</v>
      </c>
      <c r="J464" s="10" t="s">
        <v>190</v>
      </c>
      <c r="K464" s="15" t="str">
        <f>VLOOKUP(J464,DADOS!$A$3:$B$105,2,FALSE)</f>
        <v>EE-GI-001-037</v>
      </c>
      <c r="L464" s="15" t="s">
        <v>304</v>
      </c>
      <c r="M464" s="18" t="b">
        <v>1</v>
      </c>
      <c r="N464" s="17" t="b">
        <v>1</v>
      </c>
      <c r="O464" s="17" t="b">
        <v>1</v>
      </c>
      <c r="P464" s="17" t="b">
        <v>1</v>
      </c>
      <c r="Q464" s="17" t="b">
        <v>0</v>
      </c>
      <c r="R464" s="17" t="b">
        <v>1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 t="s">
        <v>265</v>
      </c>
      <c r="X464" s="12" t="s">
        <v>14</v>
      </c>
      <c r="Y464" s="12" t="s">
        <v>14</v>
      </c>
      <c r="Z464" s="13" t="s">
        <v>280</v>
      </c>
    </row>
    <row r="465" spans="1:26" ht="19.899999999999999" customHeight="1" x14ac:dyDescent="0.25">
      <c r="A465" s="6">
        <v>45987</v>
      </c>
      <c r="B465" s="7" t="s">
        <v>626</v>
      </c>
      <c r="C465" s="8" t="s">
        <v>1918</v>
      </c>
      <c r="D465" s="8" t="s">
        <v>384</v>
      </c>
      <c r="E465" s="8" t="s">
        <v>1922</v>
      </c>
      <c r="F465" s="9" t="s">
        <v>1923</v>
      </c>
      <c r="G465" s="9" t="s">
        <v>1924</v>
      </c>
      <c r="H465" s="9" t="s">
        <v>1925</v>
      </c>
      <c r="I465" s="9" t="s">
        <v>66</v>
      </c>
      <c r="J465" s="10" t="s">
        <v>174</v>
      </c>
      <c r="K465" s="15" t="str">
        <f>VLOOKUP(J465,DADOS!$A$3:$B$105,2,FALSE)</f>
        <v>EE-GI-001-007</v>
      </c>
      <c r="L465" s="15" t="s">
        <v>321</v>
      </c>
      <c r="M465" s="18" t="b">
        <v>1</v>
      </c>
      <c r="N465" s="17" t="b">
        <v>1</v>
      </c>
      <c r="O465" s="17" t="b">
        <v>1</v>
      </c>
      <c r="P465" s="17" t="b">
        <v>1</v>
      </c>
      <c r="Q465" s="17" t="b">
        <v>0</v>
      </c>
      <c r="R465" s="17" t="b">
        <v>1</v>
      </c>
      <c r="S465" s="17" t="b">
        <v>0</v>
      </c>
      <c r="T465" s="17" t="b">
        <v>0</v>
      </c>
      <c r="U465" s="17" t="b">
        <v>0</v>
      </c>
      <c r="V465" s="17" t="b">
        <v>1</v>
      </c>
      <c r="W465" s="11" t="s">
        <v>384</v>
      </c>
      <c r="X465" s="12" t="s">
        <v>14</v>
      </c>
      <c r="Y465" s="12" t="s">
        <v>14</v>
      </c>
      <c r="Z465" s="13" t="s">
        <v>322</v>
      </c>
    </row>
    <row r="466" spans="1:26" ht="19.899999999999999" customHeight="1" x14ac:dyDescent="0.25">
      <c r="A466" s="6">
        <v>45987</v>
      </c>
      <c r="B466" s="7" t="s">
        <v>626</v>
      </c>
      <c r="C466" s="8" t="s">
        <v>1926</v>
      </c>
      <c r="D466" s="8" t="s">
        <v>1927</v>
      </c>
      <c r="E466" s="8" t="s">
        <v>1928</v>
      </c>
      <c r="F466" s="9" t="s">
        <v>1929</v>
      </c>
      <c r="G466" s="9" t="s">
        <v>1239</v>
      </c>
      <c r="H466" s="9" t="s">
        <v>1930</v>
      </c>
      <c r="I466" s="9" t="s">
        <v>66</v>
      </c>
      <c r="J466" s="10" t="s">
        <v>174</v>
      </c>
      <c r="K466" s="15" t="str">
        <f>VLOOKUP(J466,DADOS!$A$3:$B$105,2,FALSE)</f>
        <v>EE-GI-001-007</v>
      </c>
      <c r="L466" s="15" t="s">
        <v>321</v>
      </c>
      <c r="M466" s="18" t="b">
        <v>1</v>
      </c>
      <c r="N466" s="17" t="b">
        <v>1</v>
      </c>
      <c r="O466" s="17" t="b">
        <v>1</v>
      </c>
      <c r="P466" s="17" t="b">
        <v>1</v>
      </c>
      <c r="Q466" s="17" t="b">
        <v>0</v>
      </c>
      <c r="R466" s="17" t="b">
        <v>1</v>
      </c>
      <c r="S466" s="17" t="b">
        <v>0</v>
      </c>
      <c r="T466" s="17" t="b">
        <v>0</v>
      </c>
      <c r="U466" s="17" t="b">
        <v>0</v>
      </c>
      <c r="V466" s="17" t="b">
        <v>1</v>
      </c>
      <c r="W466" s="11" t="s">
        <v>1927</v>
      </c>
      <c r="X466" s="12" t="s">
        <v>14</v>
      </c>
      <c r="Y466" s="12" t="s">
        <v>14</v>
      </c>
      <c r="Z466" s="13" t="s">
        <v>322</v>
      </c>
    </row>
    <row r="467" spans="1:26" ht="19.899999999999999" customHeight="1" x14ac:dyDescent="0.25">
      <c r="A467" s="6">
        <v>45987</v>
      </c>
      <c r="B467" s="7" t="s">
        <v>626</v>
      </c>
      <c r="C467" s="8" t="s">
        <v>1114</v>
      </c>
      <c r="D467" s="8" t="s">
        <v>1931</v>
      </c>
      <c r="E467" s="8" t="s">
        <v>1932</v>
      </c>
      <c r="F467" s="9" t="s">
        <v>1933</v>
      </c>
      <c r="G467" s="9" t="s">
        <v>1118</v>
      </c>
      <c r="H467" s="9" t="s">
        <v>1934</v>
      </c>
      <c r="I467" s="9" t="s">
        <v>66</v>
      </c>
      <c r="J467" s="10" t="s">
        <v>174</v>
      </c>
      <c r="K467" s="15" t="str">
        <f>VLOOKUP(J467,DADOS!$A$3:$B$105,2,FALSE)</f>
        <v>EE-GI-001-007</v>
      </c>
      <c r="L467" s="15" t="s">
        <v>321</v>
      </c>
      <c r="M467" s="18" t="b">
        <v>1</v>
      </c>
      <c r="N467" s="17" t="b">
        <v>1</v>
      </c>
      <c r="O467" s="17" t="b">
        <v>1</v>
      </c>
      <c r="P467" s="17" t="b">
        <v>1</v>
      </c>
      <c r="Q467" s="17" t="b">
        <v>0</v>
      </c>
      <c r="R467" s="17" t="b">
        <v>1</v>
      </c>
      <c r="S467" s="17" t="b">
        <v>0</v>
      </c>
      <c r="T467" s="17" t="b">
        <v>0</v>
      </c>
      <c r="U467" s="17" t="b">
        <v>0</v>
      </c>
      <c r="V467" s="17" t="b">
        <v>1</v>
      </c>
      <c r="W467" s="11" t="s">
        <v>1931</v>
      </c>
      <c r="X467" s="12" t="s">
        <v>14</v>
      </c>
      <c r="Y467" s="12" t="s">
        <v>14</v>
      </c>
      <c r="Z467" s="13" t="s">
        <v>322</v>
      </c>
    </row>
    <row r="468" spans="1:26" ht="19.899999999999999" customHeight="1" x14ac:dyDescent="0.25">
      <c r="A468" s="6">
        <v>45987</v>
      </c>
      <c r="B468" s="7" t="s">
        <v>626</v>
      </c>
      <c r="C468" s="8" t="s">
        <v>1918</v>
      </c>
      <c r="D468" s="8" t="s">
        <v>843</v>
      </c>
      <c r="E468" s="8" t="s">
        <v>1919</v>
      </c>
      <c r="F468" s="9" t="s">
        <v>1920</v>
      </c>
      <c r="G468" s="9" t="s">
        <v>1118</v>
      </c>
      <c r="H468" s="9" t="s">
        <v>1921</v>
      </c>
      <c r="I468" s="9" t="s">
        <v>66</v>
      </c>
      <c r="J468" s="10" t="s">
        <v>174</v>
      </c>
      <c r="K468" s="15" t="str">
        <f>VLOOKUP(J468,DADOS!$A$3:$B$105,2,FALSE)</f>
        <v>EE-GI-001-007</v>
      </c>
      <c r="L468" s="15" t="s">
        <v>321</v>
      </c>
      <c r="M468" s="18" t="b">
        <v>1</v>
      </c>
      <c r="N468" s="17" t="b">
        <v>1</v>
      </c>
      <c r="O468" s="17" t="b">
        <v>1</v>
      </c>
      <c r="P468" s="17" t="b">
        <v>1</v>
      </c>
      <c r="Q468" s="17" t="b">
        <v>0</v>
      </c>
      <c r="R468" s="17" t="b">
        <v>1</v>
      </c>
      <c r="S468" s="17" t="b">
        <v>0</v>
      </c>
      <c r="T468" s="17" t="b">
        <v>0</v>
      </c>
      <c r="U468" s="17" t="b">
        <v>0</v>
      </c>
      <c r="V468" s="17" t="b">
        <v>1</v>
      </c>
      <c r="W468" s="11" t="s">
        <v>843</v>
      </c>
      <c r="X468" s="12" t="s">
        <v>14</v>
      </c>
      <c r="Y468" s="12" t="s">
        <v>14</v>
      </c>
      <c r="Z468" s="13" t="s">
        <v>322</v>
      </c>
    </row>
    <row r="469" spans="1:26" ht="19.899999999999999" customHeight="1" x14ac:dyDescent="0.25">
      <c r="A469" s="6">
        <v>45987</v>
      </c>
      <c r="B469" s="7" t="s">
        <v>785</v>
      </c>
      <c r="C469" s="8" t="s">
        <v>1739</v>
      </c>
      <c r="D469" s="8" t="s">
        <v>265</v>
      </c>
      <c r="E469" s="8" t="s">
        <v>1740</v>
      </c>
      <c r="F469" s="9" t="s">
        <v>1749</v>
      </c>
      <c r="G469" s="9" t="s">
        <v>1752</v>
      </c>
      <c r="H469" s="9" t="s">
        <v>1755</v>
      </c>
      <c r="I469" s="9" t="s">
        <v>69</v>
      </c>
      <c r="J469" s="10" t="s">
        <v>190</v>
      </c>
      <c r="K469" s="15" t="str">
        <f>VLOOKUP(J469,DADOS!$A$3:$B$105,2,FALSE)</f>
        <v>EE-GI-001-037</v>
      </c>
      <c r="L469" s="15" t="s">
        <v>304</v>
      </c>
      <c r="M469" s="18" t="b">
        <v>1</v>
      </c>
      <c r="N469" s="17" t="b">
        <v>1</v>
      </c>
      <c r="O469" s="17" t="b">
        <v>1</v>
      </c>
      <c r="P469" s="17" t="b">
        <v>1</v>
      </c>
      <c r="Q469" s="17" t="b">
        <v>0</v>
      </c>
      <c r="R469" s="17" t="b">
        <v>1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 t="s">
        <v>265</v>
      </c>
      <c r="X469" s="12" t="s">
        <v>14</v>
      </c>
      <c r="Y469" s="12" t="s">
        <v>14</v>
      </c>
      <c r="Z469" s="13" t="s">
        <v>280</v>
      </c>
    </row>
    <row r="470" spans="1:26" ht="19.899999999999999" customHeight="1" x14ac:dyDescent="0.25">
      <c r="A470" s="6">
        <v>45987</v>
      </c>
      <c r="B470" s="7" t="s">
        <v>785</v>
      </c>
      <c r="C470" s="8" t="s">
        <v>1739</v>
      </c>
      <c r="D470" s="8" t="s">
        <v>265</v>
      </c>
      <c r="E470" s="8" t="s">
        <v>1740</v>
      </c>
      <c r="F470" s="9" t="s">
        <v>1750</v>
      </c>
      <c r="G470" s="9" t="s">
        <v>1756</v>
      </c>
      <c r="H470" s="9" t="s">
        <v>1753</v>
      </c>
      <c r="I470" s="9" t="s">
        <v>69</v>
      </c>
      <c r="J470" s="10" t="s">
        <v>190</v>
      </c>
      <c r="K470" s="15" t="str">
        <f>VLOOKUP(J470,DADOS!$A$3:$B$105,2,FALSE)</f>
        <v>EE-GI-001-037</v>
      </c>
      <c r="L470" s="15" t="s">
        <v>304</v>
      </c>
      <c r="M470" s="18" t="b">
        <v>1</v>
      </c>
      <c r="N470" s="17" t="b">
        <v>1</v>
      </c>
      <c r="O470" s="17" t="b">
        <v>1</v>
      </c>
      <c r="P470" s="17" t="b">
        <v>1</v>
      </c>
      <c r="Q470" s="17" t="b">
        <v>0</v>
      </c>
      <c r="R470" s="17" t="b">
        <v>1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 t="s">
        <v>265</v>
      </c>
      <c r="X470" s="12" t="s">
        <v>14</v>
      </c>
      <c r="Y470" s="12" t="s">
        <v>14</v>
      </c>
      <c r="Z470" s="13" t="s">
        <v>280</v>
      </c>
    </row>
    <row r="471" spans="1:26" ht="19.899999999999999" customHeight="1" x14ac:dyDescent="0.25">
      <c r="A471" s="6">
        <v>45987</v>
      </c>
      <c r="B471" s="7" t="s">
        <v>785</v>
      </c>
      <c r="C471" s="8" t="s">
        <v>1739</v>
      </c>
      <c r="D471" s="8" t="s">
        <v>265</v>
      </c>
      <c r="E471" s="8" t="s">
        <v>1740</v>
      </c>
      <c r="F471" s="9" t="s">
        <v>1751</v>
      </c>
      <c r="G471" s="9" t="s">
        <v>1756</v>
      </c>
      <c r="H471" s="9" t="s">
        <v>1757</v>
      </c>
      <c r="I471" s="9" t="s">
        <v>69</v>
      </c>
      <c r="J471" s="10" t="s">
        <v>190</v>
      </c>
      <c r="K471" s="15" t="str">
        <f>VLOOKUP(J471,DADOS!$A$3:$B$105,2,FALSE)</f>
        <v>EE-GI-001-037</v>
      </c>
      <c r="L471" s="15" t="s">
        <v>304</v>
      </c>
      <c r="M471" s="18" t="b">
        <v>1</v>
      </c>
      <c r="N471" s="17" t="b">
        <v>1</v>
      </c>
      <c r="O471" s="17" t="b">
        <v>1</v>
      </c>
      <c r="P471" s="17" t="b">
        <v>1</v>
      </c>
      <c r="Q471" s="17" t="b">
        <v>0</v>
      </c>
      <c r="R471" s="17" t="b">
        <v>1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 t="s">
        <v>265</v>
      </c>
      <c r="X471" s="12" t="s">
        <v>14</v>
      </c>
      <c r="Y471" s="12" t="s">
        <v>14</v>
      </c>
      <c r="Z471" s="13" t="s">
        <v>280</v>
      </c>
    </row>
    <row r="472" spans="1:26" ht="19.899999999999999" customHeight="1" x14ac:dyDescent="0.25">
      <c r="A472" s="6">
        <v>45987</v>
      </c>
      <c r="B472" s="7" t="s">
        <v>785</v>
      </c>
      <c r="C472" s="8" t="s">
        <v>1758</v>
      </c>
      <c r="D472" s="8" t="s">
        <v>352</v>
      </c>
      <c r="E472" s="8" t="s">
        <v>1759</v>
      </c>
      <c r="F472" s="9" t="s">
        <v>1760</v>
      </c>
      <c r="G472" s="9" t="s">
        <v>1761</v>
      </c>
      <c r="H472" s="9" t="s">
        <v>1762</v>
      </c>
      <c r="I472" s="9" t="s">
        <v>69</v>
      </c>
      <c r="J472" s="10" t="s">
        <v>190</v>
      </c>
      <c r="K472" s="15" t="str">
        <f>VLOOKUP(J472,DADOS!$A$3:$B$105,2,FALSE)</f>
        <v>EE-GI-001-037</v>
      </c>
      <c r="L472" s="15" t="s">
        <v>332</v>
      </c>
      <c r="M472" s="18" t="b">
        <v>1</v>
      </c>
      <c r="N472" s="17" t="b">
        <v>1</v>
      </c>
      <c r="O472" s="17" t="b">
        <v>1</v>
      </c>
      <c r="P472" s="17" t="b">
        <v>1</v>
      </c>
      <c r="Q472" s="17" t="b">
        <v>0</v>
      </c>
      <c r="R472" s="17" t="b">
        <v>1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 t="s">
        <v>352</v>
      </c>
      <c r="X472" s="12" t="s">
        <v>14</v>
      </c>
      <c r="Y472" s="12" t="s">
        <v>14</v>
      </c>
      <c r="Z472" s="13" t="s">
        <v>280</v>
      </c>
    </row>
    <row r="473" spans="1:26" ht="19.899999999999999" customHeight="1" x14ac:dyDescent="0.25">
      <c r="A473" s="6">
        <v>45987</v>
      </c>
      <c r="B473" s="7" t="s">
        <v>785</v>
      </c>
      <c r="C473" s="8" t="s">
        <v>1758</v>
      </c>
      <c r="D473" s="8" t="s">
        <v>265</v>
      </c>
      <c r="E473" s="8" t="s">
        <v>1759</v>
      </c>
      <c r="F473" s="9" t="s">
        <v>1763</v>
      </c>
      <c r="G473" s="9" t="s">
        <v>1761</v>
      </c>
      <c r="H473" s="9" t="s">
        <v>1767</v>
      </c>
      <c r="I473" s="9" t="s">
        <v>69</v>
      </c>
      <c r="J473" s="10" t="s">
        <v>190</v>
      </c>
      <c r="K473" s="15" t="str">
        <f>VLOOKUP(J473,DADOS!$A$3:$B$105,2,FALSE)</f>
        <v>EE-GI-001-037</v>
      </c>
      <c r="L473" s="15" t="s">
        <v>332</v>
      </c>
      <c r="M473" s="18" t="b">
        <v>1</v>
      </c>
      <c r="N473" s="17" t="b">
        <v>1</v>
      </c>
      <c r="O473" s="17" t="b">
        <v>1</v>
      </c>
      <c r="P473" s="17" t="b">
        <v>1</v>
      </c>
      <c r="Q473" s="17" t="b">
        <v>0</v>
      </c>
      <c r="R473" s="17" t="b">
        <v>1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 t="s">
        <v>265</v>
      </c>
      <c r="X473" s="12" t="s">
        <v>14</v>
      </c>
      <c r="Y473" s="12" t="s">
        <v>14</v>
      </c>
      <c r="Z473" s="13" t="s">
        <v>280</v>
      </c>
    </row>
    <row r="474" spans="1:26" ht="19.899999999999999" customHeight="1" x14ac:dyDescent="0.25">
      <c r="A474" s="6">
        <v>45987</v>
      </c>
      <c r="B474" s="7" t="s">
        <v>785</v>
      </c>
      <c r="C474" s="8" t="s">
        <v>1758</v>
      </c>
      <c r="D474" s="8" t="s">
        <v>265</v>
      </c>
      <c r="E474" s="8" t="s">
        <v>1759</v>
      </c>
      <c r="F474" s="9" t="s">
        <v>1764</v>
      </c>
      <c r="G474" s="9" t="s">
        <v>1761</v>
      </c>
      <c r="H474" s="9" t="s">
        <v>1768</v>
      </c>
      <c r="I474" s="9" t="s">
        <v>69</v>
      </c>
      <c r="J474" s="10" t="s">
        <v>190</v>
      </c>
      <c r="K474" s="15" t="str">
        <f>VLOOKUP(J474,DADOS!$A$3:$B$105,2,FALSE)</f>
        <v>EE-GI-001-037</v>
      </c>
      <c r="L474" s="15" t="s">
        <v>332</v>
      </c>
      <c r="M474" s="18" t="b">
        <v>1</v>
      </c>
      <c r="N474" s="17" t="b">
        <v>1</v>
      </c>
      <c r="O474" s="17" t="b">
        <v>1</v>
      </c>
      <c r="P474" s="17" t="b">
        <v>1</v>
      </c>
      <c r="Q474" s="17" t="b">
        <v>0</v>
      </c>
      <c r="R474" s="17" t="b">
        <v>1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 t="s">
        <v>265</v>
      </c>
      <c r="X474" s="12" t="s">
        <v>14</v>
      </c>
      <c r="Y474" s="12" t="s">
        <v>14</v>
      </c>
      <c r="Z474" s="13" t="s">
        <v>280</v>
      </c>
    </row>
    <row r="475" spans="1:26" ht="19.899999999999999" customHeight="1" x14ac:dyDescent="0.25">
      <c r="A475" s="6">
        <v>45987</v>
      </c>
      <c r="B475" s="7" t="s">
        <v>785</v>
      </c>
      <c r="C475" s="8" t="s">
        <v>1758</v>
      </c>
      <c r="D475" s="8" t="s">
        <v>265</v>
      </c>
      <c r="E475" s="8" t="s">
        <v>1759</v>
      </c>
      <c r="F475" s="9" t="s">
        <v>1765</v>
      </c>
      <c r="G475" s="9" t="s">
        <v>1761</v>
      </c>
      <c r="H475" s="9" t="s">
        <v>1769</v>
      </c>
      <c r="I475" s="9" t="s">
        <v>69</v>
      </c>
      <c r="J475" s="10" t="s">
        <v>190</v>
      </c>
      <c r="K475" s="15" t="str">
        <f>VLOOKUP(J475,DADOS!$A$3:$B$105,2,FALSE)</f>
        <v>EE-GI-001-037</v>
      </c>
      <c r="L475" s="15" t="s">
        <v>332</v>
      </c>
      <c r="M475" s="18" t="b">
        <v>1</v>
      </c>
      <c r="N475" s="17" t="b">
        <v>1</v>
      </c>
      <c r="O475" s="17" t="b">
        <v>1</v>
      </c>
      <c r="P475" s="17" t="b">
        <v>1</v>
      </c>
      <c r="Q475" s="17" t="b">
        <v>0</v>
      </c>
      <c r="R475" s="17" t="b">
        <v>1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 t="s">
        <v>265</v>
      </c>
      <c r="X475" s="12" t="s">
        <v>14</v>
      </c>
      <c r="Y475" s="12" t="s">
        <v>14</v>
      </c>
      <c r="Z475" s="13" t="s">
        <v>280</v>
      </c>
    </row>
    <row r="476" spans="1:26" ht="19.899999999999999" customHeight="1" x14ac:dyDescent="0.25">
      <c r="A476" s="6">
        <v>45987</v>
      </c>
      <c r="B476" s="7" t="s">
        <v>785</v>
      </c>
      <c r="C476" s="8" t="s">
        <v>1758</v>
      </c>
      <c r="D476" s="8" t="s">
        <v>265</v>
      </c>
      <c r="E476" s="8" t="s">
        <v>1759</v>
      </c>
      <c r="F476" s="9" t="s">
        <v>1766</v>
      </c>
      <c r="G476" s="9" t="s">
        <v>1761</v>
      </c>
      <c r="H476" s="9" t="s">
        <v>1770</v>
      </c>
      <c r="I476" s="9" t="s">
        <v>69</v>
      </c>
      <c r="J476" s="10" t="s">
        <v>190</v>
      </c>
      <c r="K476" s="15" t="str">
        <f>VLOOKUP(J476,DADOS!$A$3:$B$105,2,FALSE)</f>
        <v>EE-GI-001-037</v>
      </c>
      <c r="L476" s="15" t="s">
        <v>332</v>
      </c>
      <c r="M476" s="18" t="b">
        <v>1</v>
      </c>
      <c r="N476" s="17" t="b">
        <v>1</v>
      </c>
      <c r="O476" s="17" t="b">
        <v>1</v>
      </c>
      <c r="P476" s="17" t="b">
        <v>1</v>
      </c>
      <c r="Q476" s="17" t="b">
        <v>0</v>
      </c>
      <c r="R476" s="17" t="b">
        <v>1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 t="s">
        <v>265</v>
      </c>
      <c r="X476" s="12" t="s">
        <v>14</v>
      </c>
      <c r="Y476" s="12" t="s">
        <v>14</v>
      </c>
      <c r="Z476" s="13" t="s">
        <v>280</v>
      </c>
    </row>
    <row r="477" spans="1:26" ht="19.899999999999999" customHeight="1" x14ac:dyDescent="0.25">
      <c r="A477" s="6">
        <v>45987</v>
      </c>
      <c r="B477" s="7" t="s">
        <v>606</v>
      </c>
      <c r="C477" s="8" t="s">
        <v>613</v>
      </c>
      <c r="D477" s="8" t="s">
        <v>619</v>
      </c>
      <c r="E477" s="8" t="s">
        <v>1729</v>
      </c>
      <c r="F477" s="9" t="s">
        <v>1730</v>
      </c>
      <c r="G477" s="9" t="s">
        <v>1732</v>
      </c>
      <c r="H477" s="9" t="s">
        <v>1734</v>
      </c>
      <c r="I477" s="9" t="s">
        <v>66</v>
      </c>
      <c r="J477" s="10" t="s">
        <v>241</v>
      </c>
      <c r="K477" s="15" t="str">
        <f>VLOOKUP(J477,DADOS!$A$3:$B$105,2,FALSE)</f>
        <v>EE-GI-221-048</v>
      </c>
      <c r="L477" s="15" t="s">
        <v>401</v>
      </c>
      <c r="M477" s="18" t="b">
        <v>1</v>
      </c>
      <c r="N477" s="17" t="b">
        <v>1</v>
      </c>
      <c r="O477" s="17" t="b">
        <v>1</v>
      </c>
      <c r="P477" s="17" t="b">
        <v>1</v>
      </c>
      <c r="Q477" s="17" t="b">
        <v>1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 t="s">
        <v>619</v>
      </c>
      <c r="X477" s="12" t="s">
        <v>14</v>
      </c>
      <c r="Y477" s="12" t="s">
        <v>14</v>
      </c>
      <c r="Z477" s="13" t="s">
        <v>280</v>
      </c>
    </row>
    <row r="478" spans="1:26" ht="19.899999999999999" customHeight="1" x14ac:dyDescent="0.25">
      <c r="A478" s="6">
        <v>45987</v>
      </c>
      <c r="B478" s="7" t="s">
        <v>606</v>
      </c>
      <c r="C478" s="8" t="s">
        <v>613</v>
      </c>
      <c r="D478" s="8" t="s">
        <v>622</v>
      </c>
      <c r="E478" s="8" t="s">
        <v>1729</v>
      </c>
      <c r="F478" s="9" t="s">
        <v>1731</v>
      </c>
      <c r="G478" s="9" t="s">
        <v>1732</v>
      </c>
      <c r="H478" s="9" t="s">
        <v>1734</v>
      </c>
      <c r="I478" s="9" t="s">
        <v>66</v>
      </c>
      <c r="J478" s="10" t="s">
        <v>241</v>
      </c>
      <c r="K478" s="15" t="str">
        <f>VLOOKUP(J478,DADOS!$A$3:$B$105,2,FALSE)</f>
        <v>EE-GI-221-048</v>
      </c>
      <c r="L478" s="15" t="s">
        <v>401</v>
      </c>
      <c r="M478" s="18" t="b">
        <v>1</v>
      </c>
      <c r="N478" s="17" t="b">
        <v>1</v>
      </c>
      <c r="O478" s="17" t="b">
        <v>1</v>
      </c>
      <c r="P478" s="17" t="b">
        <v>1</v>
      </c>
      <c r="Q478" s="17" t="b">
        <v>1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 t="s">
        <v>622</v>
      </c>
      <c r="X478" s="12" t="s">
        <v>14</v>
      </c>
      <c r="Y478" s="12" t="s">
        <v>14</v>
      </c>
      <c r="Z478" s="13" t="s">
        <v>280</v>
      </c>
    </row>
    <row r="479" spans="1:26" ht="19.899999999999999" customHeight="1" x14ac:dyDescent="0.25">
      <c r="A479" s="6">
        <v>45987</v>
      </c>
      <c r="B479" s="7" t="s">
        <v>606</v>
      </c>
      <c r="C479" s="8" t="s">
        <v>835</v>
      </c>
      <c r="D479" s="8" t="s">
        <v>453</v>
      </c>
      <c r="E479" s="8" t="s">
        <v>1729</v>
      </c>
      <c r="F479" s="9" t="s">
        <v>617</v>
      </c>
      <c r="G479" s="9" t="s">
        <v>1732</v>
      </c>
      <c r="H479" s="9" t="s">
        <v>1737</v>
      </c>
      <c r="I479" s="9" t="s">
        <v>66</v>
      </c>
      <c r="J479" s="10" t="s">
        <v>19</v>
      </c>
      <c r="K479" s="15" t="str">
        <f>VLOOKUP(J479,DADOS!$A$3:$B$105,2,FALSE)</f>
        <v>EE-GI-221-033</v>
      </c>
      <c r="L479" s="15" t="s">
        <v>401</v>
      </c>
      <c r="M479" s="18" t="b">
        <v>1</v>
      </c>
      <c r="N479" s="17" t="b">
        <v>1</v>
      </c>
      <c r="O479" s="17" t="b">
        <v>1</v>
      </c>
      <c r="P479" s="17" t="b">
        <v>1</v>
      </c>
      <c r="Q479" s="17" t="b">
        <v>1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 t="s">
        <v>453</v>
      </c>
      <c r="X479" s="12" t="s">
        <v>14</v>
      </c>
      <c r="Y479" s="12" t="s">
        <v>14</v>
      </c>
      <c r="Z479" s="13" t="s">
        <v>280</v>
      </c>
    </row>
    <row r="480" spans="1:26" ht="19.899999999999999" customHeight="1" x14ac:dyDescent="0.25">
      <c r="A480" s="6">
        <v>45987</v>
      </c>
      <c r="B480" s="7" t="s">
        <v>606</v>
      </c>
      <c r="C480" s="8" t="s">
        <v>835</v>
      </c>
      <c r="D480" s="8" t="s">
        <v>1735</v>
      </c>
      <c r="E480" s="8" t="s">
        <v>1729</v>
      </c>
      <c r="F480" s="9" t="s">
        <v>1736</v>
      </c>
      <c r="G480" s="9" t="s">
        <v>1732</v>
      </c>
      <c r="H480" s="9" t="s">
        <v>1737</v>
      </c>
      <c r="I480" s="9" t="s">
        <v>66</v>
      </c>
      <c r="J480" s="10" t="s">
        <v>19</v>
      </c>
      <c r="K480" s="15" t="str">
        <f>VLOOKUP(J480,DADOS!$A$3:$B$105,2,FALSE)</f>
        <v>EE-GI-221-033</v>
      </c>
      <c r="L480" s="15" t="s">
        <v>401</v>
      </c>
      <c r="M480" s="18" t="b">
        <v>1</v>
      </c>
      <c r="N480" s="17" t="b">
        <v>1</v>
      </c>
      <c r="O480" s="17" t="b">
        <v>1</v>
      </c>
      <c r="P480" s="17" t="b">
        <v>1</v>
      </c>
      <c r="Q480" s="17" t="b">
        <v>1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 t="s">
        <v>1735</v>
      </c>
      <c r="X480" s="12" t="s">
        <v>14</v>
      </c>
      <c r="Y480" s="12" t="s">
        <v>14</v>
      </c>
      <c r="Z480" s="13" t="s">
        <v>280</v>
      </c>
    </row>
    <row r="481" spans="1:26" ht="19.899999999999999" customHeight="1" x14ac:dyDescent="0.25">
      <c r="A481" s="6">
        <v>45987</v>
      </c>
      <c r="B481" s="7" t="s">
        <v>606</v>
      </c>
      <c r="C481" s="8" t="s">
        <v>607</v>
      </c>
      <c r="D481" s="8" t="s">
        <v>396</v>
      </c>
      <c r="E481" s="8" t="s">
        <v>1729</v>
      </c>
      <c r="F481" s="9" t="s">
        <v>1481</v>
      </c>
      <c r="G481" s="9" t="s">
        <v>1732</v>
      </c>
      <c r="H481" s="9" t="s">
        <v>1733</v>
      </c>
      <c r="I481" s="9" t="s">
        <v>66</v>
      </c>
      <c r="J481" s="10" t="s">
        <v>241</v>
      </c>
      <c r="K481" s="15" t="str">
        <f>VLOOKUP(J481,DADOS!$A$3:$B$105,2,FALSE)</f>
        <v>EE-GI-221-048</v>
      </c>
      <c r="L481" s="15" t="s">
        <v>401</v>
      </c>
      <c r="M481" s="18" t="b">
        <v>1</v>
      </c>
      <c r="N481" s="17" t="b">
        <v>1</v>
      </c>
      <c r="O481" s="17" t="b">
        <v>1</v>
      </c>
      <c r="P481" s="17" t="b">
        <v>1</v>
      </c>
      <c r="Q481" s="17" t="b">
        <v>1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 t="s">
        <v>396</v>
      </c>
      <c r="X481" s="12" t="s">
        <v>14</v>
      </c>
      <c r="Y481" s="12" t="s">
        <v>14</v>
      </c>
      <c r="Z481" s="13" t="s">
        <v>280</v>
      </c>
    </row>
    <row r="482" spans="1:26" ht="19.899999999999999" customHeight="1" x14ac:dyDescent="0.25">
      <c r="A482" s="6">
        <v>45987</v>
      </c>
      <c r="B482" s="7" t="s">
        <v>606</v>
      </c>
      <c r="C482" s="8" t="s">
        <v>607</v>
      </c>
      <c r="D482" s="8" t="s">
        <v>843</v>
      </c>
      <c r="E482" s="8" t="s">
        <v>1729</v>
      </c>
      <c r="F482" s="9" t="s">
        <v>1738</v>
      </c>
      <c r="G482" s="9" t="s">
        <v>1732</v>
      </c>
      <c r="H482" s="9" t="s">
        <v>1733</v>
      </c>
      <c r="I482" s="9" t="s">
        <v>66</v>
      </c>
      <c r="J482" s="10" t="s">
        <v>241</v>
      </c>
      <c r="K482" s="15" t="str">
        <f>VLOOKUP(J482,DADOS!$A$3:$B$105,2,FALSE)</f>
        <v>EE-GI-221-048</v>
      </c>
      <c r="L482" s="15" t="s">
        <v>401</v>
      </c>
      <c r="M482" s="18" t="b">
        <v>1</v>
      </c>
      <c r="N482" s="17" t="b">
        <v>1</v>
      </c>
      <c r="O482" s="17" t="b">
        <v>1</v>
      </c>
      <c r="P482" s="17" t="b">
        <v>1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 t="s">
        <v>843</v>
      </c>
      <c r="X482" s="12" t="s">
        <v>14</v>
      </c>
      <c r="Y482" s="12" t="s">
        <v>14</v>
      </c>
      <c r="Z482" s="13" t="s">
        <v>280</v>
      </c>
    </row>
    <row r="483" spans="1:26" ht="19.899999999999999" customHeight="1" x14ac:dyDescent="0.25">
      <c r="A483" s="6">
        <v>45987</v>
      </c>
      <c r="B483" s="7" t="s">
        <v>1871</v>
      </c>
      <c r="C483" s="8" t="s">
        <v>1872</v>
      </c>
      <c r="D483" s="8" t="s">
        <v>1712</v>
      </c>
      <c r="E483" s="8" t="s">
        <v>1881</v>
      </c>
      <c r="F483" s="9" t="s">
        <v>1882</v>
      </c>
      <c r="G483" s="9" t="s">
        <v>1883</v>
      </c>
      <c r="H483" s="9" t="s">
        <v>1884</v>
      </c>
      <c r="I483" s="9" t="s">
        <v>66</v>
      </c>
      <c r="J483" s="10" t="s">
        <v>230</v>
      </c>
      <c r="K483" s="15" t="str">
        <f>VLOOKUP(J483,DADOS!$A$3:$B$105,2,FALSE)</f>
        <v>EE-GI-026-001</v>
      </c>
      <c r="L483" s="15" t="s">
        <v>1877</v>
      </c>
      <c r="M483" s="18" t="b">
        <v>1</v>
      </c>
      <c r="N483" s="17" t="b">
        <v>1</v>
      </c>
      <c r="O483" s="17" t="b">
        <v>1</v>
      </c>
      <c r="P483" s="17" t="b">
        <v>1</v>
      </c>
      <c r="Q483" s="17" t="b">
        <v>0</v>
      </c>
      <c r="R483" s="17" t="b">
        <v>0</v>
      </c>
      <c r="S483" s="17" t="b">
        <v>1</v>
      </c>
      <c r="T483" s="17" t="b">
        <v>0</v>
      </c>
      <c r="U483" s="17" t="b">
        <v>0</v>
      </c>
      <c r="V483" s="17" t="b">
        <v>0</v>
      </c>
      <c r="W483" s="11" t="s">
        <v>1712</v>
      </c>
      <c r="X483" s="12" t="s">
        <v>14</v>
      </c>
      <c r="Y483" s="12" t="s">
        <v>14</v>
      </c>
      <c r="Z483" s="13" t="s">
        <v>280</v>
      </c>
    </row>
    <row r="484" spans="1:26" ht="19.899999999999999" customHeight="1" x14ac:dyDescent="0.25">
      <c r="A484" s="6">
        <v>45987</v>
      </c>
      <c r="B484" s="7" t="s">
        <v>1871</v>
      </c>
      <c r="C484" s="8" t="s">
        <v>1888</v>
      </c>
      <c r="D484" s="8" t="s">
        <v>265</v>
      </c>
      <c r="E484" s="8" t="s">
        <v>1885</v>
      </c>
      <c r="F484" s="9" t="s">
        <v>1886</v>
      </c>
      <c r="G484" s="9" t="s">
        <v>1303</v>
      </c>
      <c r="H484" s="9" t="s">
        <v>1887</v>
      </c>
      <c r="I484" s="9" t="s">
        <v>67</v>
      </c>
      <c r="J484" s="10" t="s">
        <v>230</v>
      </c>
      <c r="K484" s="15" t="str">
        <f>VLOOKUP(J484,DADOS!$A$3:$B$105,2,FALSE)</f>
        <v>EE-GI-026-001</v>
      </c>
      <c r="L484" s="15" t="s">
        <v>1877</v>
      </c>
      <c r="M484" s="18" t="b">
        <v>1</v>
      </c>
      <c r="N484" s="17" t="b">
        <v>1</v>
      </c>
      <c r="O484" s="17" t="b">
        <v>1</v>
      </c>
      <c r="P484" s="17" t="b">
        <v>1</v>
      </c>
      <c r="Q484" s="17" t="b">
        <v>0</v>
      </c>
      <c r="R484" s="17" t="b">
        <v>0</v>
      </c>
      <c r="S484" s="17" t="b">
        <v>1</v>
      </c>
      <c r="T484" s="17" t="b">
        <v>0</v>
      </c>
      <c r="U484" s="17" t="b">
        <v>0</v>
      </c>
      <c r="V484" s="17" t="b">
        <v>0</v>
      </c>
      <c r="W484" s="11" t="s">
        <v>265</v>
      </c>
      <c r="X484" s="12" t="s">
        <v>14</v>
      </c>
      <c r="Y484" s="12" t="s">
        <v>14</v>
      </c>
      <c r="Z484" s="13" t="s">
        <v>280</v>
      </c>
    </row>
    <row r="485" spans="1:26" ht="19.899999999999999" customHeight="1" x14ac:dyDescent="0.25">
      <c r="A485" s="6">
        <v>45987</v>
      </c>
      <c r="B485" s="7" t="s">
        <v>1871</v>
      </c>
      <c r="C485" s="8" t="s">
        <v>1901</v>
      </c>
      <c r="D485" s="8" t="s">
        <v>352</v>
      </c>
      <c r="E485" s="8" t="s">
        <v>1881</v>
      </c>
      <c r="F485" s="9" t="s">
        <v>1902</v>
      </c>
      <c r="G485" s="9" t="s">
        <v>1903</v>
      </c>
      <c r="H485" s="9" t="s">
        <v>1905</v>
      </c>
      <c r="I485" s="9" t="s">
        <v>67</v>
      </c>
      <c r="J485" s="10" t="s">
        <v>230</v>
      </c>
      <c r="K485" s="15" t="str">
        <f>VLOOKUP(J485,DADOS!$A$3:$B$105,2,FALSE)</f>
        <v>EE-GI-026-001</v>
      </c>
      <c r="L485" s="15" t="s">
        <v>1877</v>
      </c>
      <c r="M485" s="18" t="b">
        <v>1</v>
      </c>
      <c r="N485" s="17" t="b">
        <v>1</v>
      </c>
      <c r="O485" s="17" t="b">
        <v>1</v>
      </c>
      <c r="P485" s="17" t="b">
        <v>1</v>
      </c>
      <c r="Q485" s="17" t="b">
        <v>0</v>
      </c>
      <c r="R485" s="17" t="b">
        <v>0</v>
      </c>
      <c r="S485" s="17" t="b">
        <v>1</v>
      </c>
      <c r="T485" s="17" t="b">
        <v>0</v>
      </c>
      <c r="U485" s="17" t="b">
        <v>0</v>
      </c>
      <c r="V485" s="17" t="b">
        <v>0</v>
      </c>
      <c r="W485" s="11" t="s">
        <v>352</v>
      </c>
      <c r="X485" s="12" t="s">
        <v>14</v>
      </c>
      <c r="Y485" s="12" t="s">
        <v>14</v>
      </c>
      <c r="Z485" s="13" t="s">
        <v>280</v>
      </c>
    </row>
    <row r="486" spans="1:26" ht="19.899999999999999" customHeight="1" x14ac:dyDescent="0.25">
      <c r="A486" s="6">
        <v>45987</v>
      </c>
      <c r="B486" s="7" t="s">
        <v>1871</v>
      </c>
      <c r="C486" s="8" t="s">
        <v>1901</v>
      </c>
      <c r="D486" s="8" t="s">
        <v>290</v>
      </c>
      <c r="E486" s="8" t="s">
        <v>1885</v>
      </c>
      <c r="F486" s="9" t="s">
        <v>1904</v>
      </c>
      <c r="G486" s="9" t="s">
        <v>1239</v>
      </c>
      <c r="H486" s="9" t="s">
        <v>1906</v>
      </c>
      <c r="I486" s="9" t="s">
        <v>67</v>
      </c>
      <c r="J486" s="10" t="s">
        <v>230</v>
      </c>
      <c r="K486" s="15" t="str">
        <f>VLOOKUP(J486,DADOS!$A$3:$B$105,2,FALSE)</f>
        <v>EE-GI-026-001</v>
      </c>
      <c r="L486" s="15" t="s">
        <v>1877</v>
      </c>
      <c r="M486" s="18" t="b">
        <v>1</v>
      </c>
      <c r="N486" s="17" t="b">
        <v>1</v>
      </c>
      <c r="O486" s="17" t="b">
        <v>1</v>
      </c>
      <c r="P486" s="17" t="b">
        <v>1</v>
      </c>
      <c r="Q486" s="17" t="b">
        <v>0</v>
      </c>
      <c r="R486" s="17" t="b">
        <v>0</v>
      </c>
      <c r="S486" s="17" t="b">
        <v>1</v>
      </c>
      <c r="T486" s="17" t="b">
        <v>0</v>
      </c>
      <c r="U486" s="17" t="b">
        <v>0</v>
      </c>
      <c r="V486" s="17" t="b">
        <v>0</v>
      </c>
      <c r="W486" s="11" t="s">
        <v>290</v>
      </c>
      <c r="X486" s="12" t="s">
        <v>14</v>
      </c>
      <c r="Y486" s="12" t="s">
        <v>14</v>
      </c>
      <c r="Z486" s="13" t="s">
        <v>280</v>
      </c>
    </row>
    <row r="487" spans="1:26" ht="19.899999999999999" customHeight="1" x14ac:dyDescent="0.25">
      <c r="A487" s="6">
        <v>45987</v>
      </c>
      <c r="B487" s="7" t="s">
        <v>1871</v>
      </c>
      <c r="C487" s="8" t="s">
        <v>1893</v>
      </c>
      <c r="D487" s="8" t="s">
        <v>473</v>
      </c>
      <c r="E487" s="8" t="s">
        <v>1881</v>
      </c>
      <c r="F487" s="9" t="s">
        <v>1972</v>
      </c>
      <c r="G487" s="9" t="s">
        <v>1126</v>
      </c>
      <c r="H487" s="9" t="s">
        <v>1976</v>
      </c>
      <c r="I487" s="9" t="s">
        <v>67</v>
      </c>
      <c r="J487" s="10" t="s">
        <v>230</v>
      </c>
      <c r="K487" s="15" t="str">
        <f>VLOOKUP(J487,DADOS!$A$3:$B$105,2,FALSE)</f>
        <v>EE-GI-026-001</v>
      </c>
      <c r="L487" s="15" t="s">
        <v>1877</v>
      </c>
      <c r="M487" s="18" t="b">
        <v>1</v>
      </c>
      <c r="N487" s="17" t="b">
        <v>1</v>
      </c>
      <c r="O487" s="17" t="b">
        <v>1</v>
      </c>
      <c r="P487" s="17" t="b">
        <v>1</v>
      </c>
      <c r="Q487" s="17" t="b">
        <v>0</v>
      </c>
      <c r="R487" s="17" t="b">
        <v>0</v>
      </c>
      <c r="S487" s="17" t="b">
        <v>1</v>
      </c>
      <c r="T487" s="17" t="b">
        <v>0</v>
      </c>
      <c r="U487" s="17" t="b">
        <v>0</v>
      </c>
      <c r="V487" s="17" t="b">
        <v>0</v>
      </c>
      <c r="W487" s="11" t="s">
        <v>473</v>
      </c>
      <c r="X487" s="12" t="s">
        <v>14</v>
      </c>
      <c r="Y487" s="12" t="s">
        <v>14</v>
      </c>
      <c r="Z487" s="13" t="s">
        <v>280</v>
      </c>
    </row>
    <row r="488" spans="1:26" ht="19.899999999999999" customHeight="1" x14ac:dyDescent="0.25">
      <c r="A488" s="6">
        <v>45987</v>
      </c>
      <c r="B488" s="7" t="s">
        <v>1871</v>
      </c>
      <c r="C488" s="8" t="s">
        <v>1973</v>
      </c>
      <c r="D488" s="8" t="s">
        <v>628</v>
      </c>
      <c r="E488" s="8" t="s">
        <v>1881</v>
      </c>
      <c r="F488" s="9" t="s">
        <v>1974</v>
      </c>
      <c r="G488" s="9" t="s">
        <v>631</v>
      </c>
      <c r="H488" s="9" t="s">
        <v>1975</v>
      </c>
      <c r="I488" s="9" t="s">
        <v>66</v>
      </c>
      <c r="J488" s="10" t="s">
        <v>230</v>
      </c>
      <c r="K488" s="15" t="str">
        <f>VLOOKUP(J488,DADOS!$A$3:$B$105,2,FALSE)</f>
        <v>EE-GI-026-001</v>
      </c>
      <c r="L488" s="15" t="s">
        <v>1877</v>
      </c>
      <c r="M488" s="18" t="b">
        <v>1</v>
      </c>
      <c r="N488" s="17" t="b">
        <v>1</v>
      </c>
      <c r="O488" s="17" t="b">
        <v>1</v>
      </c>
      <c r="P488" s="17" t="b">
        <v>1</v>
      </c>
      <c r="Q488" s="17" t="b">
        <v>0</v>
      </c>
      <c r="R488" s="17" t="b">
        <v>0</v>
      </c>
      <c r="S488" s="17" t="b">
        <v>1</v>
      </c>
      <c r="T488" s="17" t="b">
        <v>0</v>
      </c>
      <c r="U488" s="17" t="b">
        <v>0</v>
      </c>
      <c r="V488" s="17" t="b">
        <v>0</v>
      </c>
      <c r="W488" s="11" t="s">
        <v>628</v>
      </c>
      <c r="X488" s="12" t="s">
        <v>14</v>
      </c>
      <c r="Y488" s="12" t="s">
        <v>14</v>
      </c>
      <c r="Z488" s="13" t="s">
        <v>280</v>
      </c>
    </row>
    <row r="489" spans="1:26" ht="19.899999999999999" customHeight="1" x14ac:dyDescent="0.25">
      <c r="A489" s="6">
        <v>45987</v>
      </c>
      <c r="B489" s="7" t="s">
        <v>1871</v>
      </c>
      <c r="C489" s="8" t="s">
        <v>1973</v>
      </c>
      <c r="D489" s="8" t="s">
        <v>1977</v>
      </c>
      <c r="E489" s="8" t="s">
        <v>1885</v>
      </c>
      <c r="F489" s="9" t="s">
        <v>1978</v>
      </c>
      <c r="G489" s="9" t="s">
        <v>1979</v>
      </c>
      <c r="H489" s="9" t="s">
        <v>1980</v>
      </c>
      <c r="I489" s="9" t="s">
        <v>66</v>
      </c>
      <c r="J489" s="10" t="s">
        <v>230</v>
      </c>
      <c r="K489" s="15" t="str">
        <f>VLOOKUP(J489,DADOS!$A$3:$B$105,2,FALSE)</f>
        <v>EE-GI-026-001</v>
      </c>
      <c r="L489" s="15" t="s">
        <v>1877</v>
      </c>
      <c r="M489" s="18" t="b">
        <v>1</v>
      </c>
      <c r="N489" s="17" t="b">
        <v>1</v>
      </c>
      <c r="O489" s="17" t="b">
        <v>1</v>
      </c>
      <c r="P489" s="17" t="b">
        <v>1</v>
      </c>
      <c r="Q489" s="17" t="b">
        <v>0</v>
      </c>
      <c r="R489" s="17" t="b">
        <v>0</v>
      </c>
      <c r="S489" s="17" t="b">
        <v>1</v>
      </c>
      <c r="T489" s="17" t="b">
        <v>0</v>
      </c>
      <c r="U489" s="17" t="b">
        <v>0</v>
      </c>
      <c r="V489" s="17" t="b">
        <v>0</v>
      </c>
      <c r="W489" s="11" t="s">
        <v>1977</v>
      </c>
      <c r="X489" s="12" t="s">
        <v>14</v>
      </c>
      <c r="Y489" s="12" t="s">
        <v>14</v>
      </c>
      <c r="Z489" s="13" t="s">
        <v>280</v>
      </c>
    </row>
    <row r="490" spans="1:26" ht="19.899999999999999" customHeight="1" x14ac:dyDescent="0.25">
      <c r="A490" s="6">
        <v>45987</v>
      </c>
      <c r="B490" s="7" t="s">
        <v>1871</v>
      </c>
      <c r="C490" s="8" t="s">
        <v>1981</v>
      </c>
      <c r="D490" s="8" t="s">
        <v>1982</v>
      </c>
      <c r="E490" s="8" t="s">
        <v>1885</v>
      </c>
      <c r="F490" s="9" t="s">
        <v>1983</v>
      </c>
      <c r="G490" s="9" t="s">
        <v>1984</v>
      </c>
      <c r="H490" s="9" t="s">
        <v>1986</v>
      </c>
      <c r="I490" s="9" t="s">
        <v>66</v>
      </c>
      <c r="J490" s="10" t="s">
        <v>230</v>
      </c>
      <c r="K490" s="15" t="str">
        <f>VLOOKUP(J490,DADOS!$A$3:$B$105,2,FALSE)</f>
        <v>EE-GI-026-001</v>
      </c>
      <c r="L490" s="15" t="s">
        <v>1877</v>
      </c>
      <c r="M490" s="18" t="b">
        <v>1</v>
      </c>
      <c r="N490" s="17" t="b">
        <v>1</v>
      </c>
      <c r="O490" s="17" t="b">
        <v>1</v>
      </c>
      <c r="P490" s="17" t="b">
        <v>1</v>
      </c>
      <c r="Q490" s="17" t="b">
        <v>0</v>
      </c>
      <c r="R490" s="17" t="b">
        <v>0</v>
      </c>
      <c r="S490" s="17" t="b">
        <v>1</v>
      </c>
      <c r="T490" s="17" t="b">
        <v>0</v>
      </c>
      <c r="U490" s="17" t="b">
        <v>0</v>
      </c>
      <c r="V490" s="17" t="b">
        <v>0</v>
      </c>
      <c r="W490" s="11" t="s">
        <v>1982</v>
      </c>
      <c r="X490" s="12" t="s">
        <v>14</v>
      </c>
      <c r="Y490" s="12" t="s">
        <v>14</v>
      </c>
      <c r="Z490" s="13" t="s">
        <v>280</v>
      </c>
    </row>
    <row r="491" spans="1:26" ht="19.899999999999999" customHeight="1" x14ac:dyDescent="0.25">
      <c r="A491" s="6">
        <v>45987</v>
      </c>
      <c r="B491" s="7" t="s">
        <v>1871</v>
      </c>
      <c r="C491" s="8" t="s">
        <v>1981</v>
      </c>
      <c r="D491" s="8" t="s">
        <v>1354</v>
      </c>
      <c r="E491" s="8" t="s">
        <v>1881</v>
      </c>
      <c r="F491" s="9" t="s">
        <v>1985</v>
      </c>
      <c r="G491" s="9" t="s">
        <v>1992</v>
      </c>
      <c r="H491" s="9" t="s">
        <v>1987</v>
      </c>
      <c r="I491" s="9" t="s">
        <v>66</v>
      </c>
      <c r="J491" s="10" t="s">
        <v>230</v>
      </c>
      <c r="K491" s="15" t="str">
        <f>VLOOKUP(J491,DADOS!$A$3:$B$105,2,FALSE)</f>
        <v>EE-GI-026-001</v>
      </c>
      <c r="L491" s="15" t="s">
        <v>1877</v>
      </c>
      <c r="M491" s="18" t="b">
        <v>1</v>
      </c>
      <c r="N491" s="17" t="b">
        <v>1</v>
      </c>
      <c r="O491" s="17" t="b">
        <v>1</v>
      </c>
      <c r="P491" s="17" t="b">
        <v>1</v>
      </c>
      <c r="Q491" s="17" t="b">
        <v>0</v>
      </c>
      <c r="R491" s="17" t="b">
        <v>0</v>
      </c>
      <c r="S491" s="17" t="b">
        <v>1</v>
      </c>
      <c r="T491" s="17" t="b">
        <v>0</v>
      </c>
      <c r="U491" s="17" t="b">
        <v>0</v>
      </c>
      <c r="V491" s="17" t="b">
        <v>0</v>
      </c>
      <c r="W491" s="11" t="s">
        <v>1354</v>
      </c>
      <c r="X491" s="12" t="s">
        <v>14</v>
      </c>
      <c r="Y491" s="12" t="s">
        <v>14</v>
      </c>
      <c r="Z491" s="13" t="s">
        <v>280</v>
      </c>
    </row>
    <row r="492" spans="1:26" ht="19.899999999999999" customHeight="1" x14ac:dyDescent="0.25">
      <c r="A492" s="6">
        <v>45987</v>
      </c>
      <c r="B492" s="7" t="s">
        <v>1871</v>
      </c>
      <c r="C492" s="8" t="s">
        <v>1988</v>
      </c>
      <c r="D492" s="8" t="s">
        <v>396</v>
      </c>
      <c r="E492" s="8" t="s">
        <v>1881</v>
      </c>
      <c r="F492" s="9" t="s">
        <v>1989</v>
      </c>
      <c r="G492" s="9" t="s">
        <v>631</v>
      </c>
      <c r="H492" s="9" t="s">
        <v>1993</v>
      </c>
      <c r="I492" s="9" t="s">
        <v>67</v>
      </c>
      <c r="J492" s="10" t="s">
        <v>230</v>
      </c>
      <c r="K492" s="15" t="str">
        <f>VLOOKUP(J492,DADOS!$A$3:$B$105,2,FALSE)</f>
        <v>EE-GI-026-001</v>
      </c>
      <c r="L492" s="15" t="s">
        <v>1877</v>
      </c>
      <c r="M492" s="18" t="b">
        <v>1</v>
      </c>
      <c r="N492" s="17" t="b">
        <v>1</v>
      </c>
      <c r="O492" s="17" t="b">
        <v>1</v>
      </c>
      <c r="P492" s="17" t="b">
        <v>1</v>
      </c>
      <c r="Q492" s="17" t="b">
        <v>0</v>
      </c>
      <c r="R492" s="17" t="b">
        <v>0</v>
      </c>
      <c r="S492" s="17" t="b">
        <v>1</v>
      </c>
      <c r="T492" s="17" t="b">
        <v>0</v>
      </c>
      <c r="U492" s="17" t="b">
        <v>0</v>
      </c>
      <c r="V492" s="17" t="b">
        <v>0</v>
      </c>
      <c r="W492" s="11" t="s">
        <v>396</v>
      </c>
      <c r="X492" s="12" t="s">
        <v>14</v>
      </c>
      <c r="Y492" s="12" t="s">
        <v>14</v>
      </c>
      <c r="Z492" s="13" t="s">
        <v>280</v>
      </c>
    </row>
    <row r="493" spans="1:26" ht="19.899999999999999" customHeight="1" x14ac:dyDescent="0.25">
      <c r="A493" s="6">
        <v>45987</v>
      </c>
      <c r="B493" s="7" t="s">
        <v>1871</v>
      </c>
      <c r="C493" s="8" t="s">
        <v>1988</v>
      </c>
      <c r="D493" s="8" t="s">
        <v>518</v>
      </c>
      <c r="E493" s="8" t="s">
        <v>1881</v>
      </c>
      <c r="F493" s="9" t="s">
        <v>1990</v>
      </c>
      <c r="G493" s="9" t="s">
        <v>631</v>
      </c>
      <c r="H493" s="9" t="s">
        <v>1993</v>
      </c>
      <c r="I493" s="9" t="s">
        <v>67</v>
      </c>
      <c r="J493" s="10" t="s">
        <v>230</v>
      </c>
      <c r="K493" s="15" t="str">
        <f>VLOOKUP(J493,DADOS!$A$3:$B$105,2,FALSE)</f>
        <v>EE-GI-026-001</v>
      </c>
      <c r="L493" s="15" t="s">
        <v>1877</v>
      </c>
      <c r="M493" s="18" t="b">
        <v>1</v>
      </c>
      <c r="N493" s="17" t="b">
        <v>1</v>
      </c>
      <c r="O493" s="17" t="b">
        <v>1</v>
      </c>
      <c r="P493" s="17" t="b">
        <v>1</v>
      </c>
      <c r="Q493" s="17" t="b">
        <v>0</v>
      </c>
      <c r="R493" s="17" t="b">
        <v>0</v>
      </c>
      <c r="S493" s="17" t="b">
        <v>1</v>
      </c>
      <c r="T493" s="17" t="b">
        <v>0</v>
      </c>
      <c r="U493" s="17" t="b">
        <v>0</v>
      </c>
      <c r="V493" s="17" t="b">
        <v>0</v>
      </c>
      <c r="W493" s="11" t="s">
        <v>518</v>
      </c>
      <c r="X493" s="12" t="s">
        <v>14</v>
      </c>
      <c r="Y493" s="12" t="s">
        <v>14</v>
      </c>
      <c r="Z493" s="13" t="s">
        <v>280</v>
      </c>
    </row>
    <row r="494" spans="1:26" ht="19.899999999999999" customHeight="1" x14ac:dyDescent="0.25">
      <c r="A494" s="6">
        <v>45987</v>
      </c>
      <c r="B494" s="7" t="s">
        <v>1871</v>
      </c>
      <c r="C494" s="8" t="s">
        <v>1988</v>
      </c>
      <c r="D494" s="8" t="s">
        <v>265</v>
      </c>
      <c r="E494" s="8" t="s">
        <v>1881</v>
      </c>
      <c r="F494" s="9" t="s">
        <v>1991</v>
      </c>
      <c r="G494" s="9" t="s">
        <v>631</v>
      </c>
      <c r="H494" s="9" t="s">
        <v>1993</v>
      </c>
      <c r="I494" s="9" t="s">
        <v>67</v>
      </c>
      <c r="J494" s="10" t="s">
        <v>230</v>
      </c>
      <c r="K494" s="15" t="str">
        <f>VLOOKUP(J494,DADOS!$A$3:$B$105,2,FALSE)</f>
        <v>EE-GI-026-001</v>
      </c>
      <c r="L494" s="15" t="s">
        <v>1877</v>
      </c>
      <c r="M494" s="18" t="b">
        <v>1</v>
      </c>
      <c r="N494" s="17" t="b">
        <v>1</v>
      </c>
      <c r="O494" s="17" t="b">
        <v>1</v>
      </c>
      <c r="P494" s="17" t="b">
        <v>1</v>
      </c>
      <c r="Q494" s="17" t="b">
        <v>0</v>
      </c>
      <c r="R494" s="17" t="b">
        <v>0</v>
      </c>
      <c r="S494" s="17" t="b">
        <v>1</v>
      </c>
      <c r="T494" s="17" t="b">
        <v>0</v>
      </c>
      <c r="U494" s="17" t="b">
        <v>0</v>
      </c>
      <c r="V494" s="17" t="b">
        <v>0</v>
      </c>
      <c r="W494" s="11" t="s">
        <v>265</v>
      </c>
      <c r="X494" s="12" t="s">
        <v>14</v>
      </c>
      <c r="Y494" s="12" t="s">
        <v>14</v>
      </c>
      <c r="Z494" s="13" t="s">
        <v>280</v>
      </c>
    </row>
    <row r="495" spans="1:26" ht="19.899999999999999" customHeight="1" x14ac:dyDescent="0.25">
      <c r="A495" s="6">
        <v>45987</v>
      </c>
      <c r="B495" s="7" t="s">
        <v>1871</v>
      </c>
      <c r="C495" s="8" t="s">
        <v>1994</v>
      </c>
      <c r="D495" s="8" t="s">
        <v>1995</v>
      </c>
      <c r="E495" s="8" t="s">
        <v>1885</v>
      </c>
      <c r="F495" s="9" t="s">
        <v>1996</v>
      </c>
      <c r="G495" s="9" t="s">
        <v>1239</v>
      </c>
      <c r="H495" s="9" t="s">
        <v>1998</v>
      </c>
      <c r="I495" s="9" t="s">
        <v>67</v>
      </c>
      <c r="J495" s="10" t="s">
        <v>230</v>
      </c>
      <c r="K495" s="15" t="str">
        <f>VLOOKUP(J495,DADOS!$A$3:$B$105,2,FALSE)</f>
        <v>EE-GI-026-001</v>
      </c>
      <c r="L495" s="15" t="s">
        <v>1877</v>
      </c>
      <c r="M495" s="18" t="b">
        <v>1</v>
      </c>
      <c r="N495" s="17" t="b">
        <v>1</v>
      </c>
      <c r="O495" s="17" t="b">
        <v>1</v>
      </c>
      <c r="P495" s="17" t="b">
        <v>1</v>
      </c>
      <c r="Q495" s="17" t="b">
        <v>0</v>
      </c>
      <c r="R495" s="17" t="b">
        <v>0</v>
      </c>
      <c r="S495" s="17" t="b">
        <v>1</v>
      </c>
      <c r="T495" s="17" t="b">
        <v>0</v>
      </c>
      <c r="U495" s="17" t="b">
        <v>0</v>
      </c>
      <c r="V495" s="17" t="b">
        <v>0</v>
      </c>
      <c r="W495" s="11" t="s">
        <v>1995</v>
      </c>
      <c r="X495" s="12" t="s">
        <v>14</v>
      </c>
      <c r="Y495" s="12" t="s">
        <v>14</v>
      </c>
      <c r="Z495" s="13" t="s">
        <v>280</v>
      </c>
    </row>
    <row r="496" spans="1:26" ht="19.899999999999999" customHeight="1" x14ac:dyDescent="0.25">
      <c r="A496" s="6">
        <v>45987</v>
      </c>
      <c r="B496" s="7" t="s">
        <v>1871</v>
      </c>
      <c r="C496" s="8" t="s">
        <v>1994</v>
      </c>
      <c r="D496" s="8" t="s">
        <v>776</v>
      </c>
      <c r="E496" s="8" t="s">
        <v>1885</v>
      </c>
      <c r="F496" s="9" t="s">
        <v>1997</v>
      </c>
      <c r="G496" s="9" t="s">
        <v>1239</v>
      </c>
      <c r="H496" s="9" t="s">
        <v>1998</v>
      </c>
      <c r="I496" s="9" t="s">
        <v>67</v>
      </c>
      <c r="J496" s="10" t="s">
        <v>230</v>
      </c>
      <c r="K496" s="15" t="str">
        <f>VLOOKUP(J496,DADOS!$A$3:$B$105,2,FALSE)</f>
        <v>EE-GI-026-001</v>
      </c>
      <c r="L496" s="15" t="s">
        <v>1877</v>
      </c>
      <c r="M496" s="18" t="b">
        <v>1</v>
      </c>
      <c r="N496" s="17" t="b">
        <v>1</v>
      </c>
      <c r="O496" s="17" t="b">
        <v>1</v>
      </c>
      <c r="P496" s="17" t="b">
        <v>1</v>
      </c>
      <c r="Q496" s="17" t="b">
        <v>0</v>
      </c>
      <c r="R496" s="17" t="b">
        <v>0</v>
      </c>
      <c r="S496" s="17" t="b">
        <v>1</v>
      </c>
      <c r="T496" s="17" t="b">
        <v>0</v>
      </c>
      <c r="U496" s="17" t="b">
        <v>0</v>
      </c>
      <c r="V496" s="17" t="b">
        <v>0</v>
      </c>
      <c r="W496" s="11" t="s">
        <v>776</v>
      </c>
      <c r="X496" s="12" t="s">
        <v>14</v>
      </c>
      <c r="Y496" s="12" t="s">
        <v>14</v>
      </c>
      <c r="Z496" s="13" t="s">
        <v>280</v>
      </c>
    </row>
    <row r="497" spans="1:26" ht="19.899999999999999" customHeight="1" x14ac:dyDescent="0.25">
      <c r="A497" s="6">
        <v>45987</v>
      </c>
      <c r="B497" s="7" t="s">
        <v>1871</v>
      </c>
      <c r="C497" s="8" t="s">
        <v>1999</v>
      </c>
      <c r="D497" s="8" t="s">
        <v>419</v>
      </c>
      <c r="E497" s="8" t="s">
        <v>1881</v>
      </c>
      <c r="F497" s="9" t="s">
        <v>2000</v>
      </c>
      <c r="G497" s="9" t="s">
        <v>640</v>
      </c>
      <c r="H497" s="9" t="s">
        <v>2003</v>
      </c>
      <c r="I497" s="9" t="s">
        <v>66</v>
      </c>
      <c r="J497" s="10" t="s">
        <v>230</v>
      </c>
      <c r="K497" s="15" t="str">
        <f>VLOOKUP(J497,DADOS!$A$3:$B$105,2,FALSE)</f>
        <v>EE-GI-026-001</v>
      </c>
      <c r="L497" s="15" t="s">
        <v>1877</v>
      </c>
      <c r="M497" s="18" t="b">
        <v>1</v>
      </c>
      <c r="N497" s="17" t="b">
        <v>1</v>
      </c>
      <c r="O497" s="17" t="b">
        <v>1</v>
      </c>
      <c r="P497" s="17" t="b">
        <v>1</v>
      </c>
      <c r="Q497" s="17" t="b">
        <v>0</v>
      </c>
      <c r="R497" s="17" t="b">
        <v>0</v>
      </c>
      <c r="S497" s="17" t="b">
        <v>1</v>
      </c>
      <c r="T497" s="17" t="b">
        <v>0</v>
      </c>
      <c r="U497" s="17" t="b">
        <v>0</v>
      </c>
      <c r="V497" s="17" t="b">
        <v>0</v>
      </c>
      <c r="W497" s="11" t="s">
        <v>419</v>
      </c>
      <c r="X497" s="12" t="s">
        <v>14</v>
      </c>
      <c r="Y497" s="12" t="s">
        <v>14</v>
      </c>
      <c r="Z497" s="13" t="s">
        <v>280</v>
      </c>
    </row>
    <row r="498" spans="1:26" ht="19.899999999999999" customHeight="1" x14ac:dyDescent="0.25">
      <c r="A498" s="6">
        <v>45987</v>
      </c>
      <c r="B498" s="7" t="s">
        <v>1871</v>
      </c>
      <c r="C498" s="8" t="s">
        <v>1999</v>
      </c>
      <c r="D498" s="8" t="s">
        <v>1120</v>
      </c>
      <c r="E498" s="8" t="s">
        <v>1881</v>
      </c>
      <c r="F498" s="9" t="s">
        <v>2001</v>
      </c>
      <c r="G498" s="9" t="s">
        <v>640</v>
      </c>
      <c r="H498" s="9" t="s">
        <v>2003</v>
      </c>
      <c r="I498" s="9" t="s">
        <v>66</v>
      </c>
      <c r="J498" s="10" t="s">
        <v>230</v>
      </c>
      <c r="K498" s="15" t="str">
        <f>VLOOKUP(J498,DADOS!$A$3:$B$105,2,FALSE)</f>
        <v>EE-GI-026-001</v>
      </c>
      <c r="L498" s="15" t="s">
        <v>1877</v>
      </c>
      <c r="M498" s="18" t="b">
        <v>1</v>
      </c>
      <c r="N498" s="17" t="b">
        <v>1</v>
      </c>
      <c r="O498" s="17" t="b">
        <v>1</v>
      </c>
      <c r="P498" s="17" t="b">
        <v>1</v>
      </c>
      <c r="Q498" s="17" t="b">
        <v>0</v>
      </c>
      <c r="R498" s="17" t="b">
        <v>0</v>
      </c>
      <c r="S498" s="17" t="b">
        <v>1</v>
      </c>
      <c r="T498" s="17" t="b">
        <v>0</v>
      </c>
      <c r="U498" s="17" t="b">
        <v>0</v>
      </c>
      <c r="V498" s="17" t="b">
        <v>0</v>
      </c>
      <c r="W498" s="11" t="s">
        <v>1120</v>
      </c>
      <c r="X498" s="12" t="s">
        <v>14</v>
      </c>
      <c r="Y498" s="12" t="s">
        <v>14</v>
      </c>
      <c r="Z498" s="13" t="s">
        <v>280</v>
      </c>
    </row>
    <row r="499" spans="1:26" ht="19.899999999999999" customHeight="1" x14ac:dyDescent="0.25">
      <c r="A499" s="6">
        <v>45987</v>
      </c>
      <c r="B499" s="7" t="s">
        <v>1871</v>
      </c>
      <c r="C499" s="8" t="s">
        <v>1999</v>
      </c>
      <c r="D499" s="8" t="s">
        <v>352</v>
      </c>
      <c r="E499" s="8" t="s">
        <v>1881</v>
      </c>
      <c r="F499" s="9" t="s">
        <v>2002</v>
      </c>
      <c r="G499" s="9" t="s">
        <v>640</v>
      </c>
      <c r="H499" s="9" t="s">
        <v>2003</v>
      </c>
      <c r="I499" s="9" t="s">
        <v>66</v>
      </c>
      <c r="J499" s="10" t="s">
        <v>230</v>
      </c>
      <c r="K499" s="15" t="str">
        <f>VLOOKUP(J499,DADOS!$A$3:$B$105,2,FALSE)</f>
        <v>EE-GI-026-001</v>
      </c>
      <c r="L499" s="15" t="s">
        <v>1877</v>
      </c>
      <c r="M499" s="18" t="b">
        <v>1</v>
      </c>
      <c r="N499" s="17" t="b">
        <v>1</v>
      </c>
      <c r="O499" s="17" t="b">
        <v>1</v>
      </c>
      <c r="P499" s="17" t="b">
        <v>1</v>
      </c>
      <c r="Q499" s="17" t="b">
        <v>0</v>
      </c>
      <c r="R499" s="17" t="b">
        <v>0</v>
      </c>
      <c r="S499" s="17" t="b">
        <v>1</v>
      </c>
      <c r="T499" s="17" t="b">
        <v>0</v>
      </c>
      <c r="U499" s="17" t="b">
        <v>0</v>
      </c>
      <c r="V499" s="17" t="b">
        <v>0</v>
      </c>
      <c r="W499" s="11" t="s">
        <v>352</v>
      </c>
      <c r="X499" s="12" t="s">
        <v>14</v>
      </c>
      <c r="Y499" s="12" t="s">
        <v>14</v>
      </c>
      <c r="Z499" s="13" t="s">
        <v>280</v>
      </c>
    </row>
    <row r="500" spans="1:26" ht="19.899999999999999" customHeight="1" x14ac:dyDescent="0.25">
      <c r="A500" s="6">
        <v>45987</v>
      </c>
      <c r="B500" s="7" t="s">
        <v>1871</v>
      </c>
      <c r="C500" s="8" t="s">
        <v>2004</v>
      </c>
      <c r="D500" s="8" t="s">
        <v>352</v>
      </c>
      <c r="E500" s="8" t="s">
        <v>1881</v>
      </c>
      <c r="F500" s="9" t="s">
        <v>2005</v>
      </c>
      <c r="G500" s="9" t="s">
        <v>649</v>
      </c>
      <c r="H500" s="9" t="s">
        <v>2007</v>
      </c>
      <c r="I500" s="9" t="s">
        <v>73</v>
      </c>
      <c r="J500" s="10" t="s">
        <v>230</v>
      </c>
      <c r="K500" s="15" t="str">
        <f>VLOOKUP(J500,DADOS!$A$3:$B$105,2,FALSE)</f>
        <v>EE-GI-026-001</v>
      </c>
      <c r="L500" s="15" t="s">
        <v>1877</v>
      </c>
      <c r="M500" s="18" t="b">
        <v>1</v>
      </c>
      <c r="N500" s="17" t="b">
        <v>1</v>
      </c>
      <c r="O500" s="17" t="b">
        <v>1</v>
      </c>
      <c r="P500" s="17" t="b">
        <v>1</v>
      </c>
      <c r="Q500" s="17" t="b">
        <v>0</v>
      </c>
      <c r="R500" s="17" t="b">
        <v>0</v>
      </c>
      <c r="S500" s="17" t="b">
        <v>1</v>
      </c>
      <c r="T500" s="17" t="b">
        <v>0</v>
      </c>
      <c r="U500" s="17" t="b">
        <v>0</v>
      </c>
      <c r="V500" s="17" t="b">
        <v>0</v>
      </c>
      <c r="W500" s="11" t="s">
        <v>352</v>
      </c>
      <c r="X500" s="12" t="s">
        <v>14</v>
      </c>
      <c r="Y500" s="12" t="s">
        <v>14</v>
      </c>
      <c r="Z500" s="13" t="s">
        <v>280</v>
      </c>
    </row>
    <row r="501" spans="1:26" ht="19.899999999999999" customHeight="1" x14ac:dyDescent="0.25">
      <c r="A501" s="6">
        <v>45987</v>
      </c>
      <c r="B501" s="7" t="s">
        <v>1871</v>
      </c>
      <c r="C501" s="8" t="s">
        <v>2004</v>
      </c>
      <c r="D501" s="8" t="s">
        <v>352</v>
      </c>
      <c r="E501" s="8" t="s">
        <v>1881</v>
      </c>
      <c r="F501" s="9" t="s">
        <v>2006</v>
      </c>
      <c r="G501" s="9" t="s">
        <v>649</v>
      </c>
      <c r="H501" s="9" t="s">
        <v>2007</v>
      </c>
      <c r="I501" s="9" t="s">
        <v>73</v>
      </c>
      <c r="J501" s="10" t="s">
        <v>230</v>
      </c>
      <c r="K501" s="15" t="str">
        <f>VLOOKUP(J501,DADOS!$A$3:$B$105,2,FALSE)</f>
        <v>EE-GI-026-001</v>
      </c>
      <c r="L501" s="15" t="s">
        <v>1877</v>
      </c>
      <c r="M501" s="18" t="b">
        <v>1</v>
      </c>
      <c r="N501" s="17" t="b">
        <v>1</v>
      </c>
      <c r="O501" s="17" t="b">
        <v>1</v>
      </c>
      <c r="P501" s="17" t="b">
        <v>1</v>
      </c>
      <c r="Q501" s="17" t="b">
        <v>0</v>
      </c>
      <c r="R501" s="17" t="b">
        <v>0</v>
      </c>
      <c r="S501" s="17" t="b">
        <v>1</v>
      </c>
      <c r="T501" s="17" t="b">
        <v>0</v>
      </c>
      <c r="U501" s="17" t="b">
        <v>0</v>
      </c>
      <c r="V501" s="17" t="b">
        <v>0</v>
      </c>
      <c r="W501" s="11" t="s">
        <v>352</v>
      </c>
      <c r="X501" s="12" t="s">
        <v>14</v>
      </c>
      <c r="Y501" s="12" t="s">
        <v>14</v>
      </c>
      <c r="Z501" s="13" t="s">
        <v>280</v>
      </c>
    </row>
    <row r="502" spans="1:26" ht="19.899999999999999" customHeight="1" x14ac:dyDescent="0.25">
      <c r="A502" s="6">
        <v>45987</v>
      </c>
      <c r="B502" s="7" t="s">
        <v>296</v>
      </c>
      <c r="C502" s="8" t="s">
        <v>1603</v>
      </c>
      <c r="D502" s="8" t="s">
        <v>265</v>
      </c>
      <c r="E502" s="8" t="s">
        <v>1604</v>
      </c>
      <c r="F502" s="9" t="s">
        <v>1605</v>
      </c>
      <c r="G502" s="9" t="s">
        <v>1610</v>
      </c>
      <c r="H502" s="9" t="s">
        <v>1611</v>
      </c>
      <c r="I502" s="9" t="s">
        <v>65</v>
      </c>
      <c r="J502" s="10" t="s">
        <v>255</v>
      </c>
      <c r="K502" s="15" t="str">
        <f>VLOOKUP(J502,DADOS!$A$3:$B$105,2,FALSE)</f>
        <v>EE-GI-001-074</v>
      </c>
      <c r="L502" s="15" t="s">
        <v>304</v>
      </c>
      <c r="M502" s="18" t="b">
        <v>1</v>
      </c>
      <c r="N502" s="17" t="b">
        <v>1</v>
      </c>
      <c r="O502" s="17" t="b">
        <v>1</v>
      </c>
      <c r="P502" s="17" t="b">
        <v>1</v>
      </c>
      <c r="Q502" s="17" t="b">
        <v>0</v>
      </c>
      <c r="R502" s="17" t="b">
        <v>1</v>
      </c>
      <c r="S502" s="17" t="b">
        <v>0</v>
      </c>
      <c r="T502" s="17" t="b">
        <v>1</v>
      </c>
      <c r="U502" s="17" t="b">
        <v>1</v>
      </c>
      <c r="V502" s="17" t="b">
        <v>1</v>
      </c>
      <c r="W502" s="11" t="s">
        <v>265</v>
      </c>
      <c r="X502" s="12" t="s">
        <v>14</v>
      </c>
      <c r="Y502" s="12" t="s">
        <v>14</v>
      </c>
      <c r="Z502" s="13" t="s">
        <v>280</v>
      </c>
    </row>
    <row r="503" spans="1:26" ht="19.899999999999999" customHeight="1" x14ac:dyDescent="0.25">
      <c r="A503" s="6">
        <v>45987</v>
      </c>
      <c r="B503" s="7" t="s">
        <v>296</v>
      </c>
      <c r="C503" s="8" t="s">
        <v>1703</v>
      </c>
      <c r="D503" s="8" t="s">
        <v>1354</v>
      </c>
      <c r="E503" s="8" t="s">
        <v>1704</v>
      </c>
      <c r="F503" s="9" t="s">
        <v>1705</v>
      </c>
      <c r="G503" s="9" t="s">
        <v>1706</v>
      </c>
      <c r="H503" s="9" t="s">
        <v>1707</v>
      </c>
      <c r="I503" s="9" t="s">
        <v>67</v>
      </c>
      <c r="J503" s="10" t="s">
        <v>174</v>
      </c>
      <c r="K503" s="15" t="str">
        <f>VLOOKUP(J503,DADOS!$A$3:$B$105,2,FALSE)</f>
        <v>EE-GI-001-007</v>
      </c>
      <c r="L503" s="15" t="s">
        <v>304</v>
      </c>
      <c r="M503" s="18" t="b">
        <v>1</v>
      </c>
      <c r="N503" s="17" t="b">
        <v>1</v>
      </c>
      <c r="O503" s="17" t="b">
        <v>1</v>
      </c>
      <c r="P503" s="17" t="b">
        <v>1</v>
      </c>
      <c r="Q503" s="17" t="b">
        <v>0</v>
      </c>
      <c r="R503" s="17" t="b">
        <v>1</v>
      </c>
      <c r="S503" s="17" t="b">
        <v>0</v>
      </c>
      <c r="T503" s="17" t="b">
        <v>0</v>
      </c>
      <c r="U503" s="17" t="b">
        <v>0</v>
      </c>
      <c r="V503" s="17" t="b">
        <v>1</v>
      </c>
      <c r="W503" s="11" t="s">
        <v>1354</v>
      </c>
      <c r="X503" s="12" t="s">
        <v>14</v>
      </c>
      <c r="Y503" s="12" t="s">
        <v>14</v>
      </c>
      <c r="Z503" s="13" t="s">
        <v>280</v>
      </c>
    </row>
    <row r="504" spans="1:26" ht="19.899999999999999" customHeight="1" x14ac:dyDescent="0.25">
      <c r="A504" s="6">
        <v>45987</v>
      </c>
      <c r="B504" s="7" t="s">
        <v>296</v>
      </c>
      <c r="C504" s="8" t="s">
        <v>1708</v>
      </c>
      <c r="D504" s="8" t="s">
        <v>265</v>
      </c>
      <c r="E504" s="8" t="s">
        <v>1704</v>
      </c>
      <c r="F504" s="9" t="s">
        <v>1709</v>
      </c>
      <c r="G504" s="9" t="s">
        <v>1239</v>
      </c>
      <c r="H504" s="9" t="s">
        <v>1710</v>
      </c>
      <c r="I504" s="9" t="s">
        <v>67</v>
      </c>
      <c r="J504" s="10" t="s">
        <v>174</v>
      </c>
      <c r="K504" s="15" t="str">
        <f>VLOOKUP(J504,DADOS!$A$3:$B$105,2,FALSE)</f>
        <v>EE-GI-001-007</v>
      </c>
      <c r="L504" s="15" t="s">
        <v>304</v>
      </c>
      <c r="M504" s="18" t="b">
        <v>1</v>
      </c>
      <c r="N504" s="17" t="b">
        <v>1</v>
      </c>
      <c r="O504" s="17" t="b">
        <v>1</v>
      </c>
      <c r="P504" s="17" t="b">
        <v>1</v>
      </c>
      <c r="Q504" s="17" t="b">
        <v>0</v>
      </c>
      <c r="R504" s="17" t="b">
        <v>1</v>
      </c>
      <c r="S504" s="17" t="b">
        <v>0</v>
      </c>
      <c r="T504" s="17" t="b">
        <v>0</v>
      </c>
      <c r="U504" s="17" t="b">
        <v>0</v>
      </c>
      <c r="V504" s="17" t="b">
        <v>1</v>
      </c>
      <c r="W504" s="11" t="s">
        <v>265</v>
      </c>
      <c r="X504" s="12" t="s">
        <v>14</v>
      </c>
      <c r="Y504" s="12" t="s">
        <v>14</v>
      </c>
      <c r="Z504" s="13" t="s">
        <v>280</v>
      </c>
    </row>
    <row r="505" spans="1:26" ht="19.899999999999999" customHeight="1" x14ac:dyDescent="0.25">
      <c r="A505" s="6">
        <v>45987</v>
      </c>
      <c r="B505" s="7" t="s">
        <v>1690</v>
      </c>
      <c r="C505" s="8" t="s">
        <v>739</v>
      </c>
      <c r="D505" s="8" t="s">
        <v>352</v>
      </c>
      <c r="E505" s="8" t="s">
        <v>1691</v>
      </c>
      <c r="F505" s="9" t="s">
        <v>1692</v>
      </c>
      <c r="G505" s="9" t="s">
        <v>736</v>
      </c>
      <c r="H505" s="9" t="s">
        <v>1693</v>
      </c>
      <c r="I505" s="9" t="s">
        <v>66</v>
      </c>
      <c r="J505" s="10" t="s">
        <v>186</v>
      </c>
      <c r="K505" s="15" t="str">
        <f>VLOOKUP(J505,DADOS!$A$3:$B$105,2,FALSE)</f>
        <v>EE-GI-001-008</v>
      </c>
      <c r="L505" s="15" t="s">
        <v>321</v>
      </c>
      <c r="M505" s="18" t="b">
        <v>1</v>
      </c>
      <c r="N505" s="17" t="b">
        <v>1</v>
      </c>
      <c r="O505" s="17" t="b">
        <v>1</v>
      </c>
      <c r="P505" s="17" t="b">
        <v>1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1</v>
      </c>
      <c r="W505" s="11" t="s">
        <v>352</v>
      </c>
      <c r="X505" s="12" t="s">
        <v>14</v>
      </c>
      <c r="Y505" s="12" t="s">
        <v>14</v>
      </c>
      <c r="Z505" s="13" t="s">
        <v>322</v>
      </c>
    </row>
    <row r="506" spans="1:26" ht="19.899999999999999" customHeight="1" x14ac:dyDescent="0.25">
      <c r="A506" s="6">
        <v>45987</v>
      </c>
      <c r="B506" s="7" t="s">
        <v>632</v>
      </c>
      <c r="C506" s="8" t="s">
        <v>1711</v>
      </c>
      <c r="D506" s="8" t="s">
        <v>298</v>
      </c>
      <c r="E506" s="8" t="s">
        <v>1713</v>
      </c>
      <c r="F506" s="9" t="s">
        <v>1714</v>
      </c>
      <c r="G506" s="9" t="s">
        <v>1239</v>
      </c>
      <c r="H506" s="9" t="s">
        <v>1717</v>
      </c>
      <c r="I506" s="9" t="s">
        <v>67</v>
      </c>
      <c r="J506" s="10" t="s">
        <v>174</v>
      </c>
      <c r="K506" s="15" t="str">
        <f>VLOOKUP(J506,DADOS!$A$3:$B$105,2,FALSE)</f>
        <v>EE-GI-001-007</v>
      </c>
      <c r="L506" s="15" t="s">
        <v>304</v>
      </c>
      <c r="M506" s="18" t="b">
        <v>1</v>
      </c>
      <c r="N506" s="17" t="b">
        <v>1</v>
      </c>
      <c r="O506" s="17" t="b">
        <v>1</v>
      </c>
      <c r="P506" s="17" t="b">
        <v>1</v>
      </c>
      <c r="Q506" s="17" t="b">
        <v>0</v>
      </c>
      <c r="R506" s="17" t="b">
        <v>1</v>
      </c>
      <c r="S506" s="17" t="b">
        <v>0</v>
      </c>
      <c r="T506" s="17" t="b">
        <v>0</v>
      </c>
      <c r="U506" s="17" t="b">
        <v>0</v>
      </c>
      <c r="V506" s="17" t="b">
        <v>1</v>
      </c>
      <c r="W506" s="11" t="s">
        <v>298</v>
      </c>
      <c r="X506" s="12" t="s">
        <v>14</v>
      </c>
      <c r="Y506" s="12" t="s">
        <v>14</v>
      </c>
      <c r="Z506" s="13" t="s">
        <v>280</v>
      </c>
    </row>
    <row r="507" spans="1:26" ht="19.899999999999999" customHeight="1" x14ac:dyDescent="0.25">
      <c r="A507" s="6">
        <v>45987</v>
      </c>
      <c r="B507" s="7" t="s">
        <v>632</v>
      </c>
      <c r="C507" s="8" t="s">
        <v>1711</v>
      </c>
      <c r="D507" s="8" t="s">
        <v>1712</v>
      </c>
      <c r="E507" s="8" t="s">
        <v>1713</v>
      </c>
      <c r="F507" s="9" t="s">
        <v>1715</v>
      </c>
      <c r="G507" s="9" t="s">
        <v>1716</v>
      </c>
      <c r="H507" s="9" t="s">
        <v>1717</v>
      </c>
      <c r="I507" s="9" t="s">
        <v>67</v>
      </c>
      <c r="J507" s="10" t="s">
        <v>174</v>
      </c>
      <c r="K507" s="15" t="str">
        <f>VLOOKUP(J507,DADOS!$A$3:$B$105,2,FALSE)</f>
        <v>EE-GI-001-007</v>
      </c>
      <c r="L507" s="15" t="s">
        <v>304</v>
      </c>
      <c r="M507" s="18" t="b">
        <v>1</v>
      </c>
      <c r="N507" s="17" t="b">
        <v>1</v>
      </c>
      <c r="O507" s="17" t="b">
        <v>1</v>
      </c>
      <c r="P507" s="17" t="b">
        <v>1</v>
      </c>
      <c r="Q507" s="17" t="b">
        <v>0</v>
      </c>
      <c r="R507" s="17" t="b">
        <v>1</v>
      </c>
      <c r="S507" s="17" t="b">
        <v>0</v>
      </c>
      <c r="T507" s="17" t="b">
        <v>0</v>
      </c>
      <c r="U507" s="17" t="b">
        <v>0</v>
      </c>
      <c r="V507" s="17" t="b">
        <v>1</v>
      </c>
      <c r="W507" s="11" t="s">
        <v>1712</v>
      </c>
      <c r="X507" s="12" t="s">
        <v>14</v>
      </c>
      <c r="Y507" s="12" t="s">
        <v>14</v>
      </c>
      <c r="Z507" s="13" t="s">
        <v>280</v>
      </c>
    </row>
    <row r="508" spans="1:26" ht="19.899999999999999" customHeight="1" x14ac:dyDescent="0.25">
      <c r="A508" s="6">
        <v>45987</v>
      </c>
      <c r="B508" s="7" t="s">
        <v>727</v>
      </c>
      <c r="C508" s="8" t="s">
        <v>415</v>
      </c>
      <c r="D508" s="8" t="s">
        <v>323</v>
      </c>
      <c r="E508" s="8" t="s">
        <v>1659</v>
      </c>
      <c r="F508" s="9" t="s">
        <v>1660</v>
      </c>
      <c r="G508" s="9" t="s">
        <v>1661</v>
      </c>
      <c r="H508" s="9" t="s">
        <v>14</v>
      </c>
      <c r="I508" s="9" t="s">
        <v>66</v>
      </c>
      <c r="J508" s="10" t="s">
        <v>186</v>
      </c>
      <c r="K508" s="15" t="str">
        <f>VLOOKUP(J508,DADOS!$A$3:$B$105,2,FALSE)</f>
        <v>EE-GI-001-008</v>
      </c>
      <c r="L508" s="15" t="s">
        <v>332</v>
      </c>
      <c r="M508" s="18" t="b">
        <v>0</v>
      </c>
      <c r="N508" s="17" t="b">
        <v>1</v>
      </c>
      <c r="O508" s="17" t="b">
        <v>1</v>
      </c>
      <c r="P508" s="17" t="b">
        <v>1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1</v>
      </c>
      <c r="W508" s="11" t="s">
        <v>323</v>
      </c>
      <c r="X508" s="12" t="s">
        <v>14</v>
      </c>
      <c r="Y508" s="12" t="s">
        <v>14</v>
      </c>
      <c r="Z508" s="13" t="s">
        <v>280</v>
      </c>
    </row>
    <row r="509" spans="1:26" ht="19.899999999999999" customHeight="1" x14ac:dyDescent="0.25">
      <c r="A509" s="6">
        <v>45987</v>
      </c>
      <c r="B509" s="7" t="s">
        <v>727</v>
      </c>
      <c r="C509" s="8" t="s">
        <v>1662</v>
      </c>
      <c r="D509" s="8" t="s">
        <v>518</v>
      </c>
      <c r="E509" s="8" t="s">
        <v>1663</v>
      </c>
      <c r="F509" s="9" t="s">
        <v>1664</v>
      </c>
      <c r="G509" s="9" t="s">
        <v>1665</v>
      </c>
      <c r="H509" s="9" t="s">
        <v>14</v>
      </c>
      <c r="I509" s="9" t="s">
        <v>66</v>
      </c>
      <c r="J509" s="10" t="s">
        <v>15</v>
      </c>
      <c r="K509" s="15" t="str">
        <f>VLOOKUP(J509,DADOS!$A$3:$B$105,2,FALSE)</f>
        <v>EE-GI-001-002</v>
      </c>
      <c r="L509" s="15" t="s">
        <v>332</v>
      </c>
      <c r="M509" s="18" t="b">
        <v>0</v>
      </c>
      <c r="N509" s="17" t="b">
        <v>1</v>
      </c>
      <c r="O509" s="17" t="b">
        <v>1</v>
      </c>
      <c r="P509" s="17" t="b">
        <v>1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1</v>
      </c>
      <c r="W509" s="11" t="s">
        <v>518</v>
      </c>
      <c r="X509" s="12" t="s">
        <v>14</v>
      </c>
      <c r="Y509" s="12" t="s">
        <v>14</v>
      </c>
      <c r="Z509" s="13" t="s">
        <v>280</v>
      </c>
    </row>
    <row r="510" spans="1:26" ht="19.899999999999999" customHeight="1" x14ac:dyDescent="0.25">
      <c r="A510" s="6">
        <v>45987</v>
      </c>
      <c r="B510" s="7" t="s">
        <v>727</v>
      </c>
      <c r="C510" s="8" t="s">
        <v>1670</v>
      </c>
      <c r="D510" s="8" t="s">
        <v>309</v>
      </c>
      <c r="E510" s="8" t="s">
        <v>1657</v>
      </c>
      <c r="F510" s="9" t="s">
        <v>1671</v>
      </c>
      <c r="G510" s="9" t="s">
        <v>1672</v>
      </c>
      <c r="H510" s="9" t="s">
        <v>14</v>
      </c>
      <c r="I510" s="9" t="s">
        <v>66</v>
      </c>
      <c r="J510" s="10" t="s">
        <v>177</v>
      </c>
      <c r="K510" s="15" t="str">
        <f>VLOOKUP(J510,DADOS!$A$3:$B$105,2,FALSE)</f>
        <v>EE-GI-001-012</v>
      </c>
      <c r="L510" s="15" t="s">
        <v>304</v>
      </c>
      <c r="M510" s="18" t="b">
        <v>0</v>
      </c>
      <c r="N510" s="17" t="b">
        <v>1</v>
      </c>
      <c r="O510" s="17" t="b">
        <v>1</v>
      </c>
      <c r="P510" s="17" t="b">
        <v>1</v>
      </c>
      <c r="Q510" s="17" t="b">
        <v>0</v>
      </c>
      <c r="R510" s="17" t="b">
        <v>1</v>
      </c>
      <c r="S510" s="17" t="b">
        <v>0</v>
      </c>
      <c r="T510" s="17" t="b">
        <v>0</v>
      </c>
      <c r="U510" s="17" t="b">
        <v>0</v>
      </c>
      <c r="V510" s="17" t="b">
        <v>1</v>
      </c>
      <c r="W510" s="11" t="s">
        <v>309</v>
      </c>
      <c r="X510" s="12" t="s">
        <v>14</v>
      </c>
      <c r="Y510" s="12" t="s">
        <v>14</v>
      </c>
      <c r="Z510" s="13" t="s">
        <v>280</v>
      </c>
    </row>
    <row r="511" spans="1:26" ht="19.899999999999999" customHeight="1" x14ac:dyDescent="0.25">
      <c r="A511" s="6">
        <v>45987</v>
      </c>
      <c r="B511" s="7" t="s">
        <v>727</v>
      </c>
      <c r="C511" s="8" t="s">
        <v>1670</v>
      </c>
      <c r="D511" s="8" t="s">
        <v>298</v>
      </c>
      <c r="E511" s="8" t="s">
        <v>1657</v>
      </c>
      <c r="F511" s="9" t="s">
        <v>1673</v>
      </c>
      <c r="G511" s="9" t="s">
        <v>1672</v>
      </c>
      <c r="H511" s="9" t="s">
        <v>14</v>
      </c>
      <c r="I511" s="9" t="s">
        <v>66</v>
      </c>
      <c r="J511" s="10" t="s">
        <v>177</v>
      </c>
      <c r="K511" s="15" t="str">
        <f>VLOOKUP(J511,DADOS!$A$3:$B$105,2,FALSE)</f>
        <v>EE-GI-001-012</v>
      </c>
      <c r="L511" s="15" t="s">
        <v>304</v>
      </c>
      <c r="M511" s="18" t="b">
        <v>0</v>
      </c>
      <c r="N511" s="17" t="b">
        <v>1</v>
      </c>
      <c r="O511" s="17" t="b">
        <v>1</v>
      </c>
      <c r="P511" s="17" t="b">
        <v>1</v>
      </c>
      <c r="Q511" s="17" t="b">
        <v>0</v>
      </c>
      <c r="R511" s="17" t="b">
        <v>1</v>
      </c>
      <c r="S511" s="17" t="b">
        <v>0</v>
      </c>
      <c r="T511" s="17" t="b">
        <v>0</v>
      </c>
      <c r="U511" s="17" t="b">
        <v>0</v>
      </c>
      <c r="V511" s="17" t="b">
        <v>1</v>
      </c>
      <c r="W511" s="11" t="s">
        <v>298</v>
      </c>
      <c r="X511" s="12" t="s">
        <v>14</v>
      </c>
      <c r="Y511" s="12" t="s">
        <v>14</v>
      </c>
      <c r="Z511" s="13" t="s">
        <v>280</v>
      </c>
    </row>
    <row r="512" spans="1:26" ht="19.899999999999999" customHeight="1" x14ac:dyDescent="0.25">
      <c r="A512" s="6">
        <v>45988</v>
      </c>
      <c r="B512" s="7" t="s">
        <v>402</v>
      </c>
      <c r="C512" s="8" t="s">
        <v>1686</v>
      </c>
      <c r="D512" s="8" t="s">
        <v>265</v>
      </c>
      <c r="E512" s="8" t="s">
        <v>1680</v>
      </c>
      <c r="F512" s="9" t="s">
        <v>1687</v>
      </c>
      <c r="G512" s="9" t="s">
        <v>288</v>
      </c>
      <c r="H512" s="34"/>
      <c r="I512" s="9" t="s">
        <v>65</v>
      </c>
      <c r="J512" s="10" t="s">
        <v>16</v>
      </c>
      <c r="K512" s="15" t="str">
        <f>VLOOKUP(J512,DADOS!$A$3:$B$105,2,FALSE)</f>
        <v>EE-GI-001-003</v>
      </c>
      <c r="L512" s="15" t="s">
        <v>332</v>
      </c>
      <c r="M512" s="18" t="b">
        <v>1</v>
      </c>
      <c r="N512" s="17" t="b">
        <v>1</v>
      </c>
      <c r="O512" s="17" t="b">
        <v>1</v>
      </c>
      <c r="P512" s="17" t="b">
        <v>1</v>
      </c>
      <c r="Q512" s="17" t="b">
        <v>0</v>
      </c>
      <c r="R512" s="17" t="b">
        <v>1</v>
      </c>
      <c r="S512" s="17" t="b">
        <v>0</v>
      </c>
      <c r="T512" s="17" t="b">
        <v>0</v>
      </c>
      <c r="U512" s="17" t="b">
        <v>0</v>
      </c>
      <c r="V512" s="17" t="b">
        <v>1</v>
      </c>
      <c r="W512" s="11" t="s">
        <v>265</v>
      </c>
      <c r="X512" s="12" t="s">
        <v>14</v>
      </c>
      <c r="Y512" s="12" t="s">
        <v>14</v>
      </c>
      <c r="Z512" s="13" t="s">
        <v>280</v>
      </c>
    </row>
    <row r="513" spans="1:26" ht="19.899999999999999" customHeight="1" x14ac:dyDescent="0.25">
      <c r="A513" s="6">
        <v>45988</v>
      </c>
      <c r="B513" s="7" t="s">
        <v>402</v>
      </c>
      <c r="C513" s="8" t="s">
        <v>1699</v>
      </c>
      <c r="D513" s="8" t="s">
        <v>265</v>
      </c>
      <c r="E513" s="8" t="s">
        <v>1680</v>
      </c>
      <c r="F513" s="9" t="s">
        <v>1700</v>
      </c>
      <c r="G513" s="9" t="s">
        <v>1701</v>
      </c>
      <c r="H513" s="34"/>
      <c r="I513" s="9" t="s">
        <v>65</v>
      </c>
      <c r="J513" s="10" t="s">
        <v>17</v>
      </c>
      <c r="K513" s="15" t="str">
        <f>VLOOKUP(J513,DADOS!$A$3:$B$105,2,FALSE)</f>
        <v>EE-GI-001-001</v>
      </c>
      <c r="L513" s="15" t="s">
        <v>332</v>
      </c>
      <c r="M513" s="18" t="b">
        <v>1</v>
      </c>
      <c r="N513" s="17" t="b">
        <v>1</v>
      </c>
      <c r="O513" s="17" t="b">
        <v>1</v>
      </c>
      <c r="P513" s="17" t="b">
        <v>1</v>
      </c>
      <c r="Q513" s="17" t="b">
        <v>0</v>
      </c>
      <c r="R513" s="17" t="b">
        <v>1</v>
      </c>
      <c r="S513" s="17" t="b">
        <v>0</v>
      </c>
      <c r="T513" s="17" t="b">
        <v>0</v>
      </c>
      <c r="U513" s="17" t="b">
        <v>0</v>
      </c>
      <c r="V513" s="17" t="b">
        <v>1</v>
      </c>
      <c r="W513" s="11" t="s">
        <v>265</v>
      </c>
      <c r="X513" s="12" t="s">
        <v>14</v>
      </c>
      <c r="Y513" s="12" t="s">
        <v>14</v>
      </c>
      <c r="Z513" s="13" t="s">
        <v>322</v>
      </c>
    </row>
    <row r="514" spans="1:26" ht="19.899999999999999" customHeight="1" x14ac:dyDescent="0.25">
      <c r="A514" s="6">
        <v>45988</v>
      </c>
      <c r="B514" s="7" t="s">
        <v>402</v>
      </c>
      <c r="C514" s="8" t="s">
        <v>1682</v>
      </c>
      <c r="D514" s="8" t="s">
        <v>309</v>
      </c>
      <c r="E514" s="8" t="s">
        <v>1680</v>
      </c>
      <c r="F514" s="9" t="s">
        <v>1681</v>
      </c>
      <c r="G514" s="9" t="s">
        <v>1038</v>
      </c>
      <c r="H514" s="34"/>
      <c r="I514" s="9" t="s">
        <v>65</v>
      </c>
      <c r="J514" s="10" t="s">
        <v>16</v>
      </c>
      <c r="K514" s="15" t="str">
        <f>VLOOKUP(J514,DADOS!$A$3:$B$105,2,FALSE)</f>
        <v>EE-GI-001-003</v>
      </c>
      <c r="L514" s="15" t="s">
        <v>332</v>
      </c>
      <c r="M514" s="18" t="b">
        <v>1</v>
      </c>
      <c r="N514" s="17" t="b">
        <v>1</v>
      </c>
      <c r="O514" s="17" t="b">
        <v>1</v>
      </c>
      <c r="P514" s="17" t="b">
        <v>1</v>
      </c>
      <c r="Q514" s="17" t="b">
        <v>0</v>
      </c>
      <c r="R514" s="17" t="b">
        <v>1</v>
      </c>
      <c r="S514" s="17" t="b">
        <v>0</v>
      </c>
      <c r="T514" s="17" t="b">
        <v>0</v>
      </c>
      <c r="U514" s="17" t="b">
        <v>0</v>
      </c>
      <c r="V514" s="17" t="b">
        <v>1</v>
      </c>
      <c r="W514" s="11" t="s">
        <v>309</v>
      </c>
      <c r="X514" s="12" t="s">
        <v>14</v>
      </c>
      <c r="Y514" s="12" t="s">
        <v>14</v>
      </c>
      <c r="Z514" s="13" t="s">
        <v>280</v>
      </c>
    </row>
    <row r="515" spans="1:26" ht="19.899999999999999" customHeight="1" x14ac:dyDescent="0.25">
      <c r="A515" s="6">
        <v>45988</v>
      </c>
      <c r="B515" s="7" t="s">
        <v>402</v>
      </c>
      <c r="C515" s="8" t="s">
        <v>1682</v>
      </c>
      <c r="D515" s="8" t="s">
        <v>309</v>
      </c>
      <c r="E515" s="8" t="s">
        <v>1680</v>
      </c>
      <c r="F515" s="9" t="s">
        <v>1683</v>
      </c>
      <c r="G515" s="9" t="s">
        <v>1038</v>
      </c>
      <c r="H515" s="34"/>
      <c r="I515" s="9" t="s">
        <v>65</v>
      </c>
      <c r="J515" s="10" t="s">
        <v>16</v>
      </c>
      <c r="K515" s="15" t="str">
        <f>VLOOKUP(J515,DADOS!$A$3:$B$105,2,FALSE)</f>
        <v>EE-GI-001-003</v>
      </c>
      <c r="L515" s="15" t="s">
        <v>332</v>
      </c>
      <c r="M515" s="18" t="b">
        <v>1</v>
      </c>
      <c r="N515" s="17" t="b">
        <v>1</v>
      </c>
      <c r="O515" s="17" t="b">
        <v>1</v>
      </c>
      <c r="P515" s="17" t="b">
        <v>1</v>
      </c>
      <c r="Q515" s="17" t="b">
        <v>0</v>
      </c>
      <c r="R515" s="17" t="b">
        <v>1</v>
      </c>
      <c r="S515" s="17" t="b">
        <v>0</v>
      </c>
      <c r="T515" s="17" t="b">
        <v>0</v>
      </c>
      <c r="U515" s="17" t="b">
        <v>0</v>
      </c>
      <c r="V515" s="17" t="b">
        <v>1</v>
      </c>
      <c r="W515" s="11" t="s">
        <v>309</v>
      </c>
      <c r="X515" s="12" t="s">
        <v>14</v>
      </c>
      <c r="Y515" s="12" t="s">
        <v>14</v>
      </c>
      <c r="Z515" s="13" t="s">
        <v>280</v>
      </c>
    </row>
    <row r="516" spans="1:26" ht="19.899999999999999" customHeight="1" x14ac:dyDescent="0.25">
      <c r="A516" s="6">
        <v>45988</v>
      </c>
      <c r="B516" s="7" t="s">
        <v>402</v>
      </c>
      <c r="C516" s="8" t="s">
        <v>1682</v>
      </c>
      <c r="D516" s="8" t="s">
        <v>309</v>
      </c>
      <c r="E516" s="8" t="s">
        <v>1680</v>
      </c>
      <c r="F516" s="9" t="s">
        <v>1683</v>
      </c>
      <c r="G516" s="9" t="s">
        <v>1038</v>
      </c>
      <c r="H516" s="34"/>
      <c r="I516" s="9" t="s">
        <v>65</v>
      </c>
      <c r="J516" s="10" t="s">
        <v>16</v>
      </c>
      <c r="K516" s="15" t="str">
        <f>VLOOKUP(J516,DADOS!$A$3:$B$105,2,FALSE)</f>
        <v>EE-GI-001-003</v>
      </c>
      <c r="L516" s="15" t="s">
        <v>332</v>
      </c>
      <c r="M516" s="18" t="b">
        <v>1</v>
      </c>
      <c r="N516" s="17" t="b">
        <v>1</v>
      </c>
      <c r="O516" s="17" t="b">
        <v>1</v>
      </c>
      <c r="P516" s="17" t="b">
        <v>1</v>
      </c>
      <c r="Q516" s="17" t="b">
        <v>0</v>
      </c>
      <c r="R516" s="17" t="b">
        <v>1</v>
      </c>
      <c r="S516" s="17" t="b">
        <v>0</v>
      </c>
      <c r="T516" s="17" t="b">
        <v>0</v>
      </c>
      <c r="U516" s="17" t="b">
        <v>0</v>
      </c>
      <c r="V516" s="17" t="b">
        <v>1</v>
      </c>
      <c r="W516" s="11" t="s">
        <v>309</v>
      </c>
      <c r="X516" s="12" t="s">
        <v>14</v>
      </c>
      <c r="Y516" s="12" t="s">
        <v>1702</v>
      </c>
      <c r="Z516" s="13" t="s">
        <v>280</v>
      </c>
    </row>
    <row r="517" spans="1:26" ht="19.899999999999999" customHeight="1" x14ac:dyDescent="0.25">
      <c r="A517" s="6">
        <v>45988</v>
      </c>
      <c r="B517" s="7" t="s">
        <v>402</v>
      </c>
      <c r="C517" s="8" t="s">
        <v>1682</v>
      </c>
      <c r="D517" s="8" t="s">
        <v>290</v>
      </c>
      <c r="E517" s="8" t="s">
        <v>1680</v>
      </c>
      <c r="F517" s="9" t="s">
        <v>1684</v>
      </c>
      <c r="G517" s="9" t="s">
        <v>1038</v>
      </c>
      <c r="H517" s="34"/>
      <c r="I517" s="9" t="s">
        <v>65</v>
      </c>
      <c r="J517" s="10" t="s">
        <v>16</v>
      </c>
      <c r="K517" s="15" t="str">
        <f>VLOOKUP(J517,DADOS!$A$3:$B$105,2,FALSE)</f>
        <v>EE-GI-001-003</v>
      </c>
      <c r="L517" s="15" t="s">
        <v>332</v>
      </c>
      <c r="M517" s="18" t="b">
        <v>1</v>
      </c>
      <c r="N517" s="17" t="b">
        <v>1</v>
      </c>
      <c r="O517" s="17" t="b">
        <v>1</v>
      </c>
      <c r="P517" s="17" t="b">
        <v>1</v>
      </c>
      <c r="Q517" s="17" t="b">
        <v>0</v>
      </c>
      <c r="R517" s="17" t="b">
        <v>1</v>
      </c>
      <c r="S517" s="17" t="b">
        <v>0</v>
      </c>
      <c r="T517" s="17" t="b">
        <v>0</v>
      </c>
      <c r="U517" s="17" t="b">
        <v>0</v>
      </c>
      <c r="V517" s="17" t="b">
        <v>1</v>
      </c>
      <c r="W517" s="11" t="s">
        <v>290</v>
      </c>
      <c r="X517" s="12" t="s">
        <v>14</v>
      </c>
      <c r="Y517" s="12" t="s">
        <v>14</v>
      </c>
      <c r="Z517" s="13" t="s">
        <v>280</v>
      </c>
    </row>
    <row r="518" spans="1:26" ht="19.899999999999999" customHeight="1" x14ac:dyDescent="0.25">
      <c r="A518" s="6">
        <v>45988</v>
      </c>
      <c r="B518" s="7" t="s">
        <v>402</v>
      </c>
      <c r="C518" s="8" t="s">
        <v>1682</v>
      </c>
      <c r="D518" s="8" t="s">
        <v>265</v>
      </c>
      <c r="E518" s="8" t="s">
        <v>1680</v>
      </c>
      <c r="F518" s="9" t="s">
        <v>1685</v>
      </c>
      <c r="G518" s="9" t="s">
        <v>1038</v>
      </c>
      <c r="H518" s="34"/>
      <c r="I518" s="9" t="s">
        <v>65</v>
      </c>
      <c r="J518" s="10" t="s">
        <v>16</v>
      </c>
      <c r="K518" s="15" t="str">
        <f>VLOOKUP(J518,DADOS!$A$3:$B$105,2,FALSE)</f>
        <v>EE-GI-001-003</v>
      </c>
      <c r="L518" s="15" t="s">
        <v>332</v>
      </c>
      <c r="M518" s="18" t="b">
        <v>1</v>
      </c>
      <c r="N518" s="17" t="b">
        <v>1</v>
      </c>
      <c r="O518" s="17" t="b">
        <v>1</v>
      </c>
      <c r="P518" s="17" t="b">
        <v>1</v>
      </c>
      <c r="Q518" s="17" t="b">
        <v>0</v>
      </c>
      <c r="R518" s="17" t="b">
        <v>1</v>
      </c>
      <c r="S518" s="17" t="b">
        <v>0</v>
      </c>
      <c r="T518" s="17" t="b">
        <v>0</v>
      </c>
      <c r="U518" s="17" t="b">
        <v>0</v>
      </c>
      <c r="V518" s="17" t="b">
        <v>1</v>
      </c>
      <c r="W518" s="11" t="s">
        <v>265</v>
      </c>
      <c r="X518" s="12" t="s">
        <v>14</v>
      </c>
      <c r="Y518" s="12" t="s">
        <v>14</v>
      </c>
      <c r="Z518" s="13" t="s">
        <v>280</v>
      </c>
    </row>
    <row r="519" spans="1:26" ht="19.899999999999999" customHeight="1" x14ac:dyDescent="0.25">
      <c r="A519" s="6">
        <v>45988</v>
      </c>
      <c r="B519" s="7" t="s">
        <v>402</v>
      </c>
      <c r="C519" s="8" t="s">
        <v>1666</v>
      </c>
      <c r="D519" s="8" t="s">
        <v>352</v>
      </c>
      <c r="E519" s="8" t="s">
        <v>1667</v>
      </c>
      <c r="F519" s="9" t="s">
        <v>1668</v>
      </c>
      <c r="G519" s="9" t="s">
        <v>1669</v>
      </c>
      <c r="H519" s="34"/>
      <c r="I519" s="9" t="s">
        <v>65</v>
      </c>
      <c r="J519" s="10" t="s">
        <v>16</v>
      </c>
      <c r="K519" s="15" t="str">
        <f>VLOOKUP(J519,DADOS!$A$3:$B$105,2,FALSE)</f>
        <v>EE-GI-001-003</v>
      </c>
      <c r="L519" s="15" t="s">
        <v>332</v>
      </c>
      <c r="M519" s="18" t="b">
        <v>1</v>
      </c>
      <c r="N519" s="17" t="b">
        <v>1</v>
      </c>
      <c r="O519" s="17" t="b">
        <v>1</v>
      </c>
      <c r="P519" s="17" t="b">
        <v>1</v>
      </c>
      <c r="Q519" s="17" t="b">
        <v>0</v>
      </c>
      <c r="R519" s="17" t="b">
        <v>1</v>
      </c>
      <c r="S519" s="17" t="b">
        <v>0</v>
      </c>
      <c r="T519" s="17" t="b">
        <v>0</v>
      </c>
      <c r="U519" s="17" t="b">
        <v>0</v>
      </c>
      <c r="V519" s="17" t="b">
        <v>1</v>
      </c>
      <c r="W519" s="11" t="s">
        <v>527</v>
      </c>
      <c r="X519" s="12" t="s">
        <v>14</v>
      </c>
      <c r="Y519" s="12" t="s">
        <v>14</v>
      </c>
      <c r="Z519" s="13" t="s">
        <v>280</v>
      </c>
    </row>
    <row r="520" spans="1:26" ht="19.899999999999999" customHeight="1" x14ac:dyDescent="0.25">
      <c r="A520" s="6">
        <v>45988</v>
      </c>
      <c r="B520" s="7" t="s">
        <v>402</v>
      </c>
      <c r="C520" s="8" t="s">
        <v>1678</v>
      </c>
      <c r="D520" s="8" t="s">
        <v>352</v>
      </c>
      <c r="E520" s="8" t="s">
        <v>1667</v>
      </c>
      <c r="F520" s="9" t="s">
        <v>1679</v>
      </c>
      <c r="G520" s="9" t="s">
        <v>1038</v>
      </c>
      <c r="H520" s="34"/>
      <c r="I520" s="9" t="s">
        <v>65</v>
      </c>
      <c r="J520" s="10" t="s">
        <v>16</v>
      </c>
      <c r="K520" s="15" t="str">
        <f>VLOOKUP(J520,DADOS!$A$3:$B$105,2,FALSE)</f>
        <v>EE-GI-001-003</v>
      </c>
      <c r="L520" s="15" t="s">
        <v>332</v>
      </c>
      <c r="M520" s="18" t="b">
        <v>1</v>
      </c>
      <c r="N520" s="17" t="b">
        <v>1</v>
      </c>
      <c r="O520" s="17" t="b">
        <v>1</v>
      </c>
      <c r="P520" s="17" t="b">
        <v>1</v>
      </c>
      <c r="Q520" s="17" t="b">
        <v>0</v>
      </c>
      <c r="R520" s="17" t="b">
        <v>1</v>
      </c>
      <c r="S520" s="17" t="b">
        <v>0</v>
      </c>
      <c r="T520" s="17" t="b">
        <v>0</v>
      </c>
      <c r="U520" s="17" t="b">
        <v>0</v>
      </c>
      <c r="V520" s="17" t="b">
        <v>1</v>
      </c>
      <c r="W520" s="11" t="s">
        <v>352</v>
      </c>
      <c r="X520" s="12" t="s">
        <v>14</v>
      </c>
      <c r="Y520" s="12" t="s">
        <v>14</v>
      </c>
      <c r="Z520" s="13" t="s">
        <v>280</v>
      </c>
    </row>
    <row r="521" spans="1:26" ht="19.899999999999999" customHeight="1" x14ac:dyDescent="0.25">
      <c r="A521" s="6">
        <v>45988</v>
      </c>
      <c r="B521" s="7" t="s">
        <v>727</v>
      </c>
      <c r="C521" s="8" t="s">
        <v>1584</v>
      </c>
      <c r="D521" s="8" t="s">
        <v>265</v>
      </c>
      <c r="E521" s="8" t="s">
        <v>1585</v>
      </c>
      <c r="F521" s="9" t="s">
        <v>1586</v>
      </c>
      <c r="G521" s="9" t="s">
        <v>1186</v>
      </c>
      <c r="H521" s="9" t="s">
        <v>14</v>
      </c>
      <c r="I521" s="9" t="s">
        <v>66</v>
      </c>
      <c r="J521" s="10" t="s">
        <v>15</v>
      </c>
      <c r="K521" s="15" t="str">
        <f>VLOOKUP(J521,DADOS!$A$3:$B$105,2,FALSE)</f>
        <v>EE-GI-001-002</v>
      </c>
      <c r="L521" s="15" t="s">
        <v>332</v>
      </c>
      <c r="M521" s="18" t="b">
        <v>1</v>
      </c>
      <c r="N521" s="17" t="b">
        <v>1</v>
      </c>
      <c r="O521" s="17" t="b">
        <v>1</v>
      </c>
      <c r="P521" s="17" t="b">
        <v>1</v>
      </c>
      <c r="Q521" s="17" t="b">
        <v>0</v>
      </c>
      <c r="R521" s="17" t="b">
        <v>1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 t="s">
        <v>14</v>
      </c>
      <c r="X521" s="12" t="s">
        <v>265</v>
      </c>
      <c r="Y521" s="12" t="s">
        <v>1587</v>
      </c>
      <c r="Z521" s="12" t="s">
        <v>280</v>
      </c>
    </row>
    <row r="522" spans="1:26" ht="19.899999999999999" customHeight="1" x14ac:dyDescent="0.25">
      <c r="A522" s="6">
        <v>45988</v>
      </c>
      <c r="B522" s="7" t="s">
        <v>272</v>
      </c>
      <c r="C522" s="8" t="s">
        <v>1807</v>
      </c>
      <c r="D522" s="8" t="s">
        <v>265</v>
      </c>
      <c r="E522" s="8" t="s">
        <v>1808</v>
      </c>
      <c r="F522" s="9" t="s">
        <v>1809</v>
      </c>
      <c r="G522" s="9" t="s">
        <v>1811</v>
      </c>
      <c r="H522" s="9" t="s">
        <v>1812</v>
      </c>
      <c r="I522" s="9" t="s">
        <v>70</v>
      </c>
      <c r="J522" s="10" t="s">
        <v>186</v>
      </c>
      <c r="K522" s="15" t="str">
        <f>VLOOKUP(J522,DADOS!$A$3:$B$105,2,FALSE)</f>
        <v>EE-GI-001-008</v>
      </c>
      <c r="L522" s="15" t="s">
        <v>278</v>
      </c>
      <c r="M522" s="18" t="b">
        <v>1</v>
      </c>
      <c r="N522" s="17" t="b">
        <v>1</v>
      </c>
      <c r="O522" s="17" t="b">
        <v>1</v>
      </c>
      <c r="P522" s="17" t="b">
        <v>1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 t="s">
        <v>265</v>
      </c>
      <c r="X522" s="12" t="s">
        <v>14</v>
      </c>
      <c r="Y522" s="12" t="s">
        <v>14</v>
      </c>
      <c r="Z522" s="13" t="s">
        <v>280</v>
      </c>
    </row>
    <row r="523" spans="1:26" ht="19.899999999999999" customHeight="1" x14ac:dyDescent="0.25">
      <c r="A523" s="6">
        <v>45988</v>
      </c>
      <c r="B523" s="7" t="s">
        <v>272</v>
      </c>
      <c r="C523" s="8" t="s">
        <v>1807</v>
      </c>
      <c r="D523" s="8" t="s">
        <v>352</v>
      </c>
      <c r="E523" s="8" t="s">
        <v>1808</v>
      </c>
      <c r="F523" s="9" t="s">
        <v>1810</v>
      </c>
      <c r="G523" s="9" t="s">
        <v>1811</v>
      </c>
      <c r="H523" s="9" t="s">
        <v>1812</v>
      </c>
      <c r="I523" s="9" t="s">
        <v>70</v>
      </c>
      <c r="J523" s="10" t="s">
        <v>186</v>
      </c>
      <c r="K523" s="15" t="str">
        <f>VLOOKUP(J523,DADOS!$A$3:$B$105,2,FALSE)</f>
        <v>EE-GI-001-008</v>
      </c>
      <c r="L523" s="15" t="s">
        <v>278</v>
      </c>
      <c r="M523" s="18" t="b">
        <v>1</v>
      </c>
      <c r="N523" s="17" t="b">
        <v>1</v>
      </c>
      <c r="O523" s="17" t="b">
        <v>1</v>
      </c>
      <c r="P523" s="17" t="b">
        <v>1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 t="s">
        <v>352</v>
      </c>
      <c r="X523" s="12" t="s">
        <v>14</v>
      </c>
      <c r="Y523" s="12" t="s">
        <v>14</v>
      </c>
      <c r="Z523" s="13" t="s">
        <v>280</v>
      </c>
    </row>
    <row r="524" spans="1:26" ht="19.899999999999999" customHeight="1" x14ac:dyDescent="0.25">
      <c r="A524" s="6">
        <v>45988</v>
      </c>
      <c r="B524" s="7" t="s">
        <v>272</v>
      </c>
      <c r="C524" s="8" t="s">
        <v>1216</v>
      </c>
      <c r="D524" s="8" t="s">
        <v>290</v>
      </c>
      <c r="E524" s="8" t="s">
        <v>1813</v>
      </c>
      <c r="F524" s="9" t="s">
        <v>1814</v>
      </c>
      <c r="G524" s="9" t="s">
        <v>1815</v>
      </c>
      <c r="H524" s="9" t="s">
        <v>1816</v>
      </c>
      <c r="I524" s="9" t="s">
        <v>64</v>
      </c>
      <c r="J524" s="10" t="s">
        <v>186</v>
      </c>
      <c r="K524" s="15" t="str">
        <f>VLOOKUP(J524,DADOS!$A$3:$B$105,2,FALSE)</f>
        <v>EE-GI-001-008</v>
      </c>
      <c r="L524" s="15" t="s">
        <v>278</v>
      </c>
      <c r="M524" s="18" t="b">
        <v>1</v>
      </c>
      <c r="N524" s="17" t="b">
        <v>1</v>
      </c>
      <c r="O524" s="17" t="b">
        <v>1</v>
      </c>
      <c r="P524" s="17" t="b">
        <v>1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 t="s">
        <v>290</v>
      </c>
      <c r="X524" s="12" t="s">
        <v>14</v>
      </c>
      <c r="Y524" s="12" t="s">
        <v>14</v>
      </c>
      <c r="Z524" s="13" t="s">
        <v>280</v>
      </c>
    </row>
    <row r="525" spans="1:26" ht="19.899999999999999" customHeight="1" x14ac:dyDescent="0.25">
      <c r="A525" s="6">
        <v>45988</v>
      </c>
      <c r="B525" s="7" t="s">
        <v>1598</v>
      </c>
      <c r="C525" s="8" t="s">
        <v>1599</v>
      </c>
      <c r="D525" s="8" t="s">
        <v>352</v>
      </c>
      <c r="E525" s="8" t="s">
        <v>1600</v>
      </c>
      <c r="F525" s="9" t="s">
        <v>1601</v>
      </c>
      <c r="G525" s="9" t="s">
        <v>1602</v>
      </c>
      <c r="H525" s="9" t="s">
        <v>1602</v>
      </c>
      <c r="I525" s="9" t="s">
        <v>69</v>
      </c>
      <c r="J525" s="10" t="s">
        <v>184</v>
      </c>
      <c r="K525" s="15" t="str">
        <f>VLOOKUP(J525,DADOS!$A$3:$B$105,2,FALSE)</f>
        <v>EE-GI-001-026</v>
      </c>
      <c r="L525" s="15" t="s">
        <v>332</v>
      </c>
      <c r="M525" s="18" t="b">
        <v>1</v>
      </c>
      <c r="N525" s="17" t="b">
        <v>1</v>
      </c>
      <c r="O525" s="17" t="b">
        <v>1</v>
      </c>
      <c r="P525" s="17" t="b">
        <v>1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1</v>
      </c>
      <c r="W525" s="11" t="s">
        <v>352</v>
      </c>
      <c r="X525" s="12" t="s">
        <v>14</v>
      </c>
      <c r="Y525" s="12" t="s">
        <v>14</v>
      </c>
      <c r="Z525" s="13" t="s">
        <v>280</v>
      </c>
    </row>
    <row r="526" spans="1:26" ht="19.899999999999999" customHeight="1" x14ac:dyDescent="0.25">
      <c r="A526" s="6">
        <v>45988</v>
      </c>
      <c r="B526" s="7" t="s">
        <v>1606</v>
      </c>
      <c r="C526" s="8" t="s">
        <v>1607</v>
      </c>
      <c r="D526" s="8" t="s">
        <v>309</v>
      </c>
      <c r="E526" s="8" t="s">
        <v>1608</v>
      </c>
      <c r="F526" s="9" t="s">
        <v>1609</v>
      </c>
      <c r="G526" s="9" t="s">
        <v>1689</v>
      </c>
      <c r="H526" s="9" t="s">
        <v>1689</v>
      </c>
      <c r="I526" s="9" t="s">
        <v>74</v>
      </c>
      <c r="J526" s="10" t="s">
        <v>250</v>
      </c>
      <c r="K526" s="15" t="str">
        <f>VLOOKUP(J526,DADOS!$A$3:$B$105,2,FALSE)</f>
        <v>EE-GI-001-028</v>
      </c>
      <c r="L526" s="15" t="s">
        <v>278</v>
      </c>
      <c r="M526" s="18" t="b">
        <v>1</v>
      </c>
      <c r="N526" s="17" t="b">
        <v>1</v>
      </c>
      <c r="O526" s="17" t="b">
        <v>1</v>
      </c>
      <c r="P526" s="17" t="b">
        <v>1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1</v>
      </c>
      <c r="W526" s="11" t="s">
        <v>309</v>
      </c>
      <c r="X526" s="12" t="s">
        <v>14</v>
      </c>
      <c r="Y526" s="12" t="s">
        <v>14</v>
      </c>
      <c r="Z526" s="13" t="s">
        <v>280</v>
      </c>
    </row>
    <row r="527" spans="1:26" ht="19.899999999999999" customHeight="1" x14ac:dyDescent="0.25">
      <c r="A527" s="6">
        <v>45988</v>
      </c>
      <c r="B527" s="7" t="s">
        <v>626</v>
      </c>
      <c r="C527" s="8" t="s">
        <v>1612</v>
      </c>
      <c r="D527" s="8" t="s">
        <v>1613</v>
      </c>
      <c r="E527" s="8" t="s">
        <v>1614</v>
      </c>
      <c r="F527" s="9" t="s">
        <v>1615</v>
      </c>
      <c r="G527" s="9" t="s">
        <v>1616</v>
      </c>
      <c r="H527" s="9" t="s">
        <v>1617</v>
      </c>
      <c r="I527" s="9" t="s">
        <v>65</v>
      </c>
      <c r="J527" s="10" t="s">
        <v>255</v>
      </c>
      <c r="K527" s="15" t="str">
        <f>VLOOKUP(J527,DADOS!$A$3:$B$105,2,FALSE)</f>
        <v>EE-GI-001-074</v>
      </c>
      <c r="L527" s="15" t="s">
        <v>304</v>
      </c>
      <c r="M527" s="18" t="b">
        <v>1</v>
      </c>
      <c r="N527" s="17" t="b">
        <v>1</v>
      </c>
      <c r="O527" s="17" t="b">
        <v>1</v>
      </c>
      <c r="P527" s="17" t="b">
        <v>1</v>
      </c>
      <c r="Q527" s="17" t="b">
        <v>0</v>
      </c>
      <c r="R527" s="17" t="b">
        <v>1</v>
      </c>
      <c r="S527" s="17" t="b">
        <v>0</v>
      </c>
      <c r="T527" s="17" t="b">
        <v>1</v>
      </c>
      <c r="U527" s="17" t="b">
        <v>1</v>
      </c>
      <c r="V527" s="17" t="b">
        <v>1</v>
      </c>
      <c r="W527" s="11" t="s">
        <v>1613</v>
      </c>
      <c r="X527" s="12" t="s">
        <v>14</v>
      </c>
      <c r="Y527" s="12" t="s">
        <v>14</v>
      </c>
      <c r="Z527" s="13" t="s">
        <v>280</v>
      </c>
    </row>
    <row r="528" spans="1:26" ht="19.899999999999999" customHeight="1" x14ac:dyDescent="0.25">
      <c r="A528" s="6">
        <v>45988</v>
      </c>
      <c r="B528" s="7" t="s">
        <v>307</v>
      </c>
      <c r="C528" s="8" t="s">
        <v>1646</v>
      </c>
      <c r="D528" s="8" t="s">
        <v>352</v>
      </c>
      <c r="E528" s="8" t="s">
        <v>1647</v>
      </c>
      <c r="F528" s="9" t="s">
        <v>1643</v>
      </c>
      <c r="G528" s="9" t="s">
        <v>1648</v>
      </c>
      <c r="H528" s="9" t="s">
        <v>1834</v>
      </c>
      <c r="I528" s="9" t="s">
        <v>69</v>
      </c>
      <c r="J528" s="10" t="s">
        <v>185</v>
      </c>
      <c r="K528" s="15" t="str">
        <f>VLOOKUP(J528,DADOS!$A$3:$B$105,2,FALSE)</f>
        <v>EE-GI-001-031</v>
      </c>
      <c r="L528" s="15" t="s">
        <v>332</v>
      </c>
      <c r="M528" s="18" t="b">
        <v>1</v>
      </c>
      <c r="N528" s="17" t="b">
        <v>1</v>
      </c>
      <c r="O528" s="17" t="b">
        <v>1</v>
      </c>
      <c r="P528" s="17" t="b">
        <v>1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 t="s">
        <v>352</v>
      </c>
      <c r="X528" s="12" t="s">
        <v>14</v>
      </c>
      <c r="Y528" s="12" t="s">
        <v>14</v>
      </c>
      <c r="Z528" s="13" t="s">
        <v>280</v>
      </c>
    </row>
    <row r="529" spans="1:26" ht="19.899999999999999" customHeight="1" x14ac:dyDescent="0.25">
      <c r="A529" s="6">
        <v>45988</v>
      </c>
      <c r="B529" s="7" t="s">
        <v>307</v>
      </c>
      <c r="C529" s="8" t="s">
        <v>1649</v>
      </c>
      <c r="D529" s="8" t="s">
        <v>352</v>
      </c>
      <c r="E529" s="8" t="s">
        <v>1650</v>
      </c>
      <c r="F529" s="9" t="s">
        <v>1651</v>
      </c>
      <c r="G529" s="9" t="s">
        <v>1652</v>
      </c>
      <c r="H529" s="9" t="s">
        <v>1832</v>
      </c>
      <c r="I529" s="9" t="s">
        <v>69</v>
      </c>
      <c r="J529" s="10" t="s">
        <v>210</v>
      </c>
      <c r="K529" s="15" t="str">
        <f>VLOOKUP(J529,DADOS!$A$3:$B$105,2,FALSE)</f>
        <v>EE-GI-021-008</v>
      </c>
      <c r="L529" s="15" t="s">
        <v>332</v>
      </c>
      <c r="M529" s="18" t="b">
        <v>1</v>
      </c>
      <c r="N529" s="17" t="b">
        <v>1</v>
      </c>
      <c r="O529" s="17" t="b">
        <v>1</v>
      </c>
      <c r="P529" s="17" t="b">
        <v>1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 t="s">
        <v>352</v>
      </c>
      <c r="X529" s="12" t="s">
        <v>14</v>
      </c>
      <c r="Y529" s="12" t="s">
        <v>14</v>
      </c>
      <c r="Z529" s="13" t="s">
        <v>280</v>
      </c>
    </row>
    <row r="530" spans="1:26" ht="19.899999999999999" customHeight="1" x14ac:dyDescent="0.25">
      <c r="A530" s="6">
        <v>45988</v>
      </c>
      <c r="B530" s="7" t="s">
        <v>307</v>
      </c>
      <c r="C530" s="8" t="s">
        <v>1653</v>
      </c>
      <c r="D530" s="8" t="s">
        <v>352</v>
      </c>
      <c r="E530" s="8" t="s">
        <v>1650</v>
      </c>
      <c r="F530" s="9" t="s">
        <v>1654</v>
      </c>
      <c r="G530" s="9" t="s">
        <v>1655</v>
      </c>
      <c r="H530" s="9" t="s">
        <v>1833</v>
      </c>
      <c r="I530" s="9" t="s">
        <v>69</v>
      </c>
      <c r="J530" s="10" t="s">
        <v>185</v>
      </c>
      <c r="K530" s="15" t="str">
        <f>VLOOKUP(J530,DADOS!$A$3:$B$105,2,FALSE)</f>
        <v>EE-GI-001-031</v>
      </c>
      <c r="L530" s="15" t="s">
        <v>332</v>
      </c>
      <c r="M530" s="18" t="b">
        <v>1</v>
      </c>
      <c r="N530" s="17" t="b">
        <v>1</v>
      </c>
      <c r="O530" s="17" t="b">
        <v>1</v>
      </c>
      <c r="P530" s="17" t="b">
        <v>1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 t="s">
        <v>352</v>
      </c>
      <c r="X530" s="12" t="s">
        <v>14</v>
      </c>
      <c r="Y530" s="12" t="s">
        <v>14</v>
      </c>
      <c r="Z530" s="13" t="s">
        <v>280</v>
      </c>
    </row>
    <row r="531" spans="1:26" ht="19.899999999999999" customHeight="1" x14ac:dyDescent="0.25">
      <c r="A531" s="6">
        <v>45988</v>
      </c>
      <c r="B531" s="7" t="s">
        <v>307</v>
      </c>
      <c r="C531" s="8" t="s">
        <v>1827</v>
      </c>
      <c r="D531" s="8" t="s">
        <v>352</v>
      </c>
      <c r="E531" s="8" t="s">
        <v>1828</v>
      </c>
      <c r="F531" s="9" t="s">
        <v>1829</v>
      </c>
      <c r="G531" s="9" t="s">
        <v>1830</v>
      </c>
      <c r="H531" s="9" t="s">
        <v>1831</v>
      </c>
      <c r="I531" s="9" t="s">
        <v>68</v>
      </c>
      <c r="J531" s="10" t="s">
        <v>185</v>
      </c>
      <c r="K531" s="15" t="str">
        <f>VLOOKUP(J531,DADOS!$A$3:$B$105,2,FALSE)</f>
        <v>EE-GI-001-031</v>
      </c>
      <c r="L531" s="15" t="s">
        <v>278</v>
      </c>
      <c r="M531" s="18" t="b">
        <v>1</v>
      </c>
      <c r="N531" s="17" t="b">
        <v>1</v>
      </c>
      <c r="O531" s="17" t="b">
        <v>1</v>
      </c>
      <c r="P531" s="17" t="b">
        <v>1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 t="s">
        <v>352</v>
      </c>
      <c r="X531" s="12" t="s">
        <v>14</v>
      </c>
      <c r="Y531" s="12" t="s">
        <v>14</v>
      </c>
      <c r="Z531" s="13" t="s">
        <v>280</v>
      </c>
    </row>
    <row r="532" spans="1:26" ht="19.899999999999999" customHeight="1" x14ac:dyDescent="0.25">
      <c r="A532" s="6">
        <v>45988</v>
      </c>
      <c r="B532" s="7" t="s">
        <v>307</v>
      </c>
      <c r="C532" s="8" t="s">
        <v>1935</v>
      </c>
      <c r="D532" s="8" t="s">
        <v>352</v>
      </c>
      <c r="E532" s="8" t="s">
        <v>1936</v>
      </c>
      <c r="F532" s="9" t="s">
        <v>1937</v>
      </c>
      <c r="G532" s="9" t="s">
        <v>1652</v>
      </c>
      <c r="H532" s="9" t="s">
        <v>1938</v>
      </c>
      <c r="I532" s="9" t="s">
        <v>69</v>
      </c>
      <c r="J532" s="10" t="s">
        <v>185</v>
      </c>
      <c r="K532" s="15" t="str">
        <f>VLOOKUP(J532,DADOS!$A$3:$B$105,2,FALSE)</f>
        <v>EE-GI-001-031</v>
      </c>
      <c r="L532" s="15" t="s">
        <v>1939</v>
      </c>
      <c r="M532" s="18" t="b">
        <v>1</v>
      </c>
      <c r="N532" s="17" t="b">
        <v>1</v>
      </c>
      <c r="O532" s="17" t="b">
        <v>1</v>
      </c>
      <c r="P532" s="17" t="b">
        <v>1</v>
      </c>
      <c r="Q532" s="17" t="b">
        <v>0</v>
      </c>
      <c r="R532" s="17" t="b">
        <v>0</v>
      </c>
      <c r="S532" s="17" t="b">
        <v>0</v>
      </c>
      <c r="T532" s="17" t="b">
        <v>1</v>
      </c>
      <c r="U532" s="17" t="b">
        <v>1</v>
      </c>
      <c r="V532" s="17" t="b">
        <v>1</v>
      </c>
      <c r="W532" s="11" t="s">
        <v>352</v>
      </c>
      <c r="X532" s="12" t="s">
        <v>14</v>
      </c>
      <c r="Y532" s="12" t="s">
        <v>14</v>
      </c>
      <c r="Z532" s="13" t="s">
        <v>271</v>
      </c>
    </row>
    <row r="533" spans="1:26" ht="19.899999999999999" customHeight="1" x14ac:dyDescent="0.25">
      <c r="A533" s="6">
        <v>45989</v>
      </c>
      <c r="B533" s="7" t="s">
        <v>841</v>
      </c>
      <c r="C533" s="8" t="s">
        <v>1618</v>
      </c>
      <c r="D533" s="8" t="s">
        <v>352</v>
      </c>
      <c r="E533" s="8" t="s">
        <v>933</v>
      </c>
      <c r="F533" s="9" t="s">
        <v>1619</v>
      </c>
      <c r="G533" s="9" t="s">
        <v>883</v>
      </c>
      <c r="H533" s="34"/>
      <c r="I533" s="9" t="s">
        <v>66</v>
      </c>
      <c r="J533" s="10" t="s">
        <v>60</v>
      </c>
      <c r="K533" s="15" t="str">
        <f>VLOOKUP(J533,DADOS!$A$3:$B$105,2,FALSE)</f>
        <v>EE-GI-221-038</v>
      </c>
      <c r="L533" s="15" t="s">
        <v>401</v>
      </c>
      <c r="M533" s="18" t="b">
        <v>1</v>
      </c>
      <c r="N533" s="17" t="b">
        <v>1</v>
      </c>
      <c r="O533" s="17" t="b">
        <v>1</v>
      </c>
      <c r="P533" s="17" t="b">
        <v>1</v>
      </c>
      <c r="Q533" s="17" t="b">
        <v>1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 t="s">
        <v>352</v>
      </c>
      <c r="X533" s="12" t="s">
        <v>14</v>
      </c>
      <c r="Y533" s="12" t="s">
        <v>14</v>
      </c>
      <c r="Z533" s="13" t="s">
        <v>280</v>
      </c>
    </row>
    <row r="534" spans="1:26" ht="19.899999999999999" customHeight="1" x14ac:dyDescent="0.25">
      <c r="A534" s="6">
        <v>45989</v>
      </c>
      <c r="B534" s="7" t="s">
        <v>841</v>
      </c>
      <c r="C534" s="8" t="s">
        <v>1627</v>
      </c>
      <c r="D534" s="8" t="s">
        <v>518</v>
      </c>
      <c r="E534" s="8" t="s">
        <v>933</v>
      </c>
      <c r="F534" s="9" t="s">
        <v>1628</v>
      </c>
      <c r="G534" s="9" t="s">
        <v>906</v>
      </c>
      <c r="H534" s="34"/>
      <c r="I534" s="9" t="s">
        <v>66</v>
      </c>
      <c r="J534" s="10" t="s">
        <v>27</v>
      </c>
      <c r="K534" s="15" t="str">
        <f>VLOOKUP(J534,DADOS!$A$3:$B$105,2,FALSE)</f>
        <v>EE-GI-221-041</v>
      </c>
      <c r="L534" s="15" t="s">
        <v>401</v>
      </c>
      <c r="M534" s="18" t="b">
        <v>1</v>
      </c>
      <c r="N534" s="17" t="b">
        <v>1</v>
      </c>
      <c r="O534" s="17" t="b">
        <v>1</v>
      </c>
      <c r="P534" s="17" t="b">
        <v>1</v>
      </c>
      <c r="Q534" s="17" t="b">
        <v>1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 t="s">
        <v>518</v>
      </c>
      <c r="X534" s="12" t="s">
        <v>14</v>
      </c>
      <c r="Y534" s="12" t="s">
        <v>14</v>
      </c>
      <c r="Z534" s="13" t="s">
        <v>280</v>
      </c>
    </row>
    <row r="535" spans="1:26" ht="19.899999999999999" customHeight="1" x14ac:dyDescent="0.25">
      <c r="A535" s="6">
        <v>45989</v>
      </c>
      <c r="B535" s="7" t="s">
        <v>841</v>
      </c>
      <c r="C535" s="8" t="s">
        <v>904</v>
      </c>
      <c r="D535" s="8" t="s">
        <v>309</v>
      </c>
      <c r="E535" s="8" t="s">
        <v>933</v>
      </c>
      <c r="F535" s="9" t="s">
        <v>905</v>
      </c>
      <c r="G535" s="9" t="s">
        <v>906</v>
      </c>
      <c r="H535" s="34"/>
      <c r="I535" s="9" t="s">
        <v>66</v>
      </c>
      <c r="J535" s="10" t="s">
        <v>27</v>
      </c>
      <c r="K535" s="15" t="str">
        <f>VLOOKUP(J535,DADOS!$A$3:$B$105,2,FALSE)</f>
        <v>EE-GI-221-041</v>
      </c>
      <c r="L535" s="15" t="s">
        <v>401</v>
      </c>
      <c r="M535" s="18" t="b">
        <v>1</v>
      </c>
      <c r="N535" s="17" t="b">
        <v>1</v>
      </c>
      <c r="O535" s="17" t="b">
        <v>1</v>
      </c>
      <c r="P535" s="17" t="b">
        <v>1</v>
      </c>
      <c r="Q535" s="17" t="b">
        <v>1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 t="s">
        <v>309</v>
      </c>
      <c r="X535" s="12" t="s">
        <v>14</v>
      </c>
      <c r="Y535" s="12" t="s">
        <v>14</v>
      </c>
      <c r="Z535" s="13" t="s">
        <v>280</v>
      </c>
    </row>
    <row r="536" spans="1:26" ht="19.899999999999999" customHeight="1" x14ac:dyDescent="0.25">
      <c r="A536" s="6">
        <v>45989</v>
      </c>
      <c r="B536" s="7" t="s">
        <v>841</v>
      </c>
      <c r="C536" s="8" t="s">
        <v>904</v>
      </c>
      <c r="D536" s="8" t="s">
        <v>309</v>
      </c>
      <c r="E536" s="8" t="s">
        <v>933</v>
      </c>
      <c r="F536" s="9" t="s">
        <v>1629</v>
      </c>
      <c r="G536" s="9" t="s">
        <v>906</v>
      </c>
      <c r="H536" s="34"/>
      <c r="I536" s="9" t="s">
        <v>66</v>
      </c>
      <c r="J536" s="10" t="s">
        <v>27</v>
      </c>
      <c r="K536" s="15" t="str">
        <f>VLOOKUP(J536,DADOS!$A$3:$B$105,2,FALSE)</f>
        <v>EE-GI-221-041</v>
      </c>
      <c r="L536" s="15" t="s">
        <v>401</v>
      </c>
      <c r="M536" s="18" t="b">
        <v>1</v>
      </c>
      <c r="N536" s="17" t="b">
        <v>1</v>
      </c>
      <c r="O536" s="17" t="b">
        <v>1</v>
      </c>
      <c r="P536" s="17" t="b">
        <v>1</v>
      </c>
      <c r="Q536" s="17" t="b">
        <v>1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 t="s">
        <v>309</v>
      </c>
      <c r="X536" s="12" t="s">
        <v>14</v>
      </c>
      <c r="Y536" s="12" t="s">
        <v>14</v>
      </c>
      <c r="Z536" s="13" t="s">
        <v>280</v>
      </c>
    </row>
    <row r="537" spans="1:26" ht="19.899999999999999" customHeight="1" x14ac:dyDescent="0.25">
      <c r="A537" s="6">
        <v>45989</v>
      </c>
      <c r="B537" s="7" t="s">
        <v>841</v>
      </c>
      <c r="C537" s="8" t="s">
        <v>918</v>
      </c>
      <c r="D537" s="8" t="s">
        <v>518</v>
      </c>
      <c r="E537" s="8" t="s">
        <v>933</v>
      </c>
      <c r="F537" s="9" t="s">
        <v>922</v>
      </c>
      <c r="G537" s="9" t="s">
        <v>920</v>
      </c>
      <c r="H537" s="34"/>
      <c r="I537" s="9" t="s">
        <v>66</v>
      </c>
      <c r="J537" s="10" t="s">
        <v>235</v>
      </c>
      <c r="K537" s="15" t="str">
        <f>VLOOKUP(J537,DADOS!$A$3:$B$105,2,FALSE)</f>
        <v>EE-GI-221-035</v>
      </c>
      <c r="L537" s="15" t="s">
        <v>401</v>
      </c>
      <c r="M537" s="18" t="b">
        <v>1</v>
      </c>
      <c r="N537" s="17" t="b">
        <v>1</v>
      </c>
      <c r="O537" s="17" t="b">
        <v>1</v>
      </c>
      <c r="P537" s="17" t="b">
        <v>1</v>
      </c>
      <c r="Q537" s="17" t="b">
        <v>1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 t="s">
        <v>518</v>
      </c>
      <c r="X537" s="12" t="s">
        <v>14</v>
      </c>
      <c r="Y537" s="12" t="s">
        <v>14</v>
      </c>
      <c r="Z537" s="13" t="s">
        <v>280</v>
      </c>
    </row>
    <row r="538" spans="1:26" ht="19.899999999999999" customHeight="1" x14ac:dyDescent="0.25">
      <c r="A538" s="6">
        <v>45989</v>
      </c>
      <c r="B538" s="7" t="s">
        <v>841</v>
      </c>
      <c r="C538" s="8" t="s">
        <v>867</v>
      </c>
      <c r="D538" s="8" t="s">
        <v>352</v>
      </c>
      <c r="E538" s="8" t="s">
        <v>1630</v>
      </c>
      <c r="F538" s="9" t="s">
        <v>1631</v>
      </c>
      <c r="G538" s="9" t="s">
        <v>871</v>
      </c>
      <c r="H538" s="9" t="s">
        <v>1636</v>
      </c>
      <c r="I538" s="9" t="s">
        <v>70</v>
      </c>
      <c r="J538" s="10" t="s">
        <v>19</v>
      </c>
      <c r="K538" s="15" t="str">
        <f>VLOOKUP(J538,DADOS!$A$3:$B$105,2,FALSE)</f>
        <v>EE-GI-221-033</v>
      </c>
      <c r="L538" s="15" t="s">
        <v>401</v>
      </c>
      <c r="M538" s="18" t="b">
        <v>1</v>
      </c>
      <c r="N538" s="17" t="b">
        <v>1</v>
      </c>
      <c r="O538" s="17" t="b">
        <v>1</v>
      </c>
      <c r="P538" s="17" t="b">
        <v>1</v>
      </c>
      <c r="Q538" s="17" t="b">
        <v>1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 t="s">
        <v>352</v>
      </c>
      <c r="X538" s="12" t="s">
        <v>14</v>
      </c>
      <c r="Y538" s="12" t="s">
        <v>14</v>
      </c>
      <c r="Z538" s="13" t="s">
        <v>280</v>
      </c>
    </row>
    <row r="539" spans="1:26" ht="19.899999999999999" customHeight="1" x14ac:dyDescent="0.25">
      <c r="A539" s="6">
        <v>45989</v>
      </c>
      <c r="B539" s="7" t="s">
        <v>841</v>
      </c>
      <c r="C539" s="8" t="s">
        <v>1403</v>
      </c>
      <c r="D539" s="8" t="s">
        <v>352</v>
      </c>
      <c r="E539" s="8" t="s">
        <v>1630</v>
      </c>
      <c r="F539" s="9" t="s">
        <v>1632</v>
      </c>
      <c r="G539" s="9" t="s">
        <v>871</v>
      </c>
      <c r="H539" s="9" t="s">
        <v>1635</v>
      </c>
      <c r="I539" s="9" t="s">
        <v>70</v>
      </c>
      <c r="J539" s="10" t="s">
        <v>19</v>
      </c>
      <c r="K539" s="15" t="str">
        <f>VLOOKUP(J539,DADOS!$A$3:$B$105,2,FALSE)</f>
        <v>EE-GI-221-033</v>
      </c>
      <c r="L539" s="15" t="s">
        <v>401</v>
      </c>
      <c r="M539" s="18" t="b">
        <v>1</v>
      </c>
      <c r="N539" s="17" t="b">
        <v>1</v>
      </c>
      <c r="O539" s="17" t="b">
        <v>1</v>
      </c>
      <c r="P539" s="17" t="b">
        <v>1</v>
      </c>
      <c r="Q539" s="17" t="b">
        <v>1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 t="s">
        <v>352</v>
      </c>
      <c r="X539" s="12" t="s">
        <v>14</v>
      </c>
      <c r="Y539" s="12" t="s">
        <v>14</v>
      </c>
      <c r="Z539" s="13" t="s">
        <v>280</v>
      </c>
    </row>
    <row r="540" spans="1:26" ht="19.899999999999999" customHeight="1" x14ac:dyDescent="0.25">
      <c r="A540" s="6">
        <v>45989</v>
      </c>
      <c r="B540" s="7" t="s">
        <v>841</v>
      </c>
      <c r="C540" s="8" t="s">
        <v>1403</v>
      </c>
      <c r="D540" s="8" t="s">
        <v>352</v>
      </c>
      <c r="E540" s="8" t="s">
        <v>1630</v>
      </c>
      <c r="F540" s="9" t="s">
        <v>1633</v>
      </c>
      <c r="G540" s="9" t="s">
        <v>871</v>
      </c>
      <c r="H540" s="9" t="s">
        <v>1635</v>
      </c>
      <c r="I540" s="9" t="s">
        <v>70</v>
      </c>
      <c r="J540" s="10" t="s">
        <v>19</v>
      </c>
      <c r="K540" s="15" t="str">
        <f>VLOOKUP(J540,DADOS!$A$3:$B$105,2,FALSE)</f>
        <v>EE-GI-221-033</v>
      </c>
      <c r="L540" s="15" t="s">
        <v>401</v>
      </c>
      <c r="M540" s="18" t="b">
        <v>1</v>
      </c>
      <c r="N540" s="17" t="b">
        <v>1</v>
      </c>
      <c r="O540" s="17" t="b">
        <v>1</v>
      </c>
      <c r="P540" s="17" t="b">
        <v>1</v>
      </c>
      <c r="Q540" s="17" t="b">
        <v>1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 t="s">
        <v>352</v>
      </c>
      <c r="X540" s="12" t="s">
        <v>14</v>
      </c>
      <c r="Y540" s="12" t="s">
        <v>14</v>
      </c>
      <c r="Z540" s="13" t="s">
        <v>280</v>
      </c>
    </row>
    <row r="541" spans="1:26" ht="19.899999999999999" customHeight="1" x14ac:dyDescent="0.25">
      <c r="A541" s="6">
        <v>45989</v>
      </c>
      <c r="B541" s="7" t="s">
        <v>841</v>
      </c>
      <c r="C541" s="8" t="s">
        <v>1403</v>
      </c>
      <c r="D541" s="8" t="s">
        <v>352</v>
      </c>
      <c r="E541" s="8" t="s">
        <v>1630</v>
      </c>
      <c r="F541" s="9" t="s">
        <v>1634</v>
      </c>
      <c r="G541" s="9" t="s">
        <v>871</v>
      </c>
      <c r="H541" s="9" t="s">
        <v>1635</v>
      </c>
      <c r="I541" s="9" t="s">
        <v>70</v>
      </c>
      <c r="J541" s="10" t="s">
        <v>19</v>
      </c>
      <c r="K541" s="15" t="str">
        <f>VLOOKUP(J541,DADOS!$A$3:$B$105,2,FALSE)</f>
        <v>EE-GI-221-033</v>
      </c>
      <c r="L541" s="15" t="s">
        <v>401</v>
      </c>
      <c r="M541" s="18" t="b">
        <v>1</v>
      </c>
      <c r="N541" s="17" t="b">
        <v>1</v>
      </c>
      <c r="O541" s="17" t="b">
        <v>1</v>
      </c>
      <c r="P541" s="17" t="b">
        <v>1</v>
      </c>
      <c r="Q541" s="17" t="b">
        <v>1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 t="s">
        <v>352</v>
      </c>
      <c r="X541" s="12" t="s">
        <v>14</v>
      </c>
      <c r="Y541" s="12" t="s">
        <v>14</v>
      </c>
      <c r="Z541" s="13" t="s">
        <v>280</v>
      </c>
    </row>
    <row r="542" spans="1:26" ht="19.899999999999999" customHeight="1" x14ac:dyDescent="0.25">
      <c r="A542" s="6">
        <v>45989</v>
      </c>
      <c r="B542" s="7" t="s">
        <v>339</v>
      </c>
      <c r="C542" s="8" t="s">
        <v>1620</v>
      </c>
      <c r="D542" s="8" t="s">
        <v>290</v>
      </c>
      <c r="E542" s="8" t="s">
        <v>1621</v>
      </c>
      <c r="F542" s="9" t="s">
        <v>1622</v>
      </c>
      <c r="G542" s="9" t="s">
        <v>1624</v>
      </c>
      <c r="H542" s="9" t="s">
        <v>1625</v>
      </c>
      <c r="I542" s="9" t="s">
        <v>69</v>
      </c>
      <c r="J542" s="10" t="s">
        <v>15</v>
      </c>
      <c r="K542" s="15" t="str">
        <f>VLOOKUP(J542,DADOS!$A$3:$B$105,2,FALSE)</f>
        <v>EE-GI-001-002</v>
      </c>
      <c r="L542" s="15" t="s">
        <v>304</v>
      </c>
      <c r="M542" s="18" t="b">
        <v>1</v>
      </c>
      <c r="N542" s="17" t="b">
        <v>1</v>
      </c>
      <c r="O542" s="17" t="b">
        <v>1</v>
      </c>
      <c r="P542" s="17" t="b">
        <v>1</v>
      </c>
      <c r="Q542" s="17" t="b">
        <v>0</v>
      </c>
      <c r="R542" s="17" t="b">
        <v>1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 t="s">
        <v>14</v>
      </c>
      <c r="X542" s="12" t="s">
        <v>290</v>
      </c>
      <c r="Y542" s="12" t="s">
        <v>1626</v>
      </c>
      <c r="Z542" s="12" t="s">
        <v>280</v>
      </c>
    </row>
    <row r="543" spans="1:26" ht="19.899999999999999" customHeight="1" x14ac:dyDescent="0.25">
      <c r="A543" s="6">
        <v>45989</v>
      </c>
      <c r="B543" s="7" t="s">
        <v>339</v>
      </c>
      <c r="C543" s="8" t="s">
        <v>1620</v>
      </c>
      <c r="D543" s="8" t="s">
        <v>473</v>
      </c>
      <c r="E543" s="8" t="s">
        <v>1621</v>
      </c>
      <c r="F543" s="9" t="s">
        <v>1623</v>
      </c>
      <c r="G543" s="9" t="s">
        <v>1624</v>
      </c>
      <c r="H543" s="9" t="s">
        <v>1625</v>
      </c>
      <c r="I543" s="9" t="s">
        <v>69</v>
      </c>
      <c r="J543" s="10" t="s">
        <v>15</v>
      </c>
      <c r="K543" s="15" t="str">
        <f>VLOOKUP(J543,DADOS!$A$3:$B$105,2,FALSE)</f>
        <v>EE-GI-001-002</v>
      </c>
      <c r="L543" s="15" t="s">
        <v>304</v>
      </c>
      <c r="M543" s="18" t="b">
        <v>1</v>
      </c>
      <c r="N543" s="17" t="b">
        <v>1</v>
      </c>
      <c r="O543" s="17" t="b">
        <v>1</v>
      </c>
      <c r="P543" s="17" t="b">
        <v>1</v>
      </c>
      <c r="Q543" s="17" t="b">
        <v>0</v>
      </c>
      <c r="R543" s="17" t="b">
        <v>1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 t="s">
        <v>14</v>
      </c>
      <c r="X543" s="12" t="s">
        <v>473</v>
      </c>
      <c r="Y543" s="12" t="s">
        <v>1626</v>
      </c>
      <c r="Z543" s="12" t="s">
        <v>280</v>
      </c>
    </row>
    <row r="544" spans="1:26" ht="19.899999999999999" customHeight="1" x14ac:dyDescent="0.25">
      <c r="A544" s="6">
        <v>45989</v>
      </c>
      <c r="B544" s="7" t="s">
        <v>727</v>
      </c>
      <c r="C544" s="8" t="s">
        <v>1656</v>
      </c>
      <c r="D544" s="8" t="s">
        <v>327</v>
      </c>
      <c r="E544" s="8" t="s">
        <v>1657</v>
      </c>
      <c r="F544" s="9" t="s">
        <v>1658</v>
      </c>
      <c r="G544" s="9" t="s">
        <v>991</v>
      </c>
      <c r="H544" s="9" t="s">
        <v>14</v>
      </c>
      <c r="I544" s="9" t="s">
        <v>67</v>
      </c>
      <c r="J544" s="10" t="s">
        <v>186</v>
      </c>
      <c r="K544" s="15" t="str">
        <f>VLOOKUP(J544,DADOS!$A$3:$B$105,2,FALSE)</f>
        <v>EE-GI-001-008</v>
      </c>
      <c r="L544" s="15" t="s">
        <v>332</v>
      </c>
      <c r="M544" s="18" t="b">
        <v>0</v>
      </c>
      <c r="N544" s="17" t="b">
        <v>1</v>
      </c>
      <c r="O544" s="17" t="b">
        <v>1</v>
      </c>
      <c r="P544" s="17" t="b">
        <v>1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 t="s">
        <v>327</v>
      </c>
      <c r="X544" s="12" t="s">
        <v>14</v>
      </c>
      <c r="Y544" s="12" t="s">
        <v>14</v>
      </c>
      <c r="Z544" s="13" t="s">
        <v>280</v>
      </c>
    </row>
    <row r="545" spans="1:26" ht="19.899999999999999" customHeight="1" x14ac:dyDescent="0.25">
      <c r="A545" s="6">
        <v>45989</v>
      </c>
      <c r="B545" s="7" t="s">
        <v>326</v>
      </c>
      <c r="C545" s="8" t="s">
        <v>334</v>
      </c>
      <c r="D545" s="8" t="s">
        <v>352</v>
      </c>
      <c r="E545" s="8" t="s">
        <v>2073</v>
      </c>
      <c r="F545" s="9" t="s">
        <v>2074</v>
      </c>
      <c r="G545" s="9" t="s">
        <v>2075</v>
      </c>
      <c r="H545" s="34"/>
      <c r="I545" s="9" t="s">
        <v>64</v>
      </c>
      <c r="J545" s="10" t="s">
        <v>186</v>
      </c>
      <c r="K545" s="15" t="str">
        <f>VLOOKUP(J545,DADOS!$A$3:$B$105,2,FALSE)</f>
        <v>EE-GI-001-008</v>
      </c>
      <c r="L545" s="15" t="s">
        <v>332</v>
      </c>
      <c r="M545" s="18" t="b">
        <v>1</v>
      </c>
      <c r="N545" s="17" t="b">
        <v>1</v>
      </c>
      <c r="O545" s="17" t="b">
        <v>1</v>
      </c>
      <c r="P545" s="17" t="b">
        <v>1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 t="s">
        <v>352</v>
      </c>
      <c r="X545" s="12" t="s">
        <v>14</v>
      </c>
      <c r="Y545" s="12" t="s">
        <v>14</v>
      </c>
      <c r="Z545" s="13" t="s">
        <v>280</v>
      </c>
    </row>
    <row r="546" spans="1:26" ht="19.899999999999999" customHeight="1" x14ac:dyDescent="0.25">
      <c r="A546" s="6">
        <v>45989</v>
      </c>
      <c r="B546" s="7" t="s">
        <v>326</v>
      </c>
      <c r="C546" s="8" t="s">
        <v>334</v>
      </c>
      <c r="D546" s="8" t="s">
        <v>352</v>
      </c>
      <c r="E546" s="8" t="s">
        <v>2073</v>
      </c>
      <c r="F546" s="9" t="s">
        <v>2076</v>
      </c>
      <c r="G546" s="9" t="s">
        <v>2077</v>
      </c>
      <c r="H546" s="34"/>
      <c r="I546" s="9" t="s">
        <v>64</v>
      </c>
      <c r="J546" s="10" t="s">
        <v>186</v>
      </c>
      <c r="K546" s="15" t="str">
        <f>VLOOKUP(J546,DADOS!$A$3:$B$105,2,FALSE)</f>
        <v>EE-GI-001-008</v>
      </c>
      <c r="L546" s="15" t="s">
        <v>332</v>
      </c>
      <c r="M546" s="18" t="b">
        <v>1</v>
      </c>
      <c r="N546" s="17" t="b">
        <v>1</v>
      </c>
      <c r="O546" s="17" t="b">
        <v>1</v>
      </c>
      <c r="P546" s="17" t="b">
        <v>1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 t="s">
        <v>352</v>
      </c>
      <c r="X546" s="12" t="s">
        <v>14</v>
      </c>
      <c r="Y546" s="12" t="s">
        <v>14</v>
      </c>
      <c r="Z546" s="13" t="s">
        <v>280</v>
      </c>
    </row>
    <row r="547" spans="1:26" ht="19.899999999999999" customHeight="1" x14ac:dyDescent="0.25">
      <c r="A547" s="6">
        <v>45980</v>
      </c>
      <c r="B547" s="7" t="s">
        <v>402</v>
      </c>
      <c r="C547" s="8" t="s">
        <v>2081</v>
      </c>
      <c r="D547" s="8" t="s">
        <v>352</v>
      </c>
      <c r="E547" s="8" t="s">
        <v>1958</v>
      </c>
      <c r="F547" s="9" t="s">
        <v>2082</v>
      </c>
      <c r="G547" s="9" t="s">
        <v>2083</v>
      </c>
      <c r="H547" s="9" t="s">
        <v>2084</v>
      </c>
      <c r="I547" s="9" t="s">
        <v>69</v>
      </c>
      <c r="J547" s="10" t="s">
        <v>16</v>
      </c>
      <c r="K547" s="15" t="str">
        <f>VLOOKUP(J547,DADOS!$A$3:$B$105,2,FALSE)</f>
        <v>EE-GI-001-003</v>
      </c>
      <c r="L547" s="15" t="s">
        <v>332</v>
      </c>
      <c r="M547" s="18" t="b">
        <v>1</v>
      </c>
      <c r="N547" s="17" t="b">
        <v>1</v>
      </c>
      <c r="O547" s="17" t="b">
        <v>1</v>
      </c>
      <c r="P547" s="17" t="b">
        <v>1</v>
      </c>
      <c r="Q547" s="17" t="b">
        <v>0</v>
      </c>
      <c r="R547" s="17" t="b">
        <v>1</v>
      </c>
      <c r="S547" s="17" t="b">
        <v>0</v>
      </c>
      <c r="T547" s="17" t="b">
        <v>0</v>
      </c>
      <c r="U547" s="17" t="b">
        <v>0</v>
      </c>
      <c r="V547" s="17" t="b">
        <v>1</v>
      </c>
      <c r="W547" s="11" t="s">
        <v>352</v>
      </c>
      <c r="X547" s="12" t="s">
        <v>14</v>
      </c>
      <c r="Y547" s="12" t="s">
        <v>14</v>
      </c>
      <c r="Z547" s="13" t="s">
        <v>271</v>
      </c>
    </row>
    <row r="548" spans="1:26" ht="19.899999999999999" customHeight="1" x14ac:dyDescent="0.25">
      <c r="A548" s="6"/>
      <c r="B548" s="7"/>
      <c r="C548" s="8"/>
      <c r="D548" s="8"/>
      <c r="E548" s="8"/>
      <c r="F548" s="9"/>
      <c r="G548" s="9"/>
      <c r="H548" s="9"/>
      <c r="I548" s="9"/>
      <c r="J548" s="10" t="s">
        <v>14</v>
      </c>
      <c r="K548" s="15" t="e">
        <f>VLOOKUP(J548,DADOS!$A$3:$B$105,2,FALSE)</f>
        <v>#N/A</v>
      </c>
      <c r="L548" s="15"/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3"/>
    </row>
    <row r="549" spans="1:26" ht="19.899999999999999" customHeight="1" x14ac:dyDescent="0.25">
      <c r="A549" s="6"/>
      <c r="B549" s="7"/>
      <c r="C549" s="8"/>
      <c r="D549" s="8"/>
      <c r="E549" s="8"/>
      <c r="F549" s="9"/>
      <c r="G549" s="9"/>
      <c r="H549" s="9"/>
      <c r="I549" s="9"/>
      <c r="J549" s="10" t="s">
        <v>14</v>
      </c>
      <c r="K549" s="15" t="e">
        <f>VLOOKUP(J549,DADOS!$A$3:$B$105,2,FALSE)</f>
        <v>#N/A</v>
      </c>
      <c r="L549" s="15"/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3"/>
    </row>
    <row r="550" spans="1:26" ht="19.899999999999999" customHeight="1" x14ac:dyDescent="0.25">
      <c r="A550" s="6"/>
      <c r="B550" s="7"/>
      <c r="C550" s="8"/>
      <c r="D550" s="8"/>
      <c r="E550" s="8"/>
      <c r="F550" s="9"/>
      <c r="G550" s="9"/>
      <c r="H550" s="9"/>
      <c r="I550" s="9"/>
      <c r="J550" s="10" t="s">
        <v>14</v>
      </c>
      <c r="K550" s="15" t="e">
        <f>VLOOKUP(J550,DADOS!$A$3:$B$105,2,FALSE)</f>
        <v>#N/A</v>
      </c>
      <c r="L550" s="15"/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3"/>
    </row>
    <row r="551" spans="1:26" ht="19.899999999999999" customHeight="1" x14ac:dyDescent="0.25">
      <c r="A551" s="6"/>
      <c r="B551" s="7"/>
      <c r="C551" s="8"/>
      <c r="D551" s="8"/>
      <c r="E551" s="8"/>
      <c r="F551" s="9"/>
      <c r="G551" s="9"/>
      <c r="H551" s="9"/>
      <c r="I551" s="9"/>
      <c r="J551" s="10" t="s">
        <v>14</v>
      </c>
      <c r="K551" s="15" t="e">
        <f>VLOOKUP(J551,DADOS!$A$3:$B$105,2,FALSE)</f>
        <v>#N/A</v>
      </c>
      <c r="L551" s="15"/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899999999999999" customHeight="1" x14ac:dyDescent="0.25">
      <c r="A552" s="6"/>
      <c r="B552" s="7"/>
      <c r="C552" s="8"/>
      <c r="D552" s="8"/>
      <c r="E552" s="8"/>
      <c r="F552" s="9"/>
      <c r="G552" s="9"/>
      <c r="H552" s="9"/>
      <c r="I552" s="9"/>
      <c r="J552" s="10" t="s">
        <v>14</v>
      </c>
      <c r="K552" s="15" t="e">
        <f>VLOOKUP(J552,DADOS!$A$3:$B$105,2,FALSE)</f>
        <v>#N/A</v>
      </c>
      <c r="L552" s="15"/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899999999999999" customHeight="1" x14ac:dyDescent="0.25">
      <c r="A553" s="6"/>
      <c r="B553" s="7"/>
      <c r="C553" s="8"/>
      <c r="D553" s="8"/>
      <c r="E553" s="8"/>
      <c r="F553" s="9"/>
      <c r="G553" s="9"/>
      <c r="H553" s="9"/>
      <c r="I553" s="9"/>
      <c r="J553" s="10" t="s">
        <v>14</v>
      </c>
      <c r="K553" s="15" t="e">
        <f>VLOOKUP(J553,DADOS!$A$3:$B$105,2,FALSE)</f>
        <v>#N/A</v>
      </c>
      <c r="L553" s="15"/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899999999999999" customHeight="1" x14ac:dyDescent="0.25">
      <c r="A554" s="6"/>
      <c r="B554" s="7"/>
      <c r="C554" s="8"/>
      <c r="D554" s="8"/>
      <c r="E554" s="8"/>
      <c r="F554" s="9"/>
      <c r="G554" s="9"/>
      <c r="H554" s="9"/>
      <c r="I554" s="9"/>
      <c r="J554" s="10" t="s">
        <v>14</v>
      </c>
      <c r="K554" s="15" t="e">
        <f>VLOOKUP(J554,DADOS!$A$3:$B$105,2,FALSE)</f>
        <v>#N/A</v>
      </c>
      <c r="L554" s="15"/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3"/>
    </row>
    <row r="555" spans="1:26" ht="19.899999999999999" customHeight="1" x14ac:dyDescent="0.25">
      <c r="A555" s="6"/>
      <c r="B555" s="7"/>
      <c r="C555" s="8"/>
      <c r="D555" s="8"/>
      <c r="E555" s="8"/>
      <c r="F555" s="9"/>
      <c r="G555" s="9"/>
      <c r="H555" s="9"/>
      <c r="I555" s="9"/>
      <c r="J555" s="10" t="s">
        <v>14</v>
      </c>
      <c r="K555" s="15" t="e">
        <f>VLOOKUP(J555,DADOS!$A$3:$B$105,2,FALSE)</f>
        <v>#N/A</v>
      </c>
      <c r="L555" s="15"/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899999999999999" customHeight="1" x14ac:dyDescent="0.25">
      <c r="A556" s="6"/>
      <c r="B556" s="7"/>
      <c r="C556" s="8"/>
      <c r="D556" s="8"/>
      <c r="E556" s="8"/>
      <c r="F556" s="9"/>
      <c r="G556" s="9"/>
      <c r="H556" s="9"/>
      <c r="I556" s="9"/>
      <c r="J556" s="10" t="s">
        <v>14</v>
      </c>
      <c r="K556" s="15" t="e">
        <f>VLOOKUP(J556,DADOS!$A$3:$B$105,2,FALSE)</f>
        <v>#N/A</v>
      </c>
      <c r="L556" s="15"/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899999999999999" customHeight="1" x14ac:dyDescent="0.25">
      <c r="A557" s="6"/>
      <c r="B557" s="7"/>
      <c r="C557" s="8"/>
      <c r="D557" s="8"/>
      <c r="E557" s="8"/>
      <c r="F557" s="9"/>
      <c r="G557" s="9"/>
      <c r="H557" s="9"/>
      <c r="I557" s="9"/>
      <c r="J557" s="10" t="s">
        <v>14</v>
      </c>
      <c r="K557" s="15" t="e">
        <f>VLOOKUP(J557,DADOS!$A$3:$B$105,2,FALSE)</f>
        <v>#N/A</v>
      </c>
      <c r="L557" s="15"/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899999999999999" customHeight="1" x14ac:dyDescent="0.25">
      <c r="A558" s="6"/>
      <c r="B558" s="7"/>
      <c r="C558" s="8"/>
      <c r="D558" s="8"/>
      <c r="E558" s="8"/>
      <c r="F558" s="9"/>
      <c r="G558" s="9"/>
      <c r="H558" s="9"/>
      <c r="I558" s="9"/>
      <c r="J558" s="10" t="s">
        <v>14</v>
      </c>
      <c r="K558" s="15" t="e">
        <f>VLOOKUP(J558,DADOS!$A$3:$B$105,2,FALSE)</f>
        <v>#N/A</v>
      </c>
      <c r="L558" s="15"/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899999999999999" customHeight="1" x14ac:dyDescent="0.25">
      <c r="A559" s="6"/>
      <c r="B559" s="7"/>
      <c r="C559" s="8"/>
      <c r="D559" s="8"/>
      <c r="E559" s="8"/>
      <c r="F559" s="9"/>
      <c r="G559" s="9"/>
      <c r="H559" s="9"/>
      <c r="I559" s="9"/>
      <c r="J559" s="10" t="s">
        <v>14</v>
      </c>
      <c r="K559" s="15" t="e">
        <f>VLOOKUP(J559,DADOS!$A$3:$B$105,2,FALSE)</f>
        <v>#N/A</v>
      </c>
      <c r="L559" s="15"/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899999999999999" customHeight="1" x14ac:dyDescent="0.25">
      <c r="A560" s="6"/>
      <c r="B560" s="7"/>
      <c r="C560" s="8"/>
      <c r="D560" s="8"/>
      <c r="E560" s="8"/>
      <c r="F560" s="9"/>
      <c r="G560" s="9"/>
      <c r="H560" s="9"/>
      <c r="I560" s="9"/>
      <c r="J560" s="10" t="s">
        <v>14</v>
      </c>
      <c r="K560" s="15" t="e">
        <f>VLOOKUP(J560,DADOS!$A$3:$B$105,2,FALSE)</f>
        <v>#N/A</v>
      </c>
      <c r="L560" s="15"/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899999999999999" customHeight="1" x14ac:dyDescent="0.25">
      <c r="A561" s="6"/>
      <c r="B561" s="7"/>
      <c r="C561" s="8"/>
      <c r="D561" s="8"/>
      <c r="E561" s="8"/>
      <c r="F561" s="9"/>
      <c r="G561" s="9"/>
      <c r="H561" s="9"/>
      <c r="I561" s="9"/>
      <c r="J561" s="10" t="s">
        <v>14</v>
      </c>
      <c r="K561" s="15" t="e">
        <f>VLOOKUP(J561,DADOS!$A$3:$B$105,2,FALSE)</f>
        <v>#N/A</v>
      </c>
      <c r="L561" s="15"/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899999999999999" customHeight="1" x14ac:dyDescent="0.25">
      <c r="A562" s="6"/>
      <c r="B562" s="7"/>
      <c r="C562" s="8"/>
      <c r="D562" s="8"/>
      <c r="E562" s="8"/>
      <c r="F562" s="9"/>
      <c r="G562" s="9"/>
      <c r="H562" s="9"/>
      <c r="I562" s="9"/>
      <c r="J562" s="10" t="s">
        <v>14</v>
      </c>
      <c r="K562" s="15" t="e">
        <f>VLOOKUP(J562,DADOS!$A$3:$B$105,2,FALSE)</f>
        <v>#N/A</v>
      </c>
      <c r="L562" s="15"/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3"/>
    </row>
    <row r="563" spans="1:26" ht="19.899999999999999" customHeight="1" x14ac:dyDescent="0.25">
      <c r="A563" s="6"/>
      <c r="B563" s="7"/>
      <c r="C563" s="8"/>
      <c r="D563" s="8"/>
      <c r="E563" s="8"/>
      <c r="F563" s="9"/>
      <c r="G563" s="9"/>
      <c r="H563" s="9"/>
      <c r="I563" s="9"/>
      <c r="J563" s="10" t="s">
        <v>14</v>
      </c>
      <c r="K563" s="15" t="e">
        <f>VLOOKUP(J563,DADOS!$A$3:$B$105,2,FALSE)</f>
        <v>#N/A</v>
      </c>
      <c r="L563" s="15"/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899999999999999" customHeight="1" x14ac:dyDescent="0.25">
      <c r="A564" s="6"/>
      <c r="B564" s="7"/>
      <c r="C564" s="8"/>
      <c r="D564" s="8"/>
      <c r="E564" s="8"/>
      <c r="F564" s="9"/>
      <c r="G564" s="9"/>
      <c r="H564" s="9"/>
      <c r="I564" s="9"/>
      <c r="J564" s="10" t="s">
        <v>14</v>
      </c>
      <c r="K564" s="15" t="e">
        <f>VLOOKUP(J564,DADOS!$A$3:$B$105,2,FALSE)</f>
        <v>#N/A</v>
      </c>
      <c r="L564" s="15"/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899999999999999" customHeight="1" x14ac:dyDescent="0.25">
      <c r="A565" s="6"/>
      <c r="B565" s="7"/>
      <c r="C565" s="8"/>
      <c r="D565" s="8"/>
      <c r="E565" s="8"/>
      <c r="F565" s="9"/>
      <c r="G565" s="9"/>
      <c r="H565" s="9"/>
      <c r="I565" s="9"/>
      <c r="J565" s="10" t="s">
        <v>14</v>
      </c>
      <c r="K565" s="15" t="e">
        <f>VLOOKUP(J565,DADOS!$A$3:$B$105,2,FALSE)</f>
        <v>#N/A</v>
      </c>
      <c r="L565" s="15"/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2"/>
    </row>
    <row r="566" spans="1:26" ht="19.899999999999999" customHeight="1" x14ac:dyDescent="0.25">
      <c r="A566" s="6"/>
      <c r="B566" s="7"/>
      <c r="C566" s="8"/>
      <c r="D566" s="8"/>
      <c r="E566" s="8"/>
      <c r="F566" s="9"/>
      <c r="G566" s="9"/>
      <c r="H566" s="9"/>
      <c r="I566" s="9"/>
      <c r="J566" s="10" t="s">
        <v>14</v>
      </c>
      <c r="K566" s="15" t="e">
        <f>VLOOKUP(J566,DADOS!$A$3:$B$105,2,FALSE)</f>
        <v>#N/A</v>
      </c>
      <c r="L566" s="15"/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2"/>
    </row>
    <row r="567" spans="1:26" ht="19.899999999999999" customHeight="1" x14ac:dyDescent="0.25">
      <c r="A567" s="6"/>
      <c r="B567" s="7"/>
      <c r="C567" s="8"/>
      <c r="D567" s="8"/>
      <c r="E567" s="8"/>
      <c r="F567" s="9"/>
      <c r="G567" s="9"/>
      <c r="H567" s="9"/>
      <c r="I567" s="9"/>
      <c r="J567" s="10" t="s">
        <v>14</v>
      </c>
      <c r="K567" s="15" t="e">
        <f>VLOOKUP(J567,DADOS!$A$3:$B$105,2,FALSE)</f>
        <v>#N/A</v>
      </c>
      <c r="L567" s="15"/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899999999999999" customHeight="1" x14ac:dyDescent="0.25">
      <c r="A568" s="6"/>
      <c r="B568" s="7"/>
      <c r="C568" s="8"/>
      <c r="D568" s="8"/>
      <c r="E568" s="8"/>
      <c r="F568" s="9"/>
      <c r="G568" s="9"/>
      <c r="H568" s="9"/>
      <c r="I568" s="9"/>
      <c r="J568" s="10" t="s">
        <v>14</v>
      </c>
      <c r="K568" s="15" t="e">
        <f>VLOOKUP(J568,DADOS!$A$3:$B$105,2,FALSE)</f>
        <v>#N/A</v>
      </c>
      <c r="L568" s="15"/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899999999999999" customHeight="1" x14ac:dyDescent="0.25">
      <c r="A569" s="6"/>
      <c r="B569" s="7"/>
      <c r="C569" s="8"/>
      <c r="D569" s="8"/>
      <c r="E569" s="8"/>
      <c r="F569" s="9"/>
      <c r="G569" s="9"/>
      <c r="H569" s="9"/>
      <c r="I569" s="9"/>
      <c r="J569" s="10" t="s">
        <v>14</v>
      </c>
      <c r="K569" s="15" t="e">
        <f>VLOOKUP(J569,DADOS!$A$3:$B$105,2,FALSE)</f>
        <v>#N/A</v>
      </c>
      <c r="L569" s="15"/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899999999999999" customHeight="1" x14ac:dyDescent="0.25">
      <c r="A570" s="6"/>
      <c r="B570" s="7"/>
      <c r="C570" s="8"/>
      <c r="D570" s="8"/>
      <c r="E570" s="8"/>
      <c r="F570" s="9"/>
      <c r="G570" s="9"/>
      <c r="H570" s="9"/>
      <c r="I570" s="9"/>
      <c r="J570" s="10" t="s">
        <v>14</v>
      </c>
      <c r="K570" s="15" t="e">
        <f>VLOOKUP(J570,DADOS!$A$3:$B$105,2,FALSE)</f>
        <v>#N/A</v>
      </c>
      <c r="L570" s="15"/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899999999999999" customHeight="1" x14ac:dyDescent="0.25">
      <c r="A571" s="6"/>
      <c r="B571" s="7"/>
      <c r="C571" s="8"/>
      <c r="D571" s="8"/>
      <c r="E571" s="8"/>
      <c r="F571" s="9"/>
      <c r="G571" s="9"/>
      <c r="H571" s="9"/>
      <c r="I571" s="9"/>
      <c r="J571" s="10" t="s">
        <v>14</v>
      </c>
      <c r="K571" s="15" t="e">
        <f>VLOOKUP(J571,DADOS!$A$3:$B$105,2,FALSE)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899999999999999" customHeight="1" x14ac:dyDescent="0.25">
      <c r="A572" s="6"/>
      <c r="B572" s="7"/>
      <c r="C572" s="8"/>
      <c r="D572" s="8"/>
      <c r="E572" s="8"/>
      <c r="F572" s="8"/>
      <c r="G572" s="9"/>
      <c r="H572" s="9"/>
      <c r="I572" s="9"/>
      <c r="J572" s="10" t="s">
        <v>14</v>
      </c>
      <c r="K572" s="15" t="e">
        <f>VLOOKUP(J572,DADOS!$A$3:$B$105,2,FALSE)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899999999999999" customHeight="1" x14ac:dyDescent="0.25">
      <c r="A573" s="6"/>
      <c r="B573" s="7"/>
      <c r="C573" s="8"/>
      <c r="D573" s="8"/>
      <c r="E573" s="8"/>
      <c r="F573" s="9"/>
      <c r="G573" s="9"/>
      <c r="H573" s="9"/>
      <c r="I573" s="9"/>
      <c r="J573" s="10" t="s">
        <v>14</v>
      </c>
      <c r="K573" s="15" t="e">
        <f>VLOOKUP(J573,DADOS!$A$3:$B$105,2,FALSE)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899999999999999" customHeight="1" x14ac:dyDescent="0.25">
      <c r="A574" s="6"/>
      <c r="B574" s="7"/>
      <c r="C574" s="8"/>
      <c r="D574" s="8"/>
      <c r="E574" s="8"/>
      <c r="F574" s="9"/>
      <c r="G574" s="9"/>
      <c r="H574" s="9"/>
      <c r="I574" s="9"/>
      <c r="J574" s="10" t="s">
        <v>14</v>
      </c>
      <c r="K574" s="15" t="e">
        <f>VLOOKUP(J574,DADOS!$A$3:$B$105,2,FALSE)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899999999999999" customHeight="1" x14ac:dyDescent="0.25">
      <c r="A575" s="6"/>
      <c r="B575" s="7"/>
      <c r="C575" s="8"/>
      <c r="D575" s="8"/>
      <c r="E575" s="8"/>
      <c r="F575" s="9"/>
      <c r="G575" s="9"/>
      <c r="H575" s="9"/>
      <c r="I575" s="9"/>
      <c r="J575" s="10" t="s">
        <v>14</v>
      </c>
      <c r="K575" s="15" t="e">
        <f>VLOOKUP(J575,DADOS!$A$3:$B$105,2,FALSE)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899999999999999" customHeight="1" x14ac:dyDescent="0.25">
      <c r="A576" s="6"/>
      <c r="B576" s="7"/>
      <c r="C576" s="8"/>
      <c r="D576" s="8"/>
      <c r="E576" s="8"/>
      <c r="F576" s="9"/>
      <c r="G576" s="9"/>
      <c r="H576" s="9"/>
      <c r="I576" s="9"/>
      <c r="J576" s="10" t="s">
        <v>14</v>
      </c>
      <c r="K576" s="15" t="e">
        <f>VLOOKUP(J576,DADOS!$A$3:$B$105,2,FALSE)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899999999999999" customHeight="1" x14ac:dyDescent="0.25">
      <c r="A577" s="6"/>
      <c r="B577" s="7"/>
      <c r="C577" s="8"/>
      <c r="D577" s="8"/>
      <c r="E577" s="8"/>
      <c r="F577" s="9"/>
      <c r="G577" s="9"/>
      <c r="H577" s="9"/>
      <c r="I577" s="9"/>
      <c r="J577" s="10" t="s">
        <v>14</v>
      </c>
      <c r="K577" s="15" t="e">
        <f>VLOOKUP(J577,DADOS!$A$3:$B$105,2,FALSE)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899999999999999" customHeight="1" x14ac:dyDescent="0.25">
      <c r="A578" s="6"/>
      <c r="B578" s="7"/>
      <c r="C578" s="8"/>
      <c r="D578" s="8"/>
      <c r="E578" s="8"/>
      <c r="F578" s="9"/>
      <c r="G578" s="9"/>
      <c r="H578" s="9"/>
      <c r="I578" s="9"/>
      <c r="J578" s="10" t="s">
        <v>14</v>
      </c>
      <c r="K578" s="15" t="e">
        <f>VLOOKUP(J578,DADOS!$A$3:$B$105,2,FALSE)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2"/>
    </row>
    <row r="579" spans="1:26" ht="19.899999999999999" customHeight="1" x14ac:dyDescent="0.25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VLOOKUP(J579,DADOS!$A$3:$B$105,2,FALSE)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899999999999999" customHeight="1" x14ac:dyDescent="0.25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VLOOKUP(J580,DADOS!$A$3:$B$105,2,FALSE)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899999999999999" customHeight="1" x14ac:dyDescent="0.25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VLOOKUP(J581,DADOS!$A$3:$B$105,2,FALSE)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899999999999999" customHeight="1" x14ac:dyDescent="0.25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VLOOKUP(J582,DADOS!$A$3:$B$105,2,FALSE)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899999999999999" customHeight="1" x14ac:dyDescent="0.25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VLOOKUP(J583,DADOS!$A$3:$B$105,2,FALSE)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899999999999999" customHeight="1" x14ac:dyDescent="0.25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VLOOKUP(J584,DADOS!$A$3:$B$105,2,FALSE)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899999999999999" customHeight="1" x14ac:dyDescent="0.25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VLOOKUP(J585,DADOS!$A$3:$B$105,2,FALSE)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899999999999999" customHeight="1" x14ac:dyDescent="0.25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VLOOKUP(J586,DADOS!$A$3:$B$105,2,FALSE)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899999999999999" customHeight="1" x14ac:dyDescent="0.25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VLOOKUP(J587,DADOS!$A$3:$B$105,2,FALSE)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899999999999999" customHeight="1" x14ac:dyDescent="0.25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VLOOKUP(J588,DADOS!$A$3:$B$105,2,FALSE)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899999999999999" customHeight="1" x14ac:dyDescent="0.25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VLOOKUP(J589,DADOS!$A$3:$B$105,2,FALSE)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899999999999999" customHeight="1" x14ac:dyDescent="0.25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VLOOKUP(J590,DADOS!$A$3:$B$105,2,FALSE)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899999999999999" customHeight="1" x14ac:dyDescent="0.25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VLOOKUP(J591,DADOS!$A$3:$B$105,2,FALSE)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899999999999999" customHeight="1" x14ac:dyDescent="0.25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VLOOKUP(J592,DADOS!$A$3:$B$105,2,FALSE)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899999999999999" customHeight="1" x14ac:dyDescent="0.25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VLOOKUP(J593,DADOS!$A$3:$B$105,2,FALSE)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899999999999999" customHeight="1" x14ac:dyDescent="0.25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VLOOKUP(J594,DADOS!$A$3:$B$105,2,FALSE)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899999999999999" customHeight="1" x14ac:dyDescent="0.25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VLOOKUP(J595,DADOS!$A$3:$B$105,2,FALSE)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899999999999999" customHeight="1" x14ac:dyDescent="0.25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VLOOKUP(J596,DADOS!$A$3:$B$105,2,FALSE)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899999999999999" customHeight="1" x14ac:dyDescent="0.25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VLOOKUP(J597,DADOS!$A$3:$B$105,2,FALSE)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899999999999999" customHeight="1" x14ac:dyDescent="0.25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VLOOKUP(J598,DADOS!$A$3:$B$105,2,FALSE)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899999999999999" customHeight="1" x14ac:dyDescent="0.25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VLOOKUP(J599,DADOS!$A$3:$B$105,2,FALSE)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899999999999999" customHeight="1" x14ac:dyDescent="0.25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VLOOKUP(J600,DADOS!$A$3:$B$105,2,FALSE)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899999999999999" customHeight="1" x14ac:dyDescent="0.25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VLOOKUP(J601,DADOS!$A$3:$B$105,2,FALSE)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899999999999999" customHeight="1" x14ac:dyDescent="0.25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VLOOKUP(J602,DADOS!$A$3:$B$105,2,FALSE)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899999999999999" customHeight="1" x14ac:dyDescent="0.25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VLOOKUP(J603,DADOS!$A$3:$B$105,2,FALSE)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899999999999999" customHeight="1" x14ac:dyDescent="0.25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VLOOKUP(J604,DADOS!$A$3:$B$105,2,FALSE)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899999999999999" customHeight="1" x14ac:dyDescent="0.25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VLOOKUP(J605,DADOS!$A$3:$B$105,2,FALSE)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899999999999999" customHeight="1" x14ac:dyDescent="0.25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VLOOKUP(J606,DADOS!$A$3:$B$105,2,FALSE)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899999999999999" customHeight="1" x14ac:dyDescent="0.25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VLOOKUP(J607,DADOS!$A$3:$B$105,2,FALSE)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899999999999999" customHeight="1" x14ac:dyDescent="0.25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VLOOKUP(J608,DADOS!$A$3:$B$105,2,FALSE)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899999999999999" customHeight="1" x14ac:dyDescent="0.25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VLOOKUP(J609,DADOS!$A$3:$B$105,2,FALSE)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899999999999999" customHeight="1" x14ac:dyDescent="0.25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VLOOKUP(J610,DADOS!$A$3:$B$105,2,FALSE)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899999999999999" customHeight="1" x14ac:dyDescent="0.25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VLOOKUP(J611,DADOS!$A$3:$B$105,2,FALSE)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899999999999999" customHeight="1" x14ac:dyDescent="0.25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VLOOKUP(J612,DADOS!$A$3:$B$105,2,FALSE)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899999999999999" customHeight="1" x14ac:dyDescent="0.25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VLOOKUP(J613,DADOS!$A$3:$B$105,2,FALSE)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899999999999999" customHeight="1" x14ac:dyDescent="0.25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VLOOKUP(J614,DADOS!$A$3:$B$105,2,FALSE)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899999999999999" customHeight="1" x14ac:dyDescent="0.25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VLOOKUP(J615,DADOS!$A$3:$B$105,2,FALSE)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899999999999999" customHeight="1" x14ac:dyDescent="0.25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VLOOKUP(J616,DADOS!$A$3:$B$105,2,FALSE)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899999999999999" customHeight="1" x14ac:dyDescent="0.25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VLOOKUP(J617,DADOS!$A$3:$B$105,2,FALSE)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899999999999999" customHeight="1" x14ac:dyDescent="0.25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VLOOKUP(J618,DADOS!$A$3:$B$105,2,FALSE)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899999999999999" customHeight="1" x14ac:dyDescent="0.25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VLOOKUP(J619,DADOS!$A$3:$B$105,2,FALSE)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899999999999999" customHeight="1" x14ac:dyDescent="0.25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VLOOKUP(J620,DADOS!$A$3:$B$105,2,FALSE)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899999999999999" customHeight="1" x14ac:dyDescent="0.25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VLOOKUP(J621,DADOS!$A$3:$B$105,2,FALSE)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899999999999999" customHeight="1" x14ac:dyDescent="0.25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VLOOKUP(J622,DADOS!$A$3:$B$105,2,FALSE)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899999999999999" customHeight="1" x14ac:dyDescent="0.25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VLOOKUP(J623,DADOS!$A$3:$B$105,2,FALSE)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899999999999999" customHeight="1" x14ac:dyDescent="0.25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VLOOKUP(J624,DADOS!$A$3:$B$105,2,FALSE)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899999999999999" customHeight="1" x14ac:dyDescent="0.25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VLOOKUP(J625,DADOS!$A$3:$B$105,2,FALSE)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899999999999999" customHeight="1" x14ac:dyDescent="0.25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VLOOKUP(J626,DADOS!$A$3:$B$105,2,FALSE)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899999999999999" customHeight="1" x14ac:dyDescent="0.25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VLOOKUP(J627,DADOS!$A$3:$B$105,2,FALSE)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899999999999999" customHeight="1" x14ac:dyDescent="0.25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VLOOKUP(J628,DADOS!$A$3:$B$105,2,FALSE)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899999999999999" customHeight="1" x14ac:dyDescent="0.25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VLOOKUP(J629,DADOS!$A$3:$B$105,2,FALSE)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899999999999999" customHeight="1" x14ac:dyDescent="0.25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VLOOKUP(J630,DADOS!$A$3:$B$105,2,FALSE)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899999999999999" customHeight="1" x14ac:dyDescent="0.25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VLOOKUP(J631,DADOS!$A$3:$B$105,2,FALSE)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899999999999999" customHeight="1" x14ac:dyDescent="0.25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VLOOKUP(J632,DADOS!$A$3:$B$105,2,FALSE)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899999999999999" customHeight="1" x14ac:dyDescent="0.25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VLOOKUP(J633,DADOS!$A$3:$B$105,2,FALSE)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899999999999999" customHeight="1" x14ac:dyDescent="0.25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VLOOKUP(J634,DADOS!$A$3:$B$105,2,FALSE)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899999999999999" customHeight="1" x14ac:dyDescent="0.25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VLOOKUP(J635,DADOS!$A$3:$B$105,2,FALSE)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899999999999999" customHeight="1" x14ac:dyDescent="0.25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VLOOKUP(J636,DADOS!$A$3:$B$105,2,FALSE)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899999999999999" customHeight="1" x14ac:dyDescent="0.25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VLOOKUP(J637,DADOS!$A$3:$B$105,2,FALSE)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899999999999999" customHeight="1" x14ac:dyDescent="0.25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VLOOKUP(J638,DADOS!$A$3:$B$105,2,FALSE)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899999999999999" customHeight="1" x14ac:dyDescent="0.25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VLOOKUP(J639,DADOS!$A$3:$B$105,2,FALSE)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899999999999999" customHeight="1" x14ac:dyDescent="0.25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VLOOKUP(J640,DADOS!$A$3:$B$105,2,FALSE)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899999999999999" customHeight="1" x14ac:dyDescent="0.25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VLOOKUP(J641,DADOS!$A$3:$B$105,2,FALSE)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899999999999999" customHeight="1" x14ac:dyDescent="0.25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VLOOKUP(J642,DADOS!$A$3:$B$105,2,FALSE)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899999999999999" customHeight="1" x14ac:dyDescent="0.25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VLOOKUP(J643,DADOS!$A$3:$B$105,2,FALSE)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899999999999999" customHeight="1" x14ac:dyDescent="0.25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VLOOKUP(J644,DADOS!$A$3:$B$105,2,FALSE)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899999999999999" customHeight="1" x14ac:dyDescent="0.25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VLOOKUP(J645,DADOS!$A$3:$B$105,2,FALSE)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899999999999999" customHeight="1" x14ac:dyDescent="0.25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VLOOKUP(J646,DADOS!$A$3:$B$105,2,FALSE)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899999999999999" customHeight="1" x14ac:dyDescent="0.25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VLOOKUP(J647,DADOS!$A$3:$B$105,2,FALSE)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899999999999999" customHeight="1" x14ac:dyDescent="0.25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VLOOKUP(J648,DADOS!$A$3:$B$105,2,FALSE)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899999999999999" customHeight="1" x14ac:dyDescent="0.25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VLOOKUP(J649,DADOS!$A$3:$B$105,2,FALSE)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899999999999999" customHeight="1" x14ac:dyDescent="0.25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VLOOKUP(J650,DADOS!$A$3:$B$105,2,FALSE)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899999999999999" customHeight="1" x14ac:dyDescent="0.25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VLOOKUP(J651,DADOS!$A$3:$B$105,2,FALSE)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899999999999999" customHeight="1" x14ac:dyDescent="0.25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VLOOKUP(J652,DADOS!$A$3:$B$105,2,FALSE)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899999999999999" customHeight="1" x14ac:dyDescent="0.25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VLOOKUP(J653,DADOS!$A$3:$B$105,2,FALSE)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899999999999999" customHeight="1" x14ac:dyDescent="0.25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VLOOKUP(J654,DADOS!$A$3:$B$105,2,FALSE)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899999999999999" customHeight="1" x14ac:dyDescent="0.25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VLOOKUP(J655,DADOS!$A$3:$B$105,2,FALSE)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899999999999999" customHeight="1" x14ac:dyDescent="0.25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VLOOKUP(J656,DADOS!$A$3:$B$105,2,FALSE)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899999999999999" customHeight="1" x14ac:dyDescent="0.25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VLOOKUP(J657,DADOS!$A$3:$B$105,2,FALSE)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899999999999999" customHeight="1" x14ac:dyDescent="0.25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VLOOKUP(J658,DADOS!$A$3:$B$105,2,FALSE)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899999999999999" customHeight="1" x14ac:dyDescent="0.25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VLOOKUP(J659,DADOS!$A$3:$B$105,2,FALSE)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899999999999999" customHeight="1" x14ac:dyDescent="0.25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VLOOKUP(J660,DADOS!$A$3:$B$105,2,FALSE)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899999999999999" customHeight="1" x14ac:dyDescent="0.25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VLOOKUP(J661,DADOS!$A$3:$B$105,2,FALSE)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899999999999999" customHeight="1" x14ac:dyDescent="0.25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VLOOKUP(J662,DADOS!$A$3:$B$105,2,FALSE)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899999999999999" customHeight="1" x14ac:dyDescent="0.25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VLOOKUP(J663,DADOS!$A$3:$B$105,2,FALSE)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899999999999999" customHeight="1" x14ac:dyDescent="0.25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VLOOKUP(J664,DADOS!$A$3:$B$105,2,FALSE)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899999999999999" customHeight="1" x14ac:dyDescent="0.25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VLOOKUP(J665,DADOS!$A$3:$B$105,2,FALSE)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899999999999999" customHeight="1" x14ac:dyDescent="0.25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VLOOKUP(J666,DADOS!$A$3:$B$105,2,FALSE)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899999999999999" customHeight="1" x14ac:dyDescent="0.25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VLOOKUP(J667,DADOS!$A$3:$B$105,2,FALSE)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899999999999999" customHeight="1" x14ac:dyDescent="0.25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VLOOKUP(J668,DADOS!$A$3:$B$105,2,FALSE)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899999999999999" customHeight="1" x14ac:dyDescent="0.25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VLOOKUP(J669,DADOS!$A$3:$B$105,2,FALSE)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899999999999999" customHeight="1" x14ac:dyDescent="0.25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VLOOKUP(J670,DADOS!$A$3:$B$105,2,FALSE)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899999999999999" customHeight="1" x14ac:dyDescent="0.25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VLOOKUP(J671,DADOS!$A$3:$B$105,2,FALSE)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899999999999999" customHeight="1" x14ac:dyDescent="0.25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VLOOKUP(J672,DADOS!$A$3:$B$105,2,FALSE)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899999999999999" customHeight="1" x14ac:dyDescent="0.25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VLOOKUP(J673,DADOS!$A$3:$B$105,2,FALSE)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899999999999999" customHeight="1" x14ac:dyDescent="0.25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VLOOKUP(J674,DADOS!$A$3:$B$105,2,FALSE)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899999999999999" customHeight="1" x14ac:dyDescent="0.25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VLOOKUP(J675,DADOS!$A$3:$B$105,2,FALSE)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899999999999999" customHeight="1" x14ac:dyDescent="0.25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VLOOKUP(J676,DADOS!$A$3:$B$105,2,FALSE)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899999999999999" customHeight="1" x14ac:dyDescent="0.25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VLOOKUP(J677,DADOS!$A$3:$B$105,2,FALSE)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899999999999999" customHeight="1" x14ac:dyDescent="0.25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VLOOKUP(J678,DADOS!$A$3:$B$105,2,FALSE)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899999999999999" customHeight="1" x14ac:dyDescent="0.25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VLOOKUP(J679,DADOS!$A$3:$B$105,2,FALSE)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899999999999999" customHeight="1" x14ac:dyDescent="0.25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VLOOKUP(J680,DADOS!$A$3:$B$105,2,FALSE)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899999999999999" customHeight="1" x14ac:dyDescent="0.25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VLOOKUP(J681,DADOS!$A$3:$B$105,2,FALSE)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899999999999999" customHeight="1" x14ac:dyDescent="0.25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VLOOKUP(J682,DADOS!$A$3:$B$105,2,FALSE)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899999999999999" customHeight="1" x14ac:dyDescent="0.25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VLOOKUP(J683,DADOS!$A$3:$B$105,2,FALSE)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899999999999999" customHeight="1" x14ac:dyDescent="0.25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VLOOKUP(J684,DADOS!$A$3:$B$105,2,FALSE)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899999999999999" customHeight="1" x14ac:dyDescent="0.25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VLOOKUP(J685,DADOS!$A$3:$B$105,2,FALSE)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899999999999999" customHeight="1" x14ac:dyDescent="0.25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VLOOKUP(J686,DADOS!$A$3:$B$105,2,FALSE)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899999999999999" customHeight="1" x14ac:dyDescent="0.25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VLOOKUP(J687,DADOS!$A$3:$B$105,2,FALSE)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899999999999999" customHeight="1" x14ac:dyDescent="0.25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VLOOKUP(J688,DADOS!$A$3:$B$105,2,FALSE)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899999999999999" customHeight="1" x14ac:dyDescent="0.25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VLOOKUP(J689,DADOS!$A$3:$B$105,2,FALSE)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899999999999999" customHeight="1" x14ac:dyDescent="0.25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VLOOKUP(J690,DADOS!$A$3:$B$105,2,FALSE)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899999999999999" customHeight="1" x14ac:dyDescent="0.25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VLOOKUP(J691,DADOS!$A$3:$B$105,2,FALSE)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899999999999999" customHeight="1" x14ac:dyDescent="0.25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VLOOKUP(J692,DADOS!$A$3:$B$105,2,FALSE)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899999999999999" customHeight="1" x14ac:dyDescent="0.25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VLOOKUP(J693,DADOS!$A$3:$B$105,2,FALSE)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899999999999999" customHeight="1" x14ac:dyDescent="0.25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VLOOKUP(J694,DADOS!$A$3:$B$105,2,FALSE)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899999999999999" customHeight="1" x14ac:dyDescent="0.25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VLOOKUP(J695,DADOS!$A$3:$B$105,2,FALSE)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899999999999999" customHeight="1" x14ac:dyDescent="0.25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VLOOKUP(J696,DADOS!$A$3:$B$105,2,FALSE)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899999999999999" customHeight="1" x14ac:dyDescent="0.25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VLOOKUP(J697,DADOS!$A$3:$B$105,2,FALSE)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899999999999999" customHeight="1" x14ac:dyDescent="0.25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VLOOKUP(J698,DADOS!$A$3:$B$105,2,FALSE)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899999999999999" customHeight="1" x14ac:dyDescent="0.25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VLOOKUP(J699,DADOS!$A$3:$B$105,2,FALSE)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899999999999999" customHeight="1" x14ac:dyDescent="0.25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VLOOKUP(J700,DADOS!$A$3:$B$105,2,FALSE)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899999999999999" customHeight="1" x14ac:dyDescent="0.25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VLOOKUP(J701,DADOS!$A$3:$B$105,2,FALSE)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899999999999999" customHeight="1" x14ac:dyDescent="0.25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VLOOKUP(J702,DADOS!$A$3:$B$105,2,FALSE)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899999999999999" customHeight="1" x14ac:dyDescent="0.25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VLOOKUP(J703,DADOS!$A$3:$B$105,2,FALSE)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899999999999999" customHeight="1" x14ac:dyDescent="0.25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VLOOKUP(J704,DADOS!$A$3:$B$105,2,FALSE)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899999999999999" customHeight="1" x14ac:dyDescent="0.25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VLOOKUP(J705,DADOS!$A$3:$B$105,2,FALSE)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899999999999999" customHeight="1" x14ac:dyDescent="0.25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VLOOKUP(J706,DADOS!$A$3:$B$105,2,FALSE)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899999999999999" customHeight="1" x14ac:dyDescent="0.25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VLOOKUP(J707,DADOS!$A$3:$B$105,2,FALSE)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899999999999999" customHeight="1" x14ac:dyDescent="0.25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VLOOKUP(J708,DADOS!$A$3:$B$105,2,FALSE)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899999999999999" customHeight="1" x14ac:dyDescent="0.25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VLOOKUP(J709,DADOS!$A$3:$B$105,2,FALSE)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899999999999999" customHeight="1" x14ac:dyDescent="0.25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VLOOKUP(J710,DADOS!$A$3:$B$105,2,FALSE)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899999999999999" customHeight="1" x14ac:dyDescent="0.25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VLOOKUP(J711,DADOS!$A$3:$B$105,2,FALSE)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899999999999999" customHeight="1" x14ac:dyDescent="0.25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VLOOKUP(J712,DADOS!$A$3:$B$105,2,FALSE)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899999999999999" customHeight="1" x14ac:dyDescent="0.25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VLOOKUP(J713,DADOS!$A$3:$B$105,2,FALSE)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899999999999999" customHeight="1" x14ac:dyDescent="0.25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VLOOKUP(J714,DADOS!$A$3:$B$105,2,FALSE)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899999999999999" customHeight="1" x14ac:dyDescent="0.25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VLOOKUP(J715,DADOS!$A$3:$B$105,2,FALSE)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899999999999999" customHeight="1" x14ac:dyDescent="0.25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VLOOKUP(J716,DADOS!$A$3:$B$105,2,FALSE)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899999999999999" customHeight="1" x14ac:dyDescent="0.25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VLOOKUP(J717,DADOS!$A$3:$B$105,2,FALSE)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899999999999999" customHeight="1" x14ac:dyDescent="0.25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VLOOKUP(J718,DADOS!$A$3:$B$105,2,FALSE)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899999999999999" customHeight="1" x14ac:dyDescent="0.25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VLOOKUP(J719,DADOS!$A$3:$B$105,2,FALSE)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899999999999999" customHeight="1" x14ac:dyDescent="0.25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VLOOKUP(J720,DADOS!$A$3:$B$105,2,FALSE)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899999999999999" customHeight="1" x14ac:dyDescent="0.25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VLOOKUP(J721,DADOS!$A$3:$B$105,2,FALSE)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899999999999999" customHeight="1" x14ac:dyDescent="0.25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VLOOKUP(J722,DADOS!$A$3:$B$105,2,FALSE)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899999999999999" customHeight="1" x14ac:dyDescent="0.25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VLOOKUP(J723,DADOS!$A$3:$B$105,2,FALSE)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899999999999999" customHeight="1" x14ac:dyDescent="0.25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VLOOKUP(J724,DADOS!$A$3:$B$105,2,FALSE)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899999999999999" customHeight="1" x14ac:dyDescent="0.25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VLOOKUP(J725,DADOS!$A$3:$B$105,2,FALSE)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899999999999999" customHeight="1" x14ac:dyDescent="0.25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VLOOKUP(J726,DADOS!$A$3:$B$105,2,FALSE)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899999999999999" customHeight="1" x14ac:dyDescent="0.25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VLOOKUP(J727,DADOS!$A$3:$B$105,2,FALSE)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899999999999999" customHeight="1" x14ac:dyDescent="0.25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VLOOKUP(J728,DADOS!$A$3:$B$105,2,FALSE)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899999999999999" customHeight="1" x14ac:dyDescent="0.25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VLOOKUP(J729,DADOS!$A$3:$B$105,2,FALSE)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899999999999999" customHeight="1" x14ac:dyDescent="0.25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VLOOKUP(J730,DADOS!$A$3:$B$105,2,FALSE)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899999999999999" customHeight="1" x14ac:dyDescent="0.25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VLOOKUP(J731,DADOS!$A$3:$B$105,2,FALSE)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899999999999999" customHeight="1" x14ac:dyDescent="0.25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VLOOKUP(J732,DADOS!$A$3:$B$105,2,FALSE)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899999999999999" customHeight="1" x14ac:dyDescent="0.25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VLOOKUP(J733,DADOS!$A$3:$B$105,2,FALSE)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899999999999999" customHeight="1" x14ac:dyDescent="0.25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VLOOKUP(J734,DADOS!$A$3:$B$105,2,FALSE)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899999999999999" customHeight="1" x14ac:dyDescent="0.25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VLOOKUP(J735,DADOS!$A$3:$B$105,2,FALSE)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899999999999999" customHeight="1" x14ac:dyDescent="0.25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VLOOKUP(J736,DADOS!$A$3:$B$105,2,FALSE)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899999999999999" customHeight="1" x14ac:dyDescent="0.25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VLOOKUP(J737,DADOS!$A$3:$B$105,2,FALSE)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899999999999999" customHeight="1" x14ac:dyDescent="0.25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VLOOKUP(J738,DADOS!$A$3:$B$105,2,FALSE)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899999999999999" customHeight="1" x14ac:dyDescent="0.25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VLOOKUP(J739,DADOS!$A$3:$B$105,2,FALSE)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899999999999999" customHeight="1" x14ac:dyDescent="0.25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VLOOKUP(J740,DADOS!$A$3:$B$105,2,FALSE)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899999999999999" customHeight="1" x14ac:dyDescent="0.25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VLOOKUP(J741,DADOS!$A$3:$B$105,2,FALSE)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899999999999999" customHeight="1" x14ac:dyDescent="0.25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VLOOKUP(J742,DADOS!$A$3:$B$105,2,FALSE)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899999999999999" customHeight="1" x14ac:dyDescent="0.25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VLOOKUP(J743,DADOS!$A$3:$B$105,2,FALSE)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899999999999999" customHeight="1" x14ac:dyDescent="0.25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VLOOKUP(J744,DADOS!$A$3:$B$105,2,FALSE)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899999999999999" customHeight="1" x14ac:dyDescent="0.25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VLOOKUP(J745,DADOS!$A$3:$B$105,2,FALSE)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899999999999999" customHeight="1" x14ac:dyDescent="0.25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VLOOKUP(J746,DADOS!$A$3:$B$105,2,FALSE)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899999999999999" customHeight="1" x14ac:dyDescent="0.25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VLOOKUP(J747,DADOS!$A$3:$B$105,2,FALSE)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899999999999999" customHeight="1" x14ac:dyDescent="0.25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VLOOKUP(J748,DADOS!$A$3:$B$105,2,FALSE)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899999999999999" customHeight="1" x14ac:dyDescent="0.25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VLOOKUP(J749,DADOS!$A$3:$B$105,2,FALSE)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899999999999999" customHeight="1" x14ac:dyDescent="0.25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VLOOKUP(J750,DADOS!$A$3:$B$105,2,FALSE)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899999999999999" customHeight="1" x14ac:dyDescent="0.25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VLOOKUP(J751,DADOS!$A$3:$B$105,2,FALSE)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899999999999999" customHeight="1" x14ac:dyDescent="0.25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VLOOKUP(J752,DADOS!$A$3:$B$105,2,FALSE)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899999999999999" customHeight="1" x14ac:dyDescent="0.25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VLOOKUP(J753,DADOS!$A$3:$B$105,2,FALSE)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899999999999999" customHeight="1" x14ac:dyDescent="0.25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VLOOKUP(J754,DADOS!$A$3:$B$105,2,FALSE)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899999999999999" customHeight="1" x14ac:dyDescent="0.25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VLOOKUP(J755,DADOS!$A$3:$B$105,2,FALSE)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899999999999999" customHeight="1" x14ac:dyDescent="0.25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VLOOKUP(J756,DADOS!$A$3:$B$105,2,FALSE)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899999999999999" customHeight="1" x14ac:dyDescent="0.25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VLOOKUP(J757,DADOS!$A$3:$B$105,2,FALSE)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899999999999999" customHeight="1" x14ac:dyDescent="0.25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VLOOKUP(J758,DADOS!$A$3:$B$105,2,FALSE)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899999999999999" customHeight="1" x14ac:dyDescent="0.25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VLOOKUP(J759,DADOS!$A$3:$B$105,2,FALSE)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899999999999999" customHeight="1" x14ac:dyDescent="0.25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VLOOKUP(J760,DADOS!$A$3:$B$105,2,FALSE)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899999999999999" customHeight="1" x14ac:dyDescent="0.25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VLOOKUP(J761,DADOS!$A$3:$B$105,2,FALSE)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899999999999999" customHeight="1" x14ac:dyDescent="0.25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VLOOKUP(J762,DADOS!$A$3:$B$105,2,FALSE)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899999999999999" customHeight="1" x14ac:dyDescent="0.25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VLOOKUP(J763,DADOS!$A$3:$B$105,2,FALSE)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899999999999999" customHeight="1" x14ac:dyDescent="0.25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VLOOKUP(J764,DADOS!$A$3:$B$105,2,FALSE)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899999999999999" customHeight="1" x14ac:dyDescent="0.25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VLOOKUP(J765,DADOS!$A$3:$B$105,2,FALSE)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899999999999999" customHeight="1" x14ac:dyDescent="0.25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VLOOKUP(J766,DADOS!$A$3:$B$105,2,FALSE)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899999999999999" customHeight="1" x14ac:dyDescent="0.25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VLOOKUP(J767,DADOS!$A$3:$B$105,2,FALSE)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899999999999999" customHeight="1" x14ac:dyDescent="0.25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VLOOKUP(J768,DADOS!$A$3:$B$105,2,FALSE)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899999999999999" customHeight="1" x14ac:dyDescent="0.25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VLOOKUP(J769,DADOS!$A$3:$B$105,2,FALSE)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899999999999999" customHeight="1" x14ac:dyDescent="0.25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VLOOKUP(J770,DADOS!$A$3:$B$105,2,FALSE)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899999999999999" customHeight="1" x14ac:dyDescent="0.25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VLOOKUP(J771,DADOS!$A$3:$B$105,2,FALSE)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899999999999999" customHeight="1" x14ac:dyDescent="0.25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VLOOKUP(J772,DADOS!$A$3:$B$105,2,FALSE)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899999999999999" customHeight="1" x14ac:dyDescent="0.25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VLOOKUP(J773,DADOS!$A$3:$B$105,2,FALSE)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899999999999999" customHeight="1" x14ac:dyDescent="0.25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VLOOKUP(J774,DADOS!$A$3:$B$105,2,FALSE)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899999999999999" customHeight="1" x14ac:dyDescent="0.25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VLOOKUP(J775,DADOS!$A$3:$B$105,2,FALSE)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899999999999999" customHeight="1" x14ac:dyDescent="0.25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VLOOKUP(J776,DADOS!$A$3:$B$105,2,FALSE)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899999999999999" customHeight="1" x14ac:dyDescent="0.25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VLOOKUP(J777,DADOS!$A$3:$B$105,2,FALSE)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899999999999999" customHeight="1" x14ac:dyDescent="0.25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VLOOKUP(J778,DADOS!$A$3:$B$105,2,FALSE)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899999999999999" customHeight="1" x14ac:dyDescent="0.25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VLOOKUP(J779,DADOS!$A$3:$B$105,2,FALSE)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899999999999999" customHeight="1" x14ac:dyDescent="0.25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VLOOKUP(J780,DADOS!$A$3:$B$105,2,FALSE)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899999999999999" customHeight="1" x14ac:dyDescent="0.25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VLOOKUP(J781,DADOS!$A$3:$B$105,2,FALSE)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899999999999999" customHeight="1" x14ac:dyDescent="0.25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VLOOKUP(J782,DADOS!$A$3:$B$105,2,FALSE)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899999999999999" customHeight="1" x14ac:dyDescent="0.25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VLOOKUP(J783,DADOS!$A$3:$B$105,2,FALSE)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899999999999999" customHeight="1" x14ac:dyDescent="0.25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VLOOKUP(J784,DADOS!$A$3:$B$105,2,FALSE)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899999999999999" customHeight="1" x14ac:dyDescent="0.25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VLOOKUP(J785,DADOS!$A$3:$B$105,2,FALSE)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899999999999999" customHeight="1" x14ac:dyDescent="0.25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VLOOKUP(J786,DADOS!$A$3:$B$105,2,FALSE)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899999999999999" customHeight="1" x14ac:dyDescent="0.25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VLOOKUP(J787,DADOS!$A$3:$B$105,2,FALSE)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899999999999999" customHeight="1" x14ac:dyDescent="0.25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VLOOKUP(J788,DADOS!$A$3:$B$105,2,FALSE)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899999999999999" customHeight="1" x14ac:dyDescent="0.25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VLOOKUP(J789,DADOS!$A$3:$B$105,2,FALSE)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899999999999999" customHeight="1" x14ac:dyDescent="0.25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VLOOKUP(J790,DADOS!$A$3:$B$105,2,FALSE)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899999999999999" customHeight="1" x14ac:dyDescent="0.25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VLOOKUP(J791,DADOS!$A$3:$B$105,2,FALSE)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899999999999999" customHeight="1" x14ac:dyDescent="0.25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VLOOKUP(J792,DADOS!$A$3:$B$105,2,FALSE)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899999999999999" customHeight="1" x14ac:dyDescent="0.25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VLOOKUP(J793,DADOS!$A$3:$B$105,2,FALSE)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899999999999999" customHeight="1" x14ac:dyDescent="0.25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VLOOKUP(J794,DADOS!$A$3:$B$105,2,FALSE)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899999999999999" customHeight="1" x14ac:dyDescent="0.25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VLOOKUP(J795,DADOS!$A$3:$B$105,2,FALSE)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899999999999999" customHeight="1" x14ac:dyDescent="0.25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VLOOKUP(J796,DADOS!$A$3:$B$105,2,FALSE)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899999999999999" customHeight="1" x14ac:dyDescent="0.25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VLOOKUP(J797,DADOS!$A$3:$B$105,2,FALSE)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899999999999999" customHeight="1" x14ac:dyDescent="0.25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VLOOKUP(J798,DADOS!$A$3:$B$105,2,FALSE)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899999999999999" customHeight="1" x14ac:dyDescent="0.25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VLOOKUP(J799,DADOS!$A$3:$B$105,2,FALSE)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899999999999999" customHeight="1" x14ac:dyDescent="0.25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VLOOKUP(J800,DADOS!$A$3:$B$105,2,FALSE)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899999999999999" customHeight="1" x14ac:dyDescent="0.25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VLOOKUP(J801,DADOS!$A$3:$B$105,2,FALSE)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899999999999999" customHeight="1" x14ac:dyDescent="0.25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VLOOKUP(J802,DADOS!$A$3:$B$105,2,FALSE)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899999999999999" customHeight="1" x14ac:dyDescent="0.25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VLOOKUP(J803,DADOS!$A$3:$B$105,2,FALSE)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899999999999999" customHeight="1" x14ac:dyDescent="0.25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VLOOKUP(J804,DADOS!$A$3:$B$105,2,FALSE)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899999999999999" customHeight="1" x14ac:dyDescent="0.25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VLOOKUP(J805,DADOS!$A$3:$B$105,2,FALSE)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899999999999999" customHeight="1" x14ac:dyDescent="0.25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VLOOKUP(J806,DADOS!$A$3:$B$105,2,FALSE)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899999999999999" customHeight="1" x14ac:dyDescent="0.25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VLOOKUP(J807,DADOS!$A$3:$B$105,2,FALSE)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899999999999999" customHeight="1" x14ac:dyDescent="0.25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VLOOKUP(J808,DADOS!$A$3:$B$105,2,FALSE)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899999999999999" customHeight="1" x14ac:dyDescent="0.25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VLOOKUP(J809,DADOS!$A$3:$B$105,2,FALSE)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899999999999999" customHeight="1" x14ac:dyDescent="0.25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VLOOKUP(J810,DADOS!$A$3:$B$105,2,FALSE)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899999999999999" customHeight="1" x14ac:dyDescent="0.25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VLOOKUP(J811,DADOS!$A$3:$B$105,2,FALSE)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899999999999999" customHeight="1" x14ac:dyDescent="0.25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VLOOKUP(J812,DADOS!$A$3:$B$105,2,FALSE)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899999999999999" customHeight="1" x14ac:dyDescent="0.25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VLOOKUP(J813,DADOS!$A$3:$B$105,2,FALSE)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899999999999999" customHeight="1" x14ac:dyDescent="0.25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VLOOKUP(J814,DADOS!$A$3:$B$105,2,FALSE)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899999999999999" customHeight="1" x14ac:dyDescent="0.25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VLOOKUP(J815,DADOS!$A$3:$B$105,2,FALSE)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899999999999999" customHeight="1" x14ac:dyDescent="0.25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VLOOKUP(J816,DADOS!$A$3:$B$105,2,FALSE)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899999999999999" customHeight="1" x14ac:dyDescent="0.25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VLOOKUP(J817,DADOS!$A$3:$B$105,2,FALSE)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899999999999999" customHeight="1" x14ac:dyDescent="0.25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VLOOKUP(J818,DADOS!$A$3:$B$105,2,FALSE)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899999999999999" customHeight="1" x14ac:dyDescent="0.25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VLOOKUP(J819,DADOS!$A$3:$B$105,2,FALSE)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899999999999999" customHeight="1" x14ac:dyDescent="0.25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VLOOKUP(J820,DADOS!$A$3:$B$105,2,FALSE)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899999999999999" customHeight="1" x14ac:dyDescent="0.25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VLOOKUP(J821,DADOS!$A$3:$B$105,2,FALSE)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899999999999999" customHeight="1" x14ac:dyDescent="0.25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VLOOKUP(J822,DADOS!$A$3:$B$105,2,FALSE)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899999999999999" customHeight="1" x14ac:dyDescent="0.25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VLOOKUP(J823,DADOS!$A$3:$B$105,2,FALSE)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899999999999999" customHeight="1" x14ac:dyDescent="0.25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VLOOKUP(J824,DADOS!$A$3:$B$105,2,FALSE)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899999999999999" customHeight="1" x14ac:dyDescent="0.25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VLOOKUP(J825,DADOS!$A$3:$B$105,2,FALSE)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899999999999999" customHeight="1" x14ac:dyDescent="0.25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VLOOKUP(J826,DADOS!$A$3:$B$105,2,FALSE)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899999999999999" customHeight="1" x14ac:dyDescent="0.25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VLOOKUP(J827,DADOS!$A$3:$B$105,2,FALSE)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899999999999999" customHeight="1" x14ac:dyDescent="0.25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VLOOKUP(J828,DADOS!$A$3:$B$105,2,FALSE)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899999999999999" customHeight="1" x14ac:dyDescent="0.25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VLOOKUP(J829,DADOS!$A$3:$B$105,2,FALSE)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899999999999999" customHeight="1" x14ac:dyDescent="0.25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VLOOKUP(J830,DADOS!$A$3:$B$105,2,FALSE)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899999999999999" customHeight="1" x14ac:dyDescent="0.25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VLOOKUP(J831,DADOS!$A$3:$B$105,2,FALSE)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899999999999999" customHeight="1" x14ac:dyDescent="0.25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VLOOKUP(J832,DADOS!$A$3:$B$105,2,FALSE)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899999999999999" customHeight="1" x14ac:dyDescent="0.25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VLOOKUP(J833,DADOS!$A$3:$B$105,2,FALSE)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899999999999999" customHeight="1" x14ac:dyDescent="0.25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VLOOKUP(J834,DADOS!$A$3:$B$105,2,FALSE)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899999999999999" customHeight="1" x14ac:dyDescent="0.25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VLOOKUP(J835,DADOS!$A$3:$B$105,2,FALSE)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899999999999999" customHeight="1" x14ac:dyDescent="0.25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VLOOKUP(J836,DADOS!$A$3:$B$105,2,FALSE)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899999999999999" customHeight="1" x14ac:dyDescent="0.25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VLOOKUP(J837,DADOS!$A$3:$B$105,2,FALSE)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899999999999999" customHeight="1" x14ac:dyDescent="0.25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VLOOKUP(J838,DADOS!$A$3:$B$105,2,FALSE)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899999999999999" customHeight="1" x14ac:dyDescent="0.25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VLOOKUP(J839,DADOS!$A$3:$B$105,2,FALSE)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899999999999999" customHeight="1" x14ac:dyDescent="0.25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VLOOKUP(J840,DADOS!$A$3:$B$105,2,FALSE)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899999999999999" customHeight="1" x14ac:dyDescent="0.25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VLOOKUP(J841,DADOS!$A$3:$B$105,2,FALSE)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899999999999999" customHeight="1" x14ac:dyDescent="0.25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VLOOKUP(J842,DADOS!$A$3:$B$105,2,FALSE)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899999999999999" customHeight="1" x14ac:dyDescent="0.25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VLOOKUP(J843,DADOS!$A$3:$B$105,2,FALSE)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899999999999999" customHeight="1" x14ac:dyDescent="0.25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VLOOKUP(J844,DADOS!$A$3:$B$105,2,FALSE)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899999999999999" customHeight="1" x14ac:dyDescent="0.25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VLOOKUP(J845,DADOS!$A$3:$B$105,2,FALSE)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899999999999999" customHeight="1" x14ac:dyDescent="0.25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VLOOKUP(J846,DADOS!$A$3:$B$105,2,FALSE)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899999999999999" customHeight="1" x14ac:dyDescent="0.25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VLOOKUP(J847,DADOS!$A$3:$B$105,2,FALSE)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899999999999999" customHeight="1" x14ac:dyDescent="0.25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VLOOKUP(J848,DADOS!$A$3:$B$105,2,FALSE)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899999999999999" customHeight="1" x14ac:dyDescent="0.25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VLOOKUP(J849,DADOS!$A$3:$B$105,2,FALSE)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899999999999999" customHeight="1" x14ac:dyDescent="0.25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VLOOKUP(J850,DADOS!$A$3:$B$105,2,FALSE)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899999999999999" customHeight="1" x14ac:dyDescent="0.25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VLOOKUP(J851,DADOS!$A$3:$B$105,2,FALSE)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899999999999999" customHeight="1" x14ac:dyDescent="0.25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VLOOKUP(J852,DADOS!$A$3:$B$105,2,FALSE)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899999999999999" customHeight="1" x14ac:dyDescent="0.25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VLOOKUP(J853,DADOS!$A$3:$B$105,2,FALSE)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899999999999999" customHeight="1" x14ac:dyDescent="0.25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VLOOKUP(J854,DADOS!$A$3:$B$105,2,FALSE)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899999999999999" customHeight="1" x14ac:dyDescent="0.25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VLOOKUP(J855,DADOS!$A$3:$B$105,2,FALSE)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899999999999999" customHeight="1" x14ac:dyDescent="0.25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VLOOKUP(J856,DADOS!$A$3:$B$105,2,FALSE)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899999999999999" customHeight="1" x14ac:dyDescent="0.25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VLOOKUP(J857,DADOS!$A$3:$B$105,2,FALSE)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899999999999999" customHeight="1" x14ac:dyDescent="0.25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VLOOKUP(J858,DADOS!$A$3:$B$105,2,FALSE)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899999999999999" customHeight="1" x14ac:dyDescent="0.25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VLOOKUP(J859,DADOS!$A$3:$B$105,2,FALSE)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899999999999999" customHeight="1" x14ac:dyDescent="0.25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VLOOKUP(J860,DADOS!$A$3:$B$105,2,FALSE)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899999999999999" customHeight="1" x14ac:dyDescent="0.25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VLOOKUP(J861,DADOS!$A$3:$B$105,2,FALSE)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899999999999999" customHeight="1" x14ac:dyDescent="0.25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VLOOKUP(J862,DADOS!$A$3:$B$105,2,FALSE)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899999999999999" customHeight="1" x14ac:dyDescent="0.25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VLOOKUP(J863,DADOS!$A$3:$B$105,2,FALSE)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899999999999999" customHeight="1" x14ac:dyDescent="0.25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VLOOKUP(J864,DADOS!$A$3:$B$105,2,FALSE)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899999999999999" customHeight="1" x14ac:dyDescent="0.25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VLOOKUP(J865,DADOS!$A$3:$B$105,2,FALSE)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899999999999999" customHeight="1" x14ac:dyDescent="0.25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VLOOKUP(J866,DADOS!$A$3:$B$105,2,FALSE)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899999999999999" customHeight="1" x14ac:dyDescent="0.25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VLOOKUP(J867,DADOS!$A$3:$B$105,2,FALSE)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899999999999999" customHeight="1" x14ac:dyDescent="0.25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VLOOKUP(J868,DADOS!$A$3:$B$105,2,FALSE)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899999999999999" customHeight="1" x14ac:dyDescent="0.25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VLOOKUP(J869,DADOS!$A$3:$B$105,2,FALSE)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899999999999999" customHeight="1" x14ac:dyDescent="0.25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VLOOKUP(J870,DADOS!$A$3:$B$105,2,FALSE)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899999999999999" customHeight="1" x14ac:dyDescent="0.25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VLOOKUP(J871,DADOS!$A$3:$B$105,2,FALSE)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899999999999999" customHeight="1" x14ac:dyDescent="0.25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VLOOKUP(J872,DADOS!$A$3:$B$105,2,FALSE)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899999999999999" customHeight="1" x14ac:dyDescent="0.25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VLOOKUP(J873,DADOS!$A$3:$B$105,2,FALSE)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899999999999999" customHeight="1" x14ac:dyDescent="0.25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VLOOKUP(J874,DADOS!$A$3:$B$105,2,FALSE)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899999999999999" customHeight="1" x14ac:dyDescent="0.25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VLOOKUP(J875,DADOS!$A$3:$B$105,2,FALSE)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899999999999999" customHeight="1" x14ac:dyDescent="0.25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VLOOKUP(J876,DADOS!$A$3:$B$105,2,FALSE)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899999999999999" customHeight="1" x14ac:dyDescent="0.25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VLOOKUP(J877,DADOS!$A$3:$B$105,2,FALSE)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899999999999999" customHeight="1" x14ac:dyDescent="0.25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VLOOKUP(J878,DADOS!$A$3:$B$105,2,FALSE)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899999999999999" customHeight="1" x14ac:dyDescent="0.25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VLOOKUP(J879,DADOS!$A$3:$B$105,2,FALSE)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899999999999999" customHeight="1" x14ac:dyDescent="0.25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VLOOKUP(J880,DADOS!$A$3:$B$105,2,FALSE)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899999999999999" customHeight="1" x14ac:dyDescent="0.25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VLOOKUP(J881,DADOS!$A$3:$B$105,2,FALSE)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899999999999999" customHeight="1" x14ac:dyDescent="0.25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VLOOKUP(J882,DADOS!$A$3:$B$105,2,FALSE)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899999999999999" customHeight="1" x14ac:dyDescent="0.25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VLOOKUP(J883,DADOS!$A$3:$B$105,2,FALSE)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899999999999999" customHeight="1" x14ac:dyDescent="0.25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VLOOKUP(J884,DADOS!$A$3:$B$105,2,FALSE)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899999999999999" customHeight="1" x14ac:dyDescent="0.25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VLOOKUP(J885,DADOS!$A$3:$B$105,2,FALSE)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899999999999999" customHeight="1" x14ac:dyDescent="0.25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VLOOKUP(J886,DADOS!$A$3:$B$105,2,FALSE)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899999999999999" customHeight="1" x14ac:dyDescent="0.25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VLOOKUP(J887,DADOS!$A$3:$B$105,2,FALSE)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899999999999999" customHeight="1" x14ac:dyDescent="0.25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VLOOKUP(J888,DADOS!$A$3:$B$105,2,FALSE)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899999999999999" customHeight="1" x14ac:dyDescent="0.25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VLOOKUP(J889,DADOS!$A$3:$B$105,2,FALSE)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899999999999999" customHeight="1" x14ac:dyDescent="0.25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VLOOKUP(J890,DADOS!$A$3:$B$105,2,FALSE)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899999999999999" customHeight="1" x14ac:dyDescent="0.25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VLOOKUP(J891,DADOS!$A$3:$B$105,2,FALSE)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899999999999999" customHeight="1" x14ac:dyDescent="0.25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VLOOKUP(J892,DADOS!$A$3:$B$105,2,FALSE)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899999999999999" customHeight="1" x14ac:dyDescent="0.25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VLOOKUP(J893,DADOS!$A$3:$B$105,2,FALSE)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899999999999999" customHeight="1" x14ac:dyDescent="0.25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VLOOKUP(J894,DADOS!$A$3:$B$105,2,FALSE)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899999999999999" customHeight="1" x14ac:dyDescent="0.25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VLOOKUP(J895,DADOS!$A$3:$B$105,2,FALSE)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899999999999999" customHeight="1" x14ac:dyDescent="0.25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VLOOKUP(J896,DADOS!$A$3:$B$105,2,FALSE)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899999999999999" customHeight="1" x14ac:dyDescent="0.25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VLOOKUP(J897,DADOS!$A$3:$B$105,2,FALSE)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899999999999999" customHeight="1" x14ac:dyDescent="0.25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VLOOKUP(J898,DADOS!$A$3:$B$105,2,FALSE)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899999999999999" customHeight="1" x14ac:dyDescent="0.25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VLOOKUP(J899,DADOS!$A$3:$B$105,2,FALSE)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899999999999999" customHeight="1" x14ac:dyDescent="0.25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VLOOKUP(J900,DADOS!$A$3:$B$105,2,FALSE)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899999999999999" customHeight="1" x14ac:dyDescent="0.25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VLOOKUP(J901,DADOS!$A$3:$B$105,2,FALSE)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899999999999999" customHeight="1" x14ac:dyDescent="0.25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VLOOKUP(J902,DADOS!$A$3:$B$105,2,FALSE)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899999999999999" customHeight="1" x14ac:dyDescent="0.25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VLOOKUP(J903,DADOS!$A$3:$B$105,2,FALSE)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899999999999999" customHeight="1" x14ac:dyDescent="0.25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VLOOKUP(J904,DADOS!$A$3:$B$105,2,FALSE)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899999999999999" customHeight="1" x14ac:dyDescent="0.25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VLOOKUP(J905,DADOS!$A$3:$B$105,2,FALSE)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899999999999999" customHeight="1" x14ac:dyDescent="0.25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VLOOKUP(J906,DADOS!$A$3:$B$105,2,FALSE)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899999999999999" customHeight="1" x14ac:dyDescent="0.25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VLOOKUP(J907,DADOS!$A$3:$B$105,2,FALSE)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899999999999999" customHeight="1" x14ac:dyDescent="0.25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VLOOKUP(J908,DADOS!$A$3:$B$105,2,FALSE)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899999999999999" customHeight="1" x14ac:dyDescent="0.25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VLOOKUP(J909,DADOS!$A$3:$B$105,2,FALSE)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899999999999999" customHeight="1" x14ac:dyDescent="0.25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VLOOKUP(J910,DADOS!$A$3:$B$105,2,FALSE)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899999999999999" customHeight="1" x14ac:dyDescent="0.25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VLOOKUP(J911,DADOS!$A$3:$B$105,2,FALSE)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899999999999999" customHeight="1" x14ac:dyDescent="0.25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VLOOKUP(J912,DADOS!$A$3:$B$105,2,FALSE)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899999999999999" customHeight="1" x14ac:dyDescent="0.25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VLOOKUP(J913,DADOS!$A$3:$B$105,2,FALSE)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899999999999999" customHeight="1" x14ac:dyDescent="0.25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VLOOKUP(J914,DADOS!$A$3:$B$105,2,FALSE)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899999999999999" customHeight="1" x14ac:dyDescent="0.25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VLOOKUP(J915,DADOS!$A$3:$B$105,2,FALSE)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899999999999999" customHeight="1" x14ac:dyDescent="0.25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VLOOKUP(J916,DADOS!$A$3:$B$105,2,FALSE)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899999999999999" customHeight="1" x14ac:dyDescent="0.25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VLOOKUP(J917,DADOS!$A$3:$B$105,2,FALSE)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899999999999999" customHeight="1" x14ac:dyDescent="0.25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VLOOKUP(J918,DADOS!$A$3:$B$105,2,FALSE)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899999999999999" customHeight="1" x14ac:dyDescent="0.25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VLOOKUP(J919,DADOS!$A$3:$B$105,2,FALSE)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899999999999999" customHeight="1" x14ac:dyDescent="0.25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VLOOKUP(J920,DADOS!$A$3:$B$105,2,FALSE)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899999999999999" customHeight="1" x14ac:dyDescent="0.25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VLOOKUP(J921,DADOS!$A$3:$B$105,2,FALSE)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899999999999999" customHeight="1" x14ac:dyDescent="0.25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VLOOKUP(J922,DADOS!$A$3:$B$105,2,FALSE)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899999999999999" customHeight="1" x14ac:dyDescent="0.25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VLOOKUP(J923,DADOS!$A$3:$B$105,2,FALSE)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899999999999999" customHeight="1" x14ac:dyDescent="0.25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VLOOKUP(J924,DADOS!$A$3:$B$105,2,FALSE)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899999999999999" customHeight="1" x14ac:dyDescent="0.25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VLOOKUP(J925,DADOS!$A$3:$B$105,2,FALSE)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899999999999999" customHeight="1" x14ac:dyDescent="0.25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VLOOKUP(J926,DADOS!$A$3:$B$105,2,FALSE)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899999999999999" customHeight="1" x14ac:dyDescent="0.25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VLOOKUP(J927,DADOS!$A$3:$B$105,2,FALSE)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899999999999999" customHeight="1" x14ac:dyDescent="0.25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VLOOKUP(J928,DADOS!$A$3:$B$105,2,FALSE)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899999999999999" customHeight="1" x14ac:dyDescent="0.25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VLOOKUP(J929,DADOS!$A$3:$B$105,2,FALSE)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899999999999999" customHeight="1" x14ac:dyDescent="0.25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VLOOKUP(J930,DADOS!$A$3:$B$105,2,FALSE)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899999999999999" customHeight="1" x14ac:dyDescent="0.25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VLOOKUP(J931,DADOS!$A$3:$B$105,2,FALSE)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899999999999999" customHeight="1" x14ac:dyDescent="0.25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VLOOKUP(J932,DADOS!$A$3:$B$105,2,FALSE)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899999999999999" customHeight="1" x14ac:dyDescent="0.25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VLOOKUP(J933,DADOS!$A$3:$B$105,2,FALSE)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899999999999999" customHeight="1" x14ac:dyDescent="0.25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VLOOKUP(J934,DADOS!$A$3:$B$105,2,FALSE)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899999999999999" customHeight="1" x14ac:dyDescent="0.25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VLOOKUP(J935,DADOS!$A$3:$B$105,2,FALSE)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899999999999999" customHeight="1" x14ac:dyDescent="0.25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VLOOKUP(J936,DADOS!$A$3:$B$105,2,FALSE)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899999999999999" customHeight="1" x14ac:dyDescent="0.25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VLOOKUP(J937,DADOS!$A$3:$B$105,2,FALSE)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899999999999999" customHeight="1" x14ac:dyDescent="0.25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VLOOKUP(J938,DADOS!$A$3:$B$105,2,FALSE)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899999999999999" customHeight="1" x14ac:dyDescent="0.25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VLOOKUP(J939,DADOS!$A$3:$B$105,2,FALSE)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899999999999999" customHeight="1" x14ac:dyDescent="0.25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VLOOKUP(J940,DADOS!$A$3:$B$105,2,FALSE)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899999999999999" customHeight="1" x14ac:dyDescent="0.25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VLOOKUP(J941,DADOS!$A$3:$B$105,2,FALSE)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899999999999999" customHeight="1" x14ac:dyDescent="0.25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VLOOKUP(J942,DADOS!$A$3:$B$105,2,FALSE)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899999999999999" customHeight="1" x14ac:dyDescent="0.25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VLOOKUP(J943,DADOS!$A$3:$B$105,2,FALSE)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899999999999999" customHeight="1" x14ac:dyDescent="0.25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VLOOKUP(J944,DADOS!$A$3:$B$105,2,FALSE)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899999999999999" customHeight="1" x14ac:dyDescent="0.25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VLOOKUP(J945,DADOS!$A$3:$B$105,2,FALSE)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899999999999999" customHeight="1" x14ac:dyDescent="0.25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VLOOKUP(J946,DADOS!$A$3:$B$105,2,FALSE)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899999999999999" customHeight="1" x14ac:dyDescent="0.25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VLOOKUP(J947,DADOS!$A$3:$B$105,2,FALSE)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899999999999999" customHeight="1" x14ac:dyDescent="0.25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VLOOKUP(J948,DADOS!$A$3:$B$105,2,FALSE)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899999999999999" customHeight="1" x14ac:dyDescent="0.25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VLOOKUP(J949,DADOS!$A$3:$B$105,2,FALSE)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899999999999999" customHeight="1" x14ac:dyDescent="0.25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VLOOKUP(J950,DADOS!$A$3:$B$105,2,FALSE)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899999999999999" customHeight="1" x14ac:dyDescent="0.25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VLOOKUP(J951,DADOS!$A$3:$B$105,2,FALSE)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899999999999999" customHeight="1" x14ac:dyDescent="0.25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VLOOKUP(J952,DADOS!$A$3:$B$105,2,FALSE)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899999999999999" customHeight="1" x14ac:dyDescent="0.25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VLOOKUP(J953,DADOS!$A$3:$B$105,2,FALSE)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899999999999999" customHeight="1" x14ac:dyDescent="0.25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VLOOKUP(J954,DADOS!$A$3:$B$105,2,FALSE)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899999999999999" customHeight="1" x14ac:dyDescent="0.25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VLOOKUP(J955,DADOS!$A$3:$B$105,2,FALSE)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899999999999999" customHeight="1" x14ac:dyDescent="0.25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VLOOKUP(J956,DADOS!$A$3:$B$105,2,FALSE)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899999999999999" customHeight="1" x14ac:dyDescent="0.25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VLOOKUP(J957,DADOS!$A$3:$B$105,2,FALSE)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899999999999999" customHeight="1" x14ac:dyDescent="0.25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VLOOKUP(J958,DADOS!$A$3:$B$105,2,FALSE)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899999999999999" customHeight="1" x14ac:dyDescent="0.25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VLOOKUP(J959,DADOS!$A$3:$B$105,2,FALSE)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899999999999999" customHeight="1" x14ac:dyDescent="0.25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VLOOKUP(J960,DADOS!$A$3:$B$105,2,FALSE)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899999999999999" customHeight="1" x14ac:dyDescent="0.25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VLOOKUP(J961,DADOS!$A$3:$B$105,2,FALSE)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899999999999999" customHeight="1" x14ac:dyDescent="0.25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VLOOKUP(J962,DADOS!$A$3:$B$105,2,FALSE)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899999999999999" customHeight="1" x14ac:dyDescent="0.25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VLOOKUP(J963,DADOS!$A$3:$B$105,2,FALSE)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899999999999999" customHeight="1" x14ac:dyDescent="0.25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VLOOKUP(J964,DADOS!$A$3:$B$105,2,FALSE)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899999999999999" customHeight="1" x14ac:dyDescent="0.25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VLOOKUP(J965,DADOS!$A$3:$B$105,2,FALSE)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899999999999999" customHeight="1" x14ac:dyDescent="0.25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VLOOKUP(J966,DADOS!$A$3:$B$105,2,FALSE)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899999999999999" customHeight="1" x14ac:dyDescent="0.25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VLOOKUP(J967,DADOS!$A$3:$B$105,2,FALSE)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899999999999999" customHeight="1" x14ac:dyDescent="0.25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VLOOKUP(J968,DADOS!$A$3:$B$105,2,FALSE)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899999999999999" customHeight="1" x14ac:dyDescent="0.25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VLOOKUP(J969,DADOS!$A$3:$B$105,2,FALSE)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899999999999999" customHeight="1" x14ac:dyDescent="0.25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VLOOKUP(J970,DADOS!$A$3:$B$105,2,FALSE)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899999999999999" customHeight="1" x14ac:dyDescent="0.25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VLOOKUP(J971,DADOS!$A$3:$B$105,2,FALSE)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899999999999999" customHeight="1" x14ac:dyDescent="0.25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VLOOKUP(J972,DADOS!$A$3:$B$105,2,FALSE)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899999999999999" customHeight="1" x14ac:dyDescent="0.25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VLOOKUP(J973,DADOS!$A$3:$B$105,2,FALSE)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899999999999999" customHeight="1" x14ac:dyDescent="0.25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VLOOKUP(J974,DADOS!$A$3:$B$105,2,FALSE)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899999999999999" customHeight="1" x14ac:dyDescent="0.25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VLOOKUP(J975,DADOS!$A$3:$B$105,2,FALSE)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899999999999999" customHeight="1" x14ac:dyDescent="0.25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VLOOKUP(J976,DADOS!$A$3:$B$105,2,FALSE)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899999999999999" customHeight="1" x14ac:dyDescent="0.25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VLOOKUP(J977,DADOS!$A$3:$B$105,2,FALSE)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899999999999999" customHeight="1" x14ac:dyDescent="0.25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VLOOKUP(J978,DADOS!$A$3:$B$105,2,FALSE)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899999999999999" customHeight="1" x14ac:dyDescent="0.25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VLOOKUP(J979,DADOS!$A$3:$B$105,2,FALSE)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899999999999999" customHeight="1" x14ac:dyDescent="0.25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VLOOKUP(J980,DADOS!$A$3:$B$105,2,FALSE)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899999999999999" customHeight="1" x14ac:dyDescent="0.25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VLOOKUP(J981,DADOS!$A$3:$B$105,2,FALSE)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899999999999999" customHeight="1" x14ac:dyDescent="0.25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VLOOKUP(J982,DADOS!$A$3:$B$105,2,FALSE)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899999999999999" customHeight="1" x14ac:dyDescent="0.25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VLOOKUP(J983,DADOS!$A$3:$B$105,2,FALSE)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899999999999999" customHeight="1" x14ac:dyDescent="0.25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VLOOKUP(J984,DADOS!$A$3:$B$105,2,FALSE)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899999999999999" customHeight="1" x14ac:dyDescent="0.25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VLOOKUP(J985,DADOS!$A$3:$B$105,2,FALSE)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899999999999999" customHeight="1" x14ac:dyDescent="0.25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VLOOKUP(J986,DADOS!$A$3:$B$105,2,FALSE)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899999999999999" customHeight="1" x14ac:dyDescent="0.25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VLOOKUP(J987,DADOS!$A$3:$B$105,2,FALSE)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899999999999999" customHeight="1" x14ac:dyDescent="0.25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VLOOKUP(J988,DADOS!$A$3:$B$105,2,FALSE)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899999999999999" customHeight="1" x14ac:dyDescent="0.25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VLOOKUP(J989,DADOS!$A$3:$B$105,2,FALSE)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899999999999999" customHeight="1" x14ac:dyDescent="0.25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VLOOKUP(J990,DADOS!$A$3:$B$105,2,FALSE)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899999999999999" customHeight="1" x14ac:dyDescent="0.25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VLOOKUP(J991,DADOS!$A$3:$B$105,2,FALSE)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899999999999999" customHeight="1" x14ac:dyDescent="0.25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VLOOKUP(J992,DADOS!$A$3:$B$105,2,FALSE)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899999999999999" customHeight="1" x14ac:dyDescent="0.25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VLOOKUP(J993,DADOS!$A$3:$B$105,2,FALSE)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899999999999999" customHeight="1" x14ac:dyDescent="0.25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VLOOKUP(J994,DADOS!$A$3:$B$105,2,FALSE)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899999999999999" customHeight="1" x14ac:dyDescent="0.25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VLOOKUP(J995,DADOS!$A$3:$B$105,2,FALSE)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899999999999999" customHeight="1" x14ac:dyDescent="0.25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VLOOKUP(J996,DADOS!$A$3:$B$105,2,FALSE)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899999999999999" customHeight="1" x14ac:dyDescent="0.25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VLOOKUP(J997,DADOS!$A$3:$B$105,2,FALSE)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899999999999999" customHeight="1" x14ac:dyDescent="0.25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VLOOKUP(J998,DADOS!$A$3:$B$105,2,FALSE)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899999999999999" customHeight="1" x14ac:dyDescent="0.25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VLOOKUP(J999,DADOS!$A$3:$B$105,2,FALSE)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899999999999999" customHeight="1" x14ac:dyDescent="0.25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VLOOKUP(J1000,DADOS!$A$3:$B$105,2,FALSE)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899999999999999" customHeight="1" x14ac:dyDescent="0.25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VLOOKUP(J1001,DADOS!$A$3:$B$105,2,FALSE)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899999999999999" customHeight="1" x14ac:dyDescent="0.25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VLOOKUP(J1002,DADOS!$A$3:$B$105,2,FALSE)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899999999999999" customHeight="1" x14ac:dyDescent="0.25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VLOOKUP(J1003,DADOS!$A$3:$B$105,2,FALSE)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899999999999999" customHeight="1" x14ac:dyDescent="0.25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VLOOKUP(J1004,DADOS!$A$3:$B$105,2,FALSE)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899999999999999" customHeight="1" x14ac:dyDescent="0.25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VLOOKUP(J1005,DADOS!$A$3:$B$105,2,FALSE)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899999999999999" customHeight="1" x14ac:dyDescent="0.25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VLOOKUP(J1006,DADOS!$A$3:$B$105,2,FALSE)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899999999999999" customHeight="1" x14ac:dyDescent="0.25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VLOOKUP(J1007,DADOS!$A$3:$B$105,2,FALSE)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899999999999999" customHeight="1" x14ac:dyDescent="0.25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VLOOKUP(J1008,DADOS!$A$3:$B$105,2,FALSE)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899999999999999" customHeight="1" x14ac:dyDescent="0.25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VLOOKUP(J1009,DADOS!$A$3:$B$105,2,FALSE)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899999999999999" customHeight="1" x14ac:dyDescent="0.25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VLOOKUP(J1010,DADOS!$A$3:$B$105,2,FALSE)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899999999999999" customHeight="1" x14ac:dyDescent="0.25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VLOOKUP(J1011,DADOS!$A$3:$B$105,2,FALSE)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899999999999999" customHeight="1" x14ac:dyDescent="0.25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VLOOKUP(J1012,DADOS!$A$3:$B$105,2,FALSE)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899999999999999" customHeight="1" x14ac:dyDescent="0.25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VLOOKUP(J1013,DADOS!$A$3:$B$105,2,FALSE)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899999999999999" customHeight="1" x14ac:dyDescent="0.25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VLOOKUP(J1014,DADOS!$A$3:$B$105,2,FALSE)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899999999999999" customHeight="1" x14ac:dyDescent="0.25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VLOOKUP(J1015,DADOS!$A$3:$B$105,2,FALSE)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899999999999999" customHeight="1" x14ac:dyDescent="0.25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VLOOKUP(J1016,DADOS!$A$3:$B$105,2,FALSE)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899999999999999" customHeight="1" x14ac:dyDescent="0.25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VLOOKUP(J1017,DADOS!$A$3:$B$105,2,FALSE)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899999999999999" customHeight="1" x14ac:dyDescent="0.25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VLOOKUP(J1018,DADOS!$A$3:$B$105,2,FALSE)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899999999999999" customHeight="1" x14ac:dyDescent="0.25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VLOOKUP(J1019,DADOS!$A$3:$B$105,2,FALSE)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899999999999999" customHeight="1" x14ac:dyDescent="0.25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VLOOKUP(J1020,DADOS!$A$3:$B$105,2,FALSE)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899999999999999" customHeight="1" x14ac:dyDescent="0.25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VLOOKUP(J1021,DADOS!$A$3:$B$105,2,FALSE)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899999999999999" customHeight="1" x14ac:dyDescent="0.25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VLOOKUP(J1022,DADOS!$A$3:$B$105,2,FALSE)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899999999999999" customHeight="1" x14ac:dyDescent="0.25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VLOOKUP(J1023,DADOS!$A$3:$B$105,2,FALSE)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899999999999999" customHeight="1" x14ac:dyDescent="0.25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VLOOKUP(J1024,DADOS!$A$3:$B$105,2,FALSE)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899999999999999" customHeight="1" x14ac:dyDescent="0.25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VLOOKUP(J1025,DADOS!$A$3:$B$105,2,FALSE)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899999999999999" customHeight="1" x14ac:dyDescent="0.25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VLOOKUP(J1026,DADOS!$A$3:$B$105,2,FALSE)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899999999999999" customHeight="1" x14ac:dyDescent="0.25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VLOOKUP(J1027,DADOS!$A$3:$B$105,2,FALSE)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899999999999999" customHeight="1" x14ac:dyDescent="0.25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VLOOKUP(J1028,DADOS!$A$3:$B$105,2,FALSE)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899999999999999" customHeight="1" x14ac:dyDescent="0.25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VLOOKUP(J1029,DADOS!$A$3:$B$105,2,FALSE)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899999999999999" customHeight="1" x14ac:dyDescent="0.25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VLOOKUP(J1030,DADOS!$A$3:$B$105,2,FALSE)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899999999999999" customHeight="1" x14ac:dyDescent="0.25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VLOOKUP(J1031,DADOS!$A$3:$B$105,2,FALSE)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899999999999999" customHeight="1" x14ac:dyDescent="0.25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VLOOKUP(J1032,DADOS!$A$3:$B$105,2,FALSE)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899999999999999" customHeight="1" x14ac:dyDescent="0.25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VLOOKUP(J1033,DADOS!$A$3:$B$105,2,FALSE)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899999999999999" customHeight="1" x14ac:dyDescent="0.25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VLOOKUP(J1034,DADOS!$A$3:$B$105,2,FALSE)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899999999999999" customHeight="1" x14ac:dyDescent="0.25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VLOOKUP(J1035,DADOS!$A$3:$B$105,2,FALSE)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899999999999999" customHeight="1" x14ac:dyDescent="0.25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VLOOKUP(J1036,DADOS!$A$3:$B$105,2,FALSE)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899999999999999" customHeight="1" x14ac:dyDescent="0.25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VLOOKUP(J1037,DADOS!$A$3:$B$105,2,FALSE)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899999999999999" customHeight="1" x14ac:dyDescent="0.25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VLOOKUP(J1038,DADOS!$A$3:$B$105,2,FALSE)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899999999999999" customHeight="1" x14ac:dyDescent="0.25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VLOOKUP(J1039,DADOS!$A$3:$B$105,2,FALSE)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899999999999999" customHeight="1" x14ac:dyDescent="0.25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VLOOKUP(J1040,DADOS!$A$3:$B$105,2,FALSE)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899999999999999" customHeight="1" x14ac:dyDescent="0.25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VLOOKUP(J1041,DADOS!$A$3:$B$105,2,FALSE)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899999999999999" customHeight="1" x14ac:dyDescent="0.25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VLOOKUP(J1042,DADOS!$A$3:$B$105,2,FALSE)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899999999999999" customHeight="1" x14ac:dyDescent="0.25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VLOOKUP(J1043,DADOS!$A$3:$B$105,2,FALSE)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899999999999999" customHeight="1" x14ac:dyDescent="0.25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VLOOKUP(J1044,DADOS!$A$3:$B$105,2,FALSE)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899999999999999" customHeight="1" x14ac:dyDescent="0.25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VLOOKUP(J1045,DADOS!$A$3:$B$105,2,FALSE)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899999999999999" customHeight="1" x14ac:dyDescent="0.25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VLOOKUP(J1046,DADOS!$A$3:$B$105,2,FALSE)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899999999999999" customHeight="1" x14ac:dyDescent="0.25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VLOOKUP(J1047,DADOS!$A$3:$B$105,2,FALSE)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899999999999999" customHeight="1" x14ac:dyDescent="0.25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VLOOKUP(J1048,DADOS!$A$3:$B$105,2,FALSE)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899999999999999" customHeight="1" x14ac:dyDescent="0.25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VLOOKUP(J1049,DADOS!$A$3:$B$105,2,FALSE)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899999999999999" customHeight="1" x14ac:dyDescent="0.25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VLOOKUP(J1050,DADOS!$A$3:$B$105,2,FALSE)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899999999999999" customHeight="1" x14ac:dyDescent="0.25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VLOOKUP(J1051,DADOS!$A$3:$B$105,2,FALSE)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899999999999999" customHeight="1" x14ac:dyDescent="0.25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VLOOKUP(J1052,DADOS!$A$3:$B$105,2,FALSE)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899999999999999" customHeight="1" x14ac:dyDescent="0.25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VLOOKUP(J1053,DADOS!$A$3:$B$105,2,FALSE)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899999999999999" customHeight="1" x14ac:dyDescent="0.25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VLOOKUP(J1054,DADOS!$A$3:$B$105,2,FALSE)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899999999999999" customHeight="1" x14ac:dyDescent="0.25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VLOOKUP(J1055,DADOS!$A$3:$B$105,2,FALSE)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899999999999999" customHeight="1" x14ac:dyDescent="0.25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VLOOKUP(J1056,DADOS!$A$3:$B$105,2,FALSE)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899999999999999" customHeight="1" x14ac:dyDescent="0.25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VLOOKUP(J1057,DADOS!$A$3:$B$105,2,FALSE)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899999999999999" customHeight="1" x14ac:dyDescent="0.25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VLOOKUP(J1058,DADOS!$A$3:$B$105,2,FALSE)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899999999999999" customHeight="1" x14ac:dyDescent="0.25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VLOOKUP(J1059,DADOS!$A$3:$B$105,2,FALSE)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899999999999999" customHeight="1" x14ac:dyDescent="0.25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VLOOKUP(J1060,DADOS!$A$3:$B$105,2,FALSE)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899999999999999" customHeight="1" x14ac:dyDescent="0.25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VLOOKUP(J1061,DADOS!$A$3:$B$105,2,FALSE)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899999999999999" customHeight="1" x14ac:dyDescent="0.25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VLOOKUP(J1062,DADOS!$A$3:$B$105,2,FALSE)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899999999999999" customHeight="1" x14ac:dyDescent="0.25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VLOOKUP(J1063,DADOS!$A$3:$B$105,2,FALSE)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899999999999999" customHeight="1" x14ac:dyDescent="0.25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VLOOKUP(J1064,DADOS!$A$3:$B$105,2,FALSE)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899999999999999" customHeight="1" x14ac:dyDescent="0.25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VLOOKUP(J1065,DADOS!$A$3:$B$105,2,FALSE)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899999999999999" customHeight="1" x14ac:dyDescent="0.25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VLOOKUP(J1066,DADOS!$A$3:$B$105,2,FALSE)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899999999999999" customHeight="1" x14ac:dyDescent="0.25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VLOOKUP(J1067,DADOS!$A$3:$B$105,2,FALSE)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899999999999999" customHeight="1" x14ac:dyDescent="0.25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VLOOKUP(J1068,DADOS!$A$3:$B$105,2,FALSE)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899999999999999" customHeight="1" x14ac:dyDescent="0.25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VLOOKUP(J1069,DADOS!$A$3:$B$105,2,FALSE)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899999999999999" customHeight="1" x14ac:dyDescent="0.25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VLOOKUP(J1070,DADOS!$A$3:$B$105,2,FALSE)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899999999999999" customHeight="1" x14ac:dyDescent="0.25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VLOOKUP(J1071,DADOS!$A$3:$B$105,2,FALSE)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899999999999999" customHeight="1" x14ac:dyDescent="0.25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VLOOKUP(J1072,DADOS!$A$3:$B$105,2,FALSE)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899999999999999" customHeight="1" x14ac:dyDescent="0.25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VLOOKUP(J1073,DADOS!$A$3:$B$105,2,FALSE)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899999999999999" customHeight="1" x14ac:dyDescent="0.25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VLOOKUP(J1074,DADOS!$A$3:$B$105,2,FALSE)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899999999999999" customHeight="1" x14ac:dyDescent="0.25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VLOOKUP(J1075,DADOS!$A$3:$B$105,2,FALSE)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899999999999999" customHeight="1" x14ac:dyDescent="0.25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VLOOKUP(J1076,DADOS!$A$3:$B$105,2,FALSE)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899999999999999" customHeight="1" x14ac:dyDescent="0.25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VLOOKUP(J1077,DADOS!$A$3:$B$105,2,FALSE)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899999999999999" customHeight="1" x14ac:dyDescent="0.25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VLOOKUP(J1078,DADOS!$A$3:$B$105,2,FALSE)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899999999999999" customHeight="1" x14ac:dyDescent="0.25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VLOOKUP(J1079,DADOS!$A$3:$B$105,2,FALSE)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899999999999999" customHeight="1" x14ac:dyDescent="0.25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VLOOKUP(J1080,DADOS!$A$3:$B$105,2,FALSE)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899999999999999" customHeight="1" x14ac:dyDescent="0.25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VLOOKUP(J1081,DADOS!$A$3:$B$105,2,FALSE)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899999999999999" customHeight="1" x14ac:dyDescent="0.25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VLOOKUP(J1082,DADOS!$A$3:$B$105,2,FALSE)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899999999999999" customHeight="1" x14ac:dyDescent="0.25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VLOOKUP(J1083,DADOS!$A$3:$B$105,2,FALSE)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899999999999999" customHeight="1" x14ac:dyDescent="0.25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VLOOKUP(J1084,DADOS!$A$3:$B$105,2,FALSE)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899999999999999" customHeight="1" x14ac:dyDescent="0.25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VLOOKUP(J1085,DADOS!$A$3:$B$105,2,FALSE)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899999999999999" customHeight="1" x14ac:dyDescent="0.25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VLOOKUP(J1086,DADOS!$A$3:$B$105,2,FALSE)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899999999999999" customHeight="1" x14ac:dyDescent="0.25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VLOOKUP(J1087,DADOS!$A$3:$B$105,2,FALSE)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899999999999999" customHeight="1" x14ac:dyDescent="0.25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VLOOKUP(J1088,DADOS!$A$3:$B$105,2,FALSE)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899999999999999" customHeight="1" x14ac:dyDescent="0.25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VLOOKUP(J1089,DADOS!$A$3:$B$105,2,FALSE)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899999999999999" customHeight="1" x14ac:dyDescent="0.25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VLOOKUP(J1090,DADOS!$A$3:$B$105,2,FALSE)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899999999999999" customHeight="1" x14ac:dyDescent="0.25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VLOOKUP(J1091,DADOS!$A$3:$B$105,2,FALSE)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899999999999999" customHeight="1" x14ac:dyDescent="0.25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VLOOKUP(J1092,DADOS!$A$3:$B$105,2,FALSE)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899999999999999" customHeight="1" x14ac:dyDescent="0.25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VLOOKUP(J1093,DADOS!$A$3:$B$105,2,FALSE)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899999999999999" customHeight="1" x14ac:dyDescent="0.25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VLOOKUP(J1094,DADOS!$A$3:$B$105,2,FALSE)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899999999999999" customHeight="1" x14ac:dyDescent="0.25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VLOOKUP(J1095,DADOS!$A$3:$B$105,2,FALSE)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899999999999999" customHeight="1" x14ac:dyDescent="0.25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VLOOKUP(J1096,DADOS!$A$3:$B$105,2,FALSE)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899999999999999" customHeight="1" x14ac:dyDescent="0.25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VLOOKUP(J1097,DADOS!$A$3:$B$105,2,FALSE)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899999999999999" customHeight="1" x14ac:dyDescent="0.25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VLOOKUP(J1098,DADOS!$A$3:$B$105,2,FALSE)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899999999999999" customHeight="1" x14ac:dyDescent="0.25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VLOOKUP(J1099,DADOS!$A$3:$B$105,2,FALSE)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899999999999999" customHeight="1" x14ac:dyDescent="0.25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VLOOKUP(J1100,DADOS!$A$3:$B$105,2,FALSE)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899999999999999" customHeight="1" x14ac:dyDescent="0.25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VLOOKUP(J1101,DADOS!$A$3:$B$105,2,FALSE)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899999999999999" customHeight="1" x14ac:dyDescent="0.25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VLOOKUP(J1102,DADOS!$A$3:$B$105,2,FALSE)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899999999999999" customHeight="1" x14ac:dyDescent="0.25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VLOOKUP(J1103,DADOS!$A$3:$B$105,2,FALSE)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899999999999999" customHeight="1" x14ac:dyDescent="0.25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VLOOKUP(J1104,DADOS!$A$3:$B$105,2,FALSE)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899999999999999" customHeight="1" x14ac:dyDescent="0.25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VLOOKUP(J1105,DADOS!$A$3:$B$105,2,FALSE)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899999999999999" customHeight="1" x14ac:dyDescent="0.25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VLOOKUP(J1106,DADOS!$A$3:$B$105,2,FALSE)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899999999999999" customHeight="1" x14ac:dyDescent="0.25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VLOOKUP(J1107,DADOS!$A$3:$B$105,2,FALSE)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899999999999999" customHeight="1" x14ac:dyDescent="0.25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VLOOKUP(J1108,DADOS!$A$3:$B$105,2,FALSE)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899999999999999" customHeight="1" x14ac:dyDescent="0.25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VLOOKUP(J1109,DADOS!$A$3:$B$105,2,FALSE)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899999999999999" customHeight="1" x14ac:dyDescent="0.25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VLOOKUP(J1110,DADOS!$A$3:$B$105,2,FALSE)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899999999999999" customHeight="1" x14ac:dyDescent="0.25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VLOOKUP(J1111,DADOS!$A$3:$B$105,2,FALSE)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899999999999999" customHeight="1" x14ac:dyDescent="0.25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VLOOKUP(J1112,DADOS!$A$3:$B$105,2,FALSE)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899999999999999" customHeight="1" x14ac:dyDescent="0.25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VLOOKUP(J1113,DADOS!$A$3:$B$105,2,FALSE)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899999999999999" customHeight="1" x14ac:dyDescent="0.25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VLOOKUP(J1114,DADOS!$A$3:$B$105,2,FALSE)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899999999999999" customHeight="1" x14ac:dyDescent="0.25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VLOOKUP(J1115,DADOS!$A$3:$B$105,2,FALSE)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899999999999999" customHeight="1" x14ac:dyDescent="0.25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VLOOKUP(J1116,DADOS!$A$3:$B$105,2,FALSE)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899999999999999" customHeight="1" x14ac:dyDescent="0.25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VLOOKUP(J1117,DADOS!$A$3:$B$105,2,FALSE)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899999999999999" customHeight="1" x14ac:dyDescent="0.25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VLOOKUP(J1118,DADOS!$A$3:$B$105,2,FALSE)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899999999999999" customHeight="1" x14ac:dyDescent="0.25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VLOOKUP(J1119,DADOS!$A$3:$B$105,2,FALSE)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899999999999999" customHeight="1" x14ac:dyDescent="0.25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VLOOKUP(J1120,DADOS!$A$3:$B$105,2,FALSE)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899999999999999" customHeight="1" x14ac:dyDescent="0.25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VLOOKUP(J1121,DADOS!$A$3:$B$105,2,FALSE)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899999999999999" customHeight="1" x14ac:dyDescent="0.25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VLOOKUP(J1122,DADOS!$A$3:$B$105,2,FALSE)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899999999999999" customHeight="1" x14ac:dyDescent="0.25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VLOOKUP(J1123,DADOS!$A$3:$B$105,2,FALSE)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899999999999999" customHeight="1" x14ac:dyDescent="0.25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VLOOKUP(J1124,DADOS!$A$3:$B$105,2,FALSE)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899999999999999" customHeight="1" x14ac:dyDescent="0.25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VLOOKUP(J1125,DADOS!$A$3:$B$105,2,FALSE)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899999999999999" customHeight="1" x14ac:dyDescent="0.25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VLOOKUP(J1126,DADOS!$A$3:$B$105,2,FALSE)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899999999999999" customHeight="1" x14ac:dyDescent="0.25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VLOOKUP(J1127,DADOS!$A$3:$B$105,2,FALSE)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899999999999999" customHeight="1" x14ac:dyDescent="0.25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VLOOKUP(J1128,DADOS!$A$3:$B$105,2,FALSE)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899999999999999" customHeight="1" x14ac:dyDescent="0.25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VLOOKUP(J1129,DADOS!$A$3:$B$105,2,FALSE)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899999999999999" customHeight="1" x14ac:dyDescent="0.25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VLOOKUP(J1130,DADOS!$A$3:$B$105,2,FALSE)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899999999999999" customHeight="1" x14ac:dyDescent="0.25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VLOOKUP(J1131,DADOS!$A$3:$B$105,2,FALSE)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899999999999999" customHeight="1" x14ac:dyDescent="0.25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VLOOKUP(J1132,DADOS!$A$3:$B$105,2,FALSE)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899999999999999" customHeight="1" x14ac:dyDescent="0.25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VLOOKUP(J1133,DADOS!$A$3:$B$105,2,FALSE)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899999999999999" customHeight="1" x14ac:dyDescent="0.25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VLOOKUP(J1134,DADOS!$A$3:$B$105,2,FALSE)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899999999999999" customHeight="1" x14ac:dyDescent="0.25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VLOOKUP(J1135,DADOS!$A$3:$B$105,2,FALSE)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899999999999999" customHeight="1" x14ac:dyDescent="0.25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VLOOKUP(J1136,DADOS!$A$3:$B$105,2,FALSE)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899999999999999" customHeight="1" x14ac:dyDescent="0.25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VLOOKUP(J1137,DADOS!$A$3:$B$105,2,FALSE)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899999999999999" customHeight="1" x14ac:dyDescent="0.25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VLOOKUP(J1138,DADOS!$A$3:$B$105,2,FALSE)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899999999999999" customHeight="1" x14ac:dyDescent="0.25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VLOOKUP(J1139,DADOS!$A$3:$B$105,2,FALSE)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899999999999999" customHeight="1" x14ac:dyDescent="0.25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VLOOKUP(J1140,DADOS!$A$3:$B$105,2,FALSE)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899999999999999" customHeight="1" x14ac:dyDescent="0.25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VLOOKUP(J1141,DADOS!$A$3:$B$105,2,FALSE)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899999999999999" customHeight="1" x14ac:dyDescent="0.25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VLOOKUP(J1142,DADOS!$A$3:$B$105,2,FALSE)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899999999999999" customHeight="1" x14ac:dyDescent="0.25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VLOOKUP(J1143,DADOS!$A$3:$B$105,2,FALSE)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899999999999999" customHeight="1" x14ac:dyDescent="0.25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VLOOKUP(J1144,DADOS!$A$3:$B$105,2,FALSE)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899999999999999" customHeight="1" x14ac:dyDescent="0.25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VLOOKUP(J1145,DADOS!$A$3:$B$105,2,FALSE)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899999999999999" customHeight="1" x14ac:dyDescent="0.25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VLOOKUP(J1146,DADOS!$A$3:$B$105,2,FALSE)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899999999999999" customHeight="1" x14ac:dyDescent="0.25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VLOOKUP(J1147,DADOS!$A$3:$B$105,2,FALSE)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899999999999999" customHeight="1" x14ac:dyDescent="0.25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VLOOKUP(J1148,DADOS!$A$3:$B$105,2,FALSE)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899999999999999" customHeight="1" x14ac:dyDescent="0.25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VLOOKUP(J1149,DADOS!$A$3:$B$105,2,FALSE)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899999999999999" customHeight="1" x14ac:dyDescent="0.25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VLOOKUP(J1150,DADOS!$A$3:$B$105,2,FALSE)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899999999999999" customHeight="1" x14ac:dyDescent="0.25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VLOOKUP(J1151,DADOS!$A$3:$B$105,2,FALSE)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899999999999999" customHeight="1" x14ac:dyDescent="0.25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VLOOKUP(J1152,DADOS!$A$3:$B$105,2,FALSE)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899999999999999" customHeight="1" x14ac:dyDescent="0.25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VLOOKUP(J1153,DADOS!$A$3:$B$105,2,FALSE)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899999999999999" customHeight="1" x14ac:dyDescent="0.25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VLOOKUP(J1154,DADOS!$A$3:$B$105,2,FALSE)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899999999999999" customHeight="1" x14ac:dyDescent="0.25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VLOOKUP(J1155,DADOS!$A$3:$B$105,2,FALSE)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899999999999999" customHeight="1" x14ac:dyDescent="0.25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VLOOKUP(J1156,DADOS!$A$3:$B$105,2,FALSE)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899999999999999" customHeight="1" x14ac:dyDescent="0.25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VLOOKUP(J1157,DADOS!$A$3:$B$105,2,FALSE)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899999999999999" customHeight="1" x14ac:dyDescent="0.25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VLOOKUP(J1158,DADOS!$A$3:$B$105,2,FALSE)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899999999999999" customHeight="1" x14ac:dyDescent="0.25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VLOOKUP(J1159,DADOS!$A$3:$B$105,2,FALSE)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899999999999999" customHeight="1" x14ac:dyDescent="0.25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VLOOKUP(J1160,DADOS!$A$3:$B$105,2,FALSE)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899999999999999" customHeight="1" x14ac:dyDescent="0.25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VLOOKUP(J1161,DADOS!$A$3:$B$105,2,FALSE)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899999999999999" customHeight="1" x14ac:dyDescent="0.25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VLOOKUP(J1162,DADOS!$A$3:$B$105,2,FALSE)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899999999999999" customHeight="1" x14ac:dyDescent="0.25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VLOOKUP(J1163,DADOS!$A$3:$B$105,2,FALSE)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899999999999999" customHeight="1" x14ac:dyDescent="0.25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VLOOKUP(J1164,DADOS!$A$3:$B$105,2,FALSE)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899999999999999" customHeight="1" x14ac:dyDescent="0.25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VLOOKUP(J1165,DADOS!$A$3:$B$105,2,FALSE)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899999999999999" customHeight="1" x14ac:dyDescent="0.25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VLOOKUP(J1166,DADOS!$A$3:$B$105,2,FALSE)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899999999999999" customHeight="1" x14ac:dyDescent="0.25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VLOOKUP(J1167,DADOS!$A$3:$B$105,2,FALSE)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899999999999999" customHeight="1" x14ac:dyDescent="0.25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VLOOKUP(J1168,DADOS!$A$3:$B$105,2,FALSE)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899999999999999" customHeight="1" x14ac:dyDescent="0.25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VLOOKUP(J1169,DADOS!$A$3:$B$105,2,FALSE)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899999999999999" customHeight="1" x14ac:dyDescent="0.25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VLOOKUP(J1170,DADOS!$A$3:$B$105,2,FALSE)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899999999999999" customHeight="1" x14ac:dyDescent="0.25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VLOOKUP(J1171,DADOS!$A$3:$B$105,2,FALSE)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899999999999999" customHeight="1" x14ac:dyDescent="0.25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VLOOKUP(J1172,DADOS!$A$3:$B$105,2,FALSE)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899999999999999" customHeight="1" x14ac:dyDescent="0.25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VLOOKUP(J1173,DADOS!$A$3:$B$105,2,FALSE)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899999999999999" customHeight="1" x14ac:dyDescent="0.25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VLOOKUP(J1174,DADOS!$A$3:$B$105,2,FALSE)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899999999999999" customHeight="1" x14ac:dyDescent="0.25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VLOOKUP(J1175,DADOS!$A$3:$B$105,2,FALSE)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899999999999999" customHeight="1" x14ac:dyDescent="0.25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VLOOKUP(J1176,DADOS!$A$3:$B$105,2,FALSE)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899999999999999" customHeight="1" x14ac:dyDescent="0.25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VLOOKUP(J1177,DADOS!$A$3:$B$105,2,FALSE)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899999999999999" customHeight="1" x14ac:dyDescent="0.25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VLOOKUP(J1178,DADOS!$A$3:$B$105,2,FALSE)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899999999999999" customHeight="1" x14ac:dyDescent="0.25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VLOOKUP(J1179,DADOS!$A$3:$B$105,2,FALSE)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899999999999999" customHeight="1" x14ac:dyDescent="0.25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VLOOKUP(J1180,DADOS!$A$3:$B$105,2,FALSE)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899999999999999" customHeight="1" x14ac:dyDescent="0.25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VLOOKUP(J1181,DADOS!$A$3:$B$105,2,FALSE)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899999999999999" customHeight="1" x14ac:dyDescent="0.25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VLOOKUP(J1182,DADOS!$A$3:$B$105,2,FALSE)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899999999999999" customHeight="1" x14ac:dyDescent="0.25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VLOOKUP(J1183,DADOS!$A$3:$B$105,2,FALSE)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899999999999999" customHeight="1" x14ac:dyDescent="0.25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VLOOKUP(J1184,DADOS!$A$3:$B$105,2,FALSE)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899999999999999" customHeight="1" x14ac:dyDescent="0.25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VLOOKUP(J1185,DADOS!$A$3:$B$105,2,FALSE)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899999999999999" customHeight="1" x14ac:dyDescent="0.25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VLOOKUP(J1186,DADOS!$A$3:$B$105,2,FALSE)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899999999999999" customHeight="1" x14ac:dyDescent="0.25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VLOOKUP(J1187,DADOS!$A$3:$B$105,2,FALSE)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899999999999999" customHeight="1" x14ac:dyDescent="0.25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VLOOKUP(J1188,DADOS!$A$3:$B$105,2,FALSE)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899999999999999" customHeight="1" x14ac:dyDescent="0.25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VLOOKUP(J1189,DADOS!$A$3:$B$105,2,FALSE)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899999999999999" customHeight="1" x14ac:dyDescent="0.25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VLOOKUP(J1190,DADOS!$A$3:$B$105,2,FALSE)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899999999999999" customHeight="1" x14ac:dyDescent="0.25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VLOOKUP(J1191,DADOS!$A$3:$B$105,2,FALSE)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899999999999999" customHeight="1" x14ac:dyDescent="0.25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VLOOKUP(J1192,DADOS!$A$3:$B$105,2,FALSE)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899999999999999" customHeight="1" x14ac:dyDescent="0.25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VLOOKUP(J1193,DADOS!$A$3:$B$105,2,FALSE)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899999999999999" customHeight="1" x14ac:dyDescent="0.25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VLOOKUP(J1194,DADOS!$A$3:$B$105,2,FALSE)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899999999999999" customHeight="1" x14ac:dyDescent="0.25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VLOOKUP(J1195,DADOS!$A$3:$B$105,2,FALSE)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899999999999999" customHeight="1" x14ac:dyDescent="0.25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VLOOKUP(J1196,DADOS!$A$3:$B$105,2,FALSE)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899999999999999" customHeight="1" x14ac:dyDescent="0.25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VLOOKUP(J1197,DADOS!$A$3:$B$105,2,FALSE)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899999999999999" customHeight="1" x14ac:dyDescent="0.25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VLOOKUP(J1198,DADOS!$A$3:$B$105,2,FALSE)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899999999999999" customHeight="1" x14ac:dyDescent="0.25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VLOOKUP(J1199,DADOS!$A$3:$B$105,2,FALSE)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899999999999999" customHeight="1" x14ac:dyDescent="0.25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VLOOKUP(J1200,DADOS!$A$3:$B$105,2,FALSE)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899999999999999" customHeight="1" x14ac:dyDescent="0.25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VLOOKUP(J1201,DADOS!$A$3:$B$105,2,FALSE)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899999999999999" customHeight="1" x14ac:dyDescent="0.25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VLOOKUP(J1202,DADOS!$A$3:$B$105,2,FALSE)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899999999999999" customHeight="1" x14ac:dyDescent="0.25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VLOOKUP(J1203,DADOS!$A$3:$B$105,2,FALSE)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899999999999999" customHeight="1" x14ac:dyDescent="0.25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VLOOKUP(J1204,DADOS!$A$3:$B$105,2,FALSE)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899999999999999" customHeight="1" x14ac:dyDescent="0.25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VLOOKUP(J1205,DADOS!$A$3:$B$105,2,FALSE)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899999999999999" customHeight="1" x14ac:dyDescent="0.25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VLOOKUP(J1206,DADOS!$A$3:$B$105,2,FALSE)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899999999999999" customHeight="1" x14ac:dyDescent="0.25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VLOOKUP(J1207,DADOS!$A$3:$B$105,2,FALSE)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899999999999999" customHeight="1" x14ac:dyDescent="0.25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VLOOKUP(J1208,DADOS!$A$3:$B$105,2,FALSE)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899999999999999" customHeight="1" x14ac:dyDescent="0.25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VLOOKUP(J1209,DADOS!$A$3:$B$105,2,FALSE)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899999999999999" customHeight="1" x14ac:dyDescent="0.25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VLOOKUP(J1210,DADOS!$A$3:$B$105,2,FALSE)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899999999999999" customHeight="1" x14ac:dyDescent="0.25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VLOOKUP(J1211,DADOS!$A$3:$B$105,2,FALSE)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899999999999999" customHeight="1" x14ac:dyDescent="0.25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VLOOKUP(J1212,DADOS!$A$3:$B$105,2,FALSE)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899999999999999" customHeight="1" x14ac:dyDescent="0.25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VLOOKUP(J1213,DADOS!$A$3:$B$105,2,FALSE)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899999999999999" customHeight="1" x14ac:dyDescent="0.25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VLOOKUP(J1214,DADOS!$A$3:$B$105,2,FALSE)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899999999999999" customHeight="1" x14ac:dyDescent="0.25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VLOOKUP(J1215,DADOS!$A$3:$B$105,2,FALSE)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899999999999999" customHeight="1" x14ac:dyDescent="0.25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VLOOKUP(J1216,DADOS!$A$3:$B$105,2,FALSE)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899999999999999" customHeight="1" x14ac:dyDescent="0.25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VLOOKUP(J1217,DADOS!$A$3:$B$105,2,FALSE)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899999999999999" customHeight="1" x14ac:dyDescent="0.25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VLOOKUP(J1218,DADOS!$A$3:$B$105,2,FALSE)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899999999999999" customHeight="1" x14ac:dyDescent="0.25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VLOOKUP(J1219,DADOS!$A$3:$B$105,2,FALSE)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899999999999999" customHeight="1" x14ac:dyDescent="0.25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VLOOKUP(J1220,DADOS!$A$3:$B$105,2,FALSE)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899999999999999" customHeight="1" x14ac:dyDescent="0.25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VLOOKUP(J1221,DADOS!$A$3:$B$105,2,FALSE)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899999999999999" customHeight="1" x14ac:dyDescent="0.25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VLOOKUP(J1222,DADOS!$A$3:$B$105,2,FALSE)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899999999999999" customHeight="1" x14ac:dyDescent="0.25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VLOOKUP(J1223,DADOS!$A$3:$B$105,2,FALSE)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899999999999999" customHeight="1" x14ac:dyDescent="0.25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VLOOKUP(J1224,DADOS!$A$3:$B$105,2,FALSE)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899999999999999" customHeight="1" x14ac:dyDescent="0.25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VLOOKUP(J1225,DADOS!$A$3:$B$105,2,FALSE)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899999999999999" customHeight="1" x14ac:dyDescent="0.25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VLOOKUP(J1226,DADOS!$A$3:$B$105,2,FALSE)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899999999999999" customHeight="1" x14ac:dyDescent="0.25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VLOOKUP(J1227,DADOS!$A$3:$B$105,2,FALSE)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899999999999999" customHeight="1" x14ac:dyDescent="0.25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VLOOKUP(J1228,DADOS!$A$3:$B$105,2,FALSE)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899999999999999" customHeight="1" x14ac:dyDescent="0.25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VLOOKUP(J1229,DADOS!$A$3:$B$105,2,FALSE)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899999999999999" customHeight="1" x14ac:dyDescent="0.25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VLOOKUP(J1230,DADOS!$A$3:$B$105,2,FALSE)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899999999999999" customHeight="1" x14ac:dyDescent="0.25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VLOOKUP(J1231,DADOS!$A$3:$B$105,2,FALSE)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899999999999999" customHeight="1" x14ac:dyDescent="0.25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VLOOKUP(J1232,DADOS!$A$3:$B$105,2,FALSE)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899999999999999" customHeight="1" x14ac:dyDescent="0.25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VLOOKUP(J1233,DADOS!$A$3:$B$105,2,FALSE)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899999999999999" customHeight="1" x14ac:dyDescent="0.25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VLOOKUP(J1234,DADOS!$A$3:$B$105,2,FALSE)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899999999999999" customHeight="1" x14ac:dyDescent="0.25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VLOOKUP(J1235,DADOS!$A$3:$B$105,2,FALSE)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899999999999999" customHeight="1" x14ac:dyDescent="0.25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VLOOKUP(J1236,DADOS!$A$3:$B$105,2,FALSE)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899999999999999" customHeight="1" x14ac:dyDescent="0.25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VLOOKUP(J1237,DADOS!$A$3:$B$105,2,FALSE)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899999999999999" customHeight="1" x14ac:dyDescent="0.25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VLOOKUP(J1238,DADOS!$A$3:$B$105,2,FALSE)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899999999999999" customHeight="1" x14ac:dyDescent="0.25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VLOOKUP(J1239,DADOS!$A$3:$B$105,2,FALSE)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899999999999999" customHeight="1" x14ac:dyDescent="0.25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VLOOKUP(J1240,DADOS!$A$3:$B$105,2,FALSE)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899999999999999" customHeight="1" x14ac:dyDescent="0.25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VLOOKUP(J1241,DADOS!$A$3:$B$105,2,FALSE)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899999999999999" customHeight="1" x14ac:dyDescent="0.25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VLOOKUP(J1242,DADOS!$A$3:$B$105,2,FALSE)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899999999999999" customHeight="1" x14ac:dyDescent="0.25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VLOOKUP(J1243,DADOS!$A$3:$B$105,2,FALSE)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899999999999999" customHeight="1" x14ac:dyDescent="0.25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VLOOKUP(J1244,DADOS!$A$3:$B$105,2,FALSE)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899999999999999" customHeight="1" x14ac:dyDescent="0.25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VLOOKUP(J1245,DADOS!$A$3:$B$105,2,FALSE)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899999999999999" customHeight="1" x14ac:dyDescent="0.25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VLOOKUP(J1246,DADOS!$A$3:$B$105,2,FALSE)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899999999999999" customHeight="1" x14ac:dyDescent="0.25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VLOOKUP(J1247,DADOS!$A$3:$B$105,2,FALSE)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899999999999999" customHeight="1" x14ac:dyDescent="0.25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VLOOKUP(J1248,DADOS!$A$3:$B$105,2,FALSE)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899999999999999" customHeight="1" x14ac:dyDescent="0.25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VLOOKUP(J1249,DADOS!$A$3:$B$105,2,FALSE)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899999999999999" customHeight="1" x14ac:dyDescent="0.25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VLOOKUP(J1250,DADOS!$A$3:$B$105,2,FALSE)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899999999999999" customHeight="1" x14ac:dyDescent="0.25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VLOOKUP(J1251,DADOS!$A$3:$B$105,2,FALSE)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899999999999999" customHeight="1" x14ac:dyDescent="0.25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VLOOKUP(J1252,DADOS!$A$3:$B$105,2,FALSE)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899999999999999" customHeight="1" x14ac:dyDescent="0.25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VLOOKUP(J1253,DADOS!$A$3:$B$105,2,FALSE)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899999999999999" customHeight="1" x14ac:dyDescent="0.25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VLOOKUP(J1254,DADOS!$A$3:$B$105,2,FALSE)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899999999999999" customHeight="1" x14ac:dyDescent="0.25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VLOOKUP(J1255,DADOS!$A$3:$B$105,2,FALSE)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899999999999999" customHeight="1" x14ac:dyDescent="0.25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VLOOKUP(J1256,DADOS!$A$3:$B$105,2,FALSE)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899999999999999" customHeight="1" x14ac:dyDescent="0.25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VLOOKUP(J1257,DADOS!$A$3:$B$105,2,FALSE)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899999999999999" customHeight="1" x14ac:dyDescent="0.25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VLOOKUP(J1258,DADOS!$A$3:$B$105,2,FALSE)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899999999999999" customHeight="1" x14ac:dyDescent="0.25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VLOOKUP(J1259,DADOS!$A$3:$B$105,2,FALSE)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899999999999999" customHeight="1" x14ac:dyDescent="0.25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VLOOKUP(J1260,DADOS!$A$3:$B$105,2,FALSE)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899999999999999" customHeight="1" x14ac:dyDescent="0.25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VLOOKUP(J1261,DADOS!$A$3:$B$105,2,FALSE)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899999999999999" customHeight="1" x14ac:dyDescent="0.25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VLOOKUP(J1262,DADOS!$A$3:$B$105,2,FALSE)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899999999999999" customHeight="1" x14ac:dyDescent="0.25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VLOOKUP(J1263,DADOS!$A$3:$B$105,2,FALSE)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899999999999999" customHeight="1" x14ac:dyDescent="0.25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VLOOKUP(J1264,DADOS!$A$3:$B$105,2,FALSE)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899999999999999" customHeight="1" x14ac:dyDescent="0.25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VLOOKUP(J1265,DADOS!$A$3:$B$105,2,FALSE)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899999999999999" customHeight="1" x14ac:dyDescent="0.25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VLOOKUP(J1266,DADOS!$A$3:$B$105,2,FALSE)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899999999999999" customHeight="1" x14ac:dyDescent="0.25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VLOOKUP(J1267,DADOS!$A$3:$B$105,2,FALSE)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899999999999999" customHeight="1" x14ac:dyDescent="0.25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VLOOKUP(J1268,DADOS!$A$3:$B$105,2,FALSE)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899999999999999" customHeight="1" x14ac:dyDescent="0.25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VLOOKUP(J1269,DADOS!$A$3:$B$105,2,FALSE)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899999999999999" customHeight="1" x14ac:dyDescent="0.25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VLOOKUP(J1270,DADOS!$A$3:$B$105,2,FALSE)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899999999999999" customHeight="1" x14ac:dyDescent="0.25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VLOOKUP(J1271,DADOS!$A$3:$B$105,2,FALSE)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899999999999999" customHeight="1" x14ac:dyDescent="0.25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VLOOKUP(J1272,DADOS!$A$3:$B$105,2,FALSE)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899999999999999" customHeight="1" x14ac:dyDescent="0.25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VLOOKUP(J1273,DADOS!$A$3:$B$105,2,FALSE)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899999999999999" customHeight="1" x14ac:dyDescent="0.25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VLOOKUP(J1274,DADOS!$A$3:$B$105,2,FALSE)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899999999999999" customHeight="1" x14ac:dyDescent="0.25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VLOOKUP(J1275,DADOS!$A$3:$B$105,2,FALSE)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899999999999999" customHeight="1" x14ac:dyDescent="0.25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VLOOKUP(J1276,DADOS!$A$3:$B$105,2,FALSE)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899999999999999" customHeight="1" x14ac:dyDescent="0.25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VLOOKUP(J1277,DADOS!$A$3:$B$105,2,FALSE)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899999999999999" customHeight="1" x14ac:dyDescent="0.25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VLOOKUP(J1278,DADOS!$A$3:$B$105,2,FALSE)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899999999999999" customHeight="1" x14ac:dyDescent="0.25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VLOOKUP(J1279,DADOS!$A$3:$B$105,2,FALSE)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899999999999999" customHeight="1" x14ac:dyDescent="0.25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VLOOKUP(J1280,DADOS!$A$3:$B$105,2,FALSE)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899999999999999" customHeight="1" x14ac:dyDescent="0.25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VLOOKUP(J1281,DADOS!$A$3:$B$105,2,FALSE)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899999999999999" customHeight="1" x14ac:dyDescent="0.25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VLOOKUP(J1282,DADOS!$A$3:$B$105,2,FALSE)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899999999999999" customHeight="1" x14ac:dyDescent="0.25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VLOOKUP(J1283,DADOS!$A$3:$B$105,2,FALSE)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899999999999999" customHeight="1" x14ac:dyDescent="0.25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VLOOKUP(J1284,DADOS!$A$3:$B$105,2,FALSE)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899999999999999" customHeight="1" x14ac:dyDescent="0.25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VLOOKUP(J1285,DADOS!$A$3:$B$105,2,FALSE)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899999999999999" customHeight="1" x14ac:dyDescent="0.25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VLOOKUP(J1286,DADOS!$A$3:$B$105,2,FALSE)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899999999999999" customHeight="1" x14ac:dyDescent="0.25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VLOOKUP(J1287,DADOS!$A$3:$B$105,2,FALSE)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899999999999999" customHeight="1" x14ac:dyDescent="0.25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VLOOKUP(J1288,DADOS!$A$3:$B$105,2,FALSE)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899999999999999" customHeight="1" x14ac:dyDescent="0.25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VLOOKUP(J1289,DADOS!$A$3:$B$105,2,FALSE)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899999999999999" customHeight="1" x14ac:dyDescent="0.25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VLOOKUP(J1290,DADOS!$A$3:$B$105,2,FALSE)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899999999999999" customHeight="1" x14ac:dyDescent="0.25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VLOOKUP(J1291,DADOS!$A$3:$B$105,2,FALSE)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899999999999999" customHeight="1" x14ac:dyDescent="0.25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VLOOKUP(J1292,DADOS!$A$3:$B$105,2,FALSE)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899999999999999" customHeight="1" x14ac:dyDescent="0.25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VLOOKUP(J1293,DADOS!$A$3:$B$105,2,FALSE)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899999999999999" customHeight="1" x14ac:dyDescent="0.25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VLOOKUP(J1294,DADOS!$A$3:$B$105,2,FALSE)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899999999999999" customHeight="1" x14ac:dyDescent="0.25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VLOOKUP(J1295,DADOS!$A$3:$B$105,2,FALSE)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899999999999999" customHeight="1" x14ac:dyDescent="0.25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VLOOKUP(J1296,DADOS!$A$3:$B$105,2,FALSE)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899999999999999" customHeight="1" x14ac:dyDescent="0.25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VLOOKUP(J1297,DADOS!$A$3:$B$105,2,FALSE)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899999999999999" customHeight="1" x14ac:dyDescent="0.25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VLOOKUP(J1298,DADOS!$A$3:$B$105,2,FALSE)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899999999999999" customHeight="1" x14ac:dyDescent="0.25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VLOOKUP(J1299,DADOS!$A$3:$B$105,2,FALSE)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899999999999999" customHeight="1" x14ac:dyDescent="0.25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VLOOKUP(J1300,DADOS!$A$3:$B$105,2,FALSE)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899999999999999" customHeight="1" x14ac:dyDescent="0.25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VLOOKUP(J1301,DADOS!$A$3:$B$105,2,FALSE)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899999999999999" customHeight="1" x14ac:dyDescent="0.25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VLOOKUP(J1302,DADOS!$A$3:$B$105,2,FALSE)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899999999999999" customHeight="1" x14ac:dyDescent="0.25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VLOOKUP(J1303,DADOS!$A$3:$B$105,2,FALSE)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899999999999999" customHeight="1" x14ac:dyDescent="0.25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VLOOKUP(J1304,DADOS!$A$3:$B$105,2,FALSE)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899999999999999" customHeight="1" x14ac:dyDescent="0.25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VLOOKUP(J1305,DADOS!$A$3:$B$105,2,FALSE)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899999999999999" customHeight="1" x14ac:dyDescent="0.25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VLOOKUP(J1306,DADOS!$A$3:$B$105,2,FALSE)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899999999999999" customHeight="1" x14ac:dyDescent="0.25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VLOOKUP(J1307,DADOS!$A$3:$B$105,2,FALSE)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899999999999999" customHeight="1" x14ac:dyDescent="0.25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VLOOKUP(J1308,DADOS!$A$3:$B$105,2,FALSE)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899999999999999" customHeight="1" x14ac:dyDescent="0.25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VLOOKUP(J1309,DADOS!$A$3:$B$105,2,FALSE)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899999999999999" customHeight="1" x14ac:dyDescent="0.25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VLOOKUP(J1310,DADOS!$A$3:$B$105,2,FALSE)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899999999999999" customHeight="1" x14ac:dyDescent="0.25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VLOOKUP(J1311,DADOS!$A$3:$B$105,2,FALSE)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899999999999999" customHeight="1" x14ac:dyDescent="0.25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VLOOKUP(J1312,DADOS!$A$3:$B$105,2,FALSE)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899999999999999" customHeight="1" x14ac:dyDescent="0.25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VLOOKUP(J1313,DADOS!$A$3:$B$105,2,FALSE)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899999999999999" customHeight="1" x14ac:dyDescent="0.25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VLOOKUP(J1314,DADOS!$A$3:$B$105,2,FALSE)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899999999999999" customHeight="1" x14ac:dyDescent="0.25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VLOOKUP(J1315,DADOS!$A$3:$B$105,2,FALSE)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899999999999999" customHeight="1" x14ac:dyDescent="0.25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VLOOKUP(J1316,DADOS!$A$3:$B$105,2,FALSE)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899999999999999" customHeight="1" x14ac:dyDescent="0.25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VLOOKUP(J1317,DADOS!$A$3:$B$105,2,FALSE)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899999999999999" customHeight="1" x14ac:dyDescent="0.25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VLOOKUP(J1318,DADOS!$A$3:$B$105,2,FALSE)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899999999999999" customHeight="1" x14ac:dyDescent="0.25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VLOOKUP(J1319,DADOS!$A$3:$B$105,2,FALSE)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899999999999999" customHeight="1" x14ac:dyDescent="0.25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VLOOKUP(J1320,DADOS!$A$3:$B$105,2,FALSE)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899999999999999" customHeight="1" x14ac:dyDescent="0.25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VLOOKUP(J1321,DADOS!$A$3:$B$105,2,FALSE)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899999999999999" customHeight="1" x14ac:dyDescent="0.25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VLOOKUP(J1322,DADOS!$A$3:$B$105,2,FALSE)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899999999999999" customHeight="1" x14ac:dyDescent="0.25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VLOOKUP(J1323,DADOS!$A$3:$B$105,2,FALSE)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899999999999999" customHeight="1" x14ac:dyDescent="0.25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VLOOKUP(J1324,DADOS!$A$3:$B$105,2,FALSE)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899999999999999" customHeight="1" x14ac:dyDescent="0.25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VLOOKUP(J1325,DADOS!$A$3:$B$105,2,FALSE)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899999999999999" customHeight="1" x14ac:dyDescent="0.25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VLOOKUP(J1326,DADOS!$A$3:$B$105,2,FALSE)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899999999999999" customHeight="1" x14ac:dyDescent="0.25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VLOOKUP(J1327,DADOS!$A$3:$B$105,2,FALSE)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899999999999999" customHeight="1" x14ac:dyDescent="0.25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VLOOKUP(J1328,DADOS!$A$3:$B$105,2,FALSE)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899999999999999" customHeight="1" x14ac:dyDescent="0.25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VLOOKUP(J1329,DADOS!$A$3:$B$105,2,FALSE)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899999999999999" customHeight="1" x14ac:dyDescent="0.25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VLOOKUP(J1330,DADOS!$A$3:$B$105,2,FALSE)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899999999999999" customHeight="1" x14ac:dyDescent="0.25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VLOOKUP(J1331,DADOS!$A$3:$B$105,2,FALSE)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899999999999999" customHeight="1" x14ac:dyDescent="0.25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VLOOKUP(J1332,DADOS!$A$3:$B$105,2,FALSE)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899999999999999" customHeight="1" x14ac:dyDescent="0.25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VLOOKUP(J1333,DADOS!$A$3:$B$105,2,FALSE)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899999999999999" customHeight="1" x14ac:dyDescent="0.25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VLOOKUP(J1334,DADOS!$A$3:$B$105,2,FALSE)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899999999999999" customHeight="1" x14ac:dyDescent="0.25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VLOOKUP(J1335,DADOS!$A$3:$B$105,2,FALSE)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899999999999999" customHeight="1" x14ac:dyDescent="0.25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VLOOKUP(J1336,DADOS!$A$3:$B$105,2,FALSE)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899999999999999" customHeight="1" x14ac:dyDescent="0.25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VLOOKUP(J1337,DADOS!$A$3:$B$105,2,FALSE)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899999999999999" customHeight="1" x14ac:dyDescent="0.25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VLOOKUP(J1338,DADOS!$A$3:$B$105,2,FALSE)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899999999999999" customHeight="1" x14ac:dyDescent="0.25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VLOOKUP(J1339,DADOS!$A$3:$B$105,2,FALSE)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899999999999999" customHeight="1" x14ac:dyDescent="0.25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VLOOKUP(J1340,DADOS!$A$3:$B$105,2,FALSE)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899999999999999" customHeight="1" x14ac:dyDescent="0.25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VLOOKUP(J1341,DADOS!$A$3:$B$105,2,FALSE)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899999999999999" customHeight="1" x14ac:dyDescent="0.25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VLOOKUP(J1342,DADOS!$A$3:$B$105,2,FALSE)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899999999999999" customHeight="1" x14ac:dyDescent="0.25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VLOOKUP(J1343,DADOS!$A$3:$B$105,2,FALSE)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899999999999999" customHeight="1" x14ac:dyDescent="0.25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VLOOKUP(J1344,DADOS!$A$3:$B$105,2,FALSE)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  <row r="1345" spans="1:26" ht="19.899999999999999" customHeight="1" x14ac:dyDescent="0.25">
      <c r="A1345" s="6"/>
      <c r="B1345" s="7"/>
      <c r="C1345" s="8"/>
      <c r="D1345" s="8"/>
      <c r="E1345" s="8"/>
      <c r="F1345" s="9"/>
      <c r="G1345" s="9"/>
      <c r="H1345" s="9"/>
      <c r="I1345" s="9" t="s">
        <v>14</v>
      </c>
      <c r="J1345" s="10" t="s">
        <v>14</v>
      </c>
      <c r="K1345" s="15" t="e">
        <f>VLOOKUP(J1345,DADOS!$A$3:$B$105,2,FALSE)</f>
        <v>#N/A</v>
      </c>
      <c r="L1345" s="15"/>
      <c r="M1345" s="18" t="b">
        <v>0</v>
      </c>
      <c r="N1345" s="17" t="b">
        <v>0</v>
      </c>
      <c r="O1345" s="17" t="b">
        <v>0</v>
      </c>
      <c r="P1345" s="17" t="b">
        <v>0</v>
      </c>
      <c r="Q1345" s="17" t="b">
        <v>0</v>
      </c>
      <c r="R1345" s="17" t="b">
        <v>0</v>
      </c>
      <c r="S1345" s="17" t="b">
        <v>0</v>
      </c>
      <c r="T1345" s="17" t="b">
        <v>0</v>
      </c>
      <c r="U1345" s="17" t="b">
        <v>0</v>
      </c>
      <c r="V1345" s="17" t="b">
        <v>0</v>
      </c>
      <c r="W1345" s="11"/>
      <c r="X1345" s="12"/>
      <c r="Y1345" s="12"/>
      <c r="Z1345" s="13"/>
    </row>
    <row r="1346" spans="1:26" ht="19.899999999999999" customHeight="1" x14ac:dyDescent="0.25">
      <c r="A1346" s="6"/>
      <c r="B1346" s="7"/>
      <c r="C1346" s="8"/>
      <c r="D1346" s="8"/>
      <c r="E1346" s="8"/>
      <c r="F1346" s="9"/>
      <c r="G1346" s="9"/>
      <c r="H1346" s="9"/>
      <c r="I1346" s="9" t="s">
        <v>14</v>
      </c>
      <c r="J1346" s="10" t="s">
        <v>14</v>
      </c>
      <c r="K1346" s="15" t="e">
        <f>VLOOKUP(J1346,DADOS!$A$3:$B$105,2,FALSE)</f>
        <v>#N/A</v>
      </c>
      <c r="L1346" s="15"/>
      <c r="M1346" s="18" t="b">
        <v>0</v>
      </c>
      <c r="N1346" s="17" t="b">
        <v>0</v>
      </c>
      <c r="O1346" s="17" t="b">
        <v>0</v>
      </c>
      <c r="P1346" s="17" t="b">
        <v>0</v>
      </c>
      <c r="Q1346" s="17" t="b">
        <v>0</v>
      </c>
      <c r="R1346" s="17" t="b">
        <v>0</v>
      </c>
      <c r="S1346" s="17" t="b">
        <v>0</v>
      </c>
      <c r="T1346" s="17" t="b">
        <v>0</v>
      </c>
      <c r="U1346" s="17" t="b">
        <v>0</v>
      </c>
      <c r="V1346" s="17" t="b">
        <v>0</v>
      </c>
      <c r="W1346" s="11"/>
      <c r="X1346" s="12"/>
      <c r="Y1346" s="12"/>
      <c r="Z1346" s="13"/>
    </row>
    <row r="1347" spans="1:26" ht="19.899999999999999" customHeight="1" x14ac:dyDescent="0.25">
      <c r="A1347" s="6"/>
      <c r="B1347" s="7"/>
      <c r="C1347" s="8"/>
      <c r="D1347" s="8"/>
      <c r="E1347" s="8"/>
      <c r="F1347" s="9"/>
      <c r="G1347" s="9"/>
      <c r="H1347" s="9"/>
      <c r="I1347" s="9" t="s">
        <v>14</v>
      </c>
      <c r="J1347" s="10" t="s">
        <v>14</v>
      </c>
      <c r="K1347" s="15" t="e">
        <f>VLOOKUP(J1347,DADOS!$A$3:$B$105,2,FALSE)</f>
        <v>#N/A</v>
      </c>
      <c r="L1347" s="15"/>
      <c r="M1347" s="18" t="b">
        <v>0</v>
      </c>
      <c r="N1347" s="17" t="b">
        <v>0</v>
      </c>
      <c r="O1347" s="17" t="b">
        <v>0</v>
      </c>
      <c r="P1347" s="17" t="b">
        <v>0</v>
      </c>
      <c r="Q1347" s="17" t="b">
        <v>0</v>
      </c>
      <c r="R1347" s="17" t="b">
        <v>0</v>
      </c>
      <c r="S1347" s="17" t="b">
        <v>0</v>
      </c>
      <c r="T1347" s="17" t="b">
        <v>0</v>
      </c>
      <c r="U1347" s="17" t="b">
        <v>0</v>
      </c>
      <c r="V1347" s="17" t="b">
        <v>0</v>
      </c>
      <c r="W1347" s="11"/>
      <c r="X1347" s="12"/>
      <c r="Y1347" s="12"/>
      <c r="Z1347" s="13"/>
    </row>
    <row r="1348" spans="1:26" ht="19.899999999999999" customHeight="1" x14ac:dyDescent="0.25">
      <c r="A1348" s="6"/>
      <c r="B1348" s="7"/>
      <c r="C1348" s="8"/>
      <c r="D1348" s="8"/>
      <c r="E1348" s="8"/>
      <c r="F1348" s="9"/>
      <c r="G1348" s="9"/>
      <c r="H1348" s="9"/>
      <c r="I1348" s="9" t="s">
        <v>14</v>
      </c>
      <c r="J1348" s="10" t="s">
        <v>14</v>
      </c>
      <c r="K1348" s="15" t="e">
        <f>VLOOKUP(J1348,DADOS!$A$3:$B$105,2,FALSE)</f>
        <v>#N/A</v>
      </c>
      <c r="L1348" s="15"/>
      <c r="M1348" s="18" t="b">
        <v>0</v>
      </c>
      <c r="N1348" s="17" t="b">
        <v>0</v>
      </c>
      <c r="O1348" s="17" t="b">
        <v>0</v>
      </c>
      <c r="P1348" s="17" t="b">
        <v>0</v>
      </c>
      <c r="Q1348" s="17" t="b">
        <v>0</v>
      </c>
      <c r="R1348" s="17" t="b">
        <v>0</v>
      </c>
      <c r="S1348" s="17" t="b">
        <v>0</v>
      </c>
      <c r="T1348" s="17" t="b">
        <v>0</v>
      </c>
      <c r="U1348" s="17" t="b">
        <v>0</v>
      </c>
      <c r="V1348" s="17" t="b">
        <v>0</v>
      </c>
      <c r="W1348" s="11"/>
      <c r="X1348" s="12"/>
      <c r="Y1348" s="12"/>
      <c r="Z1348" s="13"/>
    </row>
    <row r="1349" spans="1:26" ht="19.899999999999999" customHeight="1" x14ac:dyDescent="0.25">
      <c r="A1349" s="6"/>
      <c r="B1349" s="7"/>
      <c r="C1349" s="8"/>
      <c r="D1349" s="8"/>
      <c r="E1349" s="8"/>
      <c r="F1349" s="9"/>
      <c r="G1349" s="9"/>
      <c r="H1349" s="9"/>
      <c r="I1349" s="9" t="s">
        <v>14</v>
      </c>
      <c r="J1349" s="10" t="s">
        <v>14</v>
      </c>
      <c r="K1349" s="15" t="e">
        <f>VLOOKUP(J1349,DADOS!$A$3:$B$105,2,FALSE)</f>
        <v>#N/A</v>
      </c>
      <c r="L1349" s="15"/>
      <c r="M1349" s="18" t="b">
        <v>0</v>
      </c>
      <c r="N1349" s="17" t="b">
        <v>0</v>
      </c>
      <c r="O1349" s="17" t="b">
        <v>0</v>
      </c>
      <c r="P1349" s="17" t="b">
        <v>0</v>
      </c>
      <c r="Q1349" s="17" t="b">
        <v>0</v>
      </c>
      <c r="R1349" s="17" t="b">
        <v>0</v>
      </c>
      <c r="S1349" s="17" t="b">
        <v>0</v>
      </c>
      <c r="T1349" s="17" t="b">
        <v>0</v>
      </c>
      <c r="U1349" s="17" t="b">
        <v>0</v>
      </c>
      <c r="V1349" s="17" t="b">
        <v>0</v>
      </c>
      <c r="W1349" s="11"/>
      <c r="X1349" s="12"/>
      <c r="Y1349" s="12"/>
      <c r="Z1349" s="13"/>
    </row>
    <row r="1350" spans="1:26" ht="19.899999999999999" customHeight="1" x14ac:dyDescent="0.25">
      <c r="A1350" s="6"/>
      <c r="B1350" s="7"/>
      <c r="C1350" s="8"/>
      <c r="D1350" s="8"/>
      <c r="E1350" s="8"/>
      <c r="F1350" s="9"/>
      <c r="G1350" s="9"/>
      <c r="H1350" s="9"/>
      <c r="I1350" s="9" t="s">
        <v>14</v>
      </c>
      <c r="J1350" s="10" t="s">
        <v>14</v>
      </c>
      <c r="K1350" s="15" t="e">
        <f>VLOOKUP(J1350,DADOS!$A$3:$B$105,2,FALSE)</f>
        <v>#N/A</v>
      </c>
      <c r="L1350" s="15"/>
      <c r="M1350" s="18" t="b">
        <v>0</v>
      </c>
      <c r="N1350" s="17" t="b">
        <v>0</v>
      </c>
      <c r="O1350" s="17" t="b">
        <v>0</v>
      </c>
      <c r="P1350" s="17" t="b">
        <v>0</v>
      </c>
      <c r="Q1350" s="17" t="b">
        <v>0</v>
      </c>
      <c r="R1350" s="17" t="b">
        <v>0</v>
      </c>
      <c r="S1350" s="17" t="b">
        <v>0</v>
      </c>
      <c r="T1350" s="17" t="b">
        <v>0</v>
      </c>
      <c r="U1350" s="17" t="b">
        <v>0</v>
      </c>
      <c r="V1350" s="17" t="b">
        <v>0</v>
      </c>
      <c r="W1350" s="11"/>
      <c r="X1350" s="12"/>
      <c r="Y1350" s="12"/>
      <c r="Z1350" s="13"/>
    </row>
    <row r="1351" spans="1:26" ht="19.899999999999999" customHeight="1" x14ac:dyDescent="0.25">
      <c r="A1351" s="6"/>
      <c r="B1351" s="7"/>
      <c r="C1351" s="8"/>
      <c r="D1351" s="8"/>
      <c r="E1351" s="8"/>
      <c r="F1351" s="9"/>
      <c r="G1351" s="9"/>
      <c r="H1351" s="9"/>
      <c r="I1351" s="9" t="s">
        <v>14</v>
      </c>
      <c r="J1351" s="10" t="s">
        <v>14</v>
      </c>
      <c r="K1351" s="15" t="e">
        <f>VLOOKUP(J1351,DADOS!$A$3:$B$105,2,FALSE)</f>
        <v>#N/A</v>
      </c>
      <c r="L1351" s="15"/>
      <c r="M1351" s="18" t="b">
        <v>0</v>
      </c>
      <c r="N1351" s="17" t="b">
        <v>0</v>
      </c>
      <c r="O1351" s="17" t="b">
        <v>0</v>
      </c>
      <c r="P1351" s="17" t="b">
        <v>0</v>
      </c>
      <c r="Q1351" s="17" t="b">
        <v>0</v>
      </c>
      <c r="R1351" s="17" t="b">
        <v>0</v>
      </c>
      <c r="S1351" s="17" t="b">
        <v>0</v>
      </c>
      <c r="T1351" s="17" t="b">
        <v>0</v>
      </c>
      <c r="U1351" s="17" t="b">
        <v>0</v>
      </c>
      <c r="V1351" s="17" t="b">
        <v>0</v>
      </c>
      <c r="W1351" s="11"/>
      <c r="X1351" s="12"/>
      <c r="Y1351" s="12"/>
      <c r="Z1351" s="13"/>
    </row>
    <row r="1352" spans="1:26" ht="19.899999999999999" customHeight="1" x14ac:dyDescent="0.25">
      <c r="A1352" s="6"/>
      <c r="B1352" s="7"/>
      <c r="C1352" s="8"/>
      <c r="D1352" s="8"/>
      <c r="E1352" s="8"/>
      <c r="F1352" s="9"/>
      <c r="G1352" s="9"/>
      <c r="H1352" s="9"/>
      <c r="I1352" s="9" t="s">
        <v>14</v>
      </c>
      <c r="J1352" s="10" t="s">
        <v>14</v>
      </c>
      <c r="K1352" s="15" t="e">
        <f>VLOOKUP(J1352,DADOS!$A$3:$B$105,2,FALSE)</f>
        <v>#N/A</v>
      </c>
      <c r="L1352" s="15"/>
      <c r="M1352" s="18" t="b">
        <v>0</v>
      </c>
      <c r="N1352" s="17" t="b">
        <v>0</v>
      </c>
      <c r="O1352" s="17" t="b">
        <v>0</v>
      </c>
      <c r="P1352" s="17" t="b">
        <v>0</v>
      </c>
      <c r="Q1352" s="17" t="b">
        <v>0</v>
      </c>
      <c r="R1352" s="17" t="b">
        <v>0</v>
      </c>
      <c r="S1352" s="17" t="b">
        <v>0</v>
      </c>
      <c r="T1352" s="17" t="b">
        <v>0</v>
      </c>
      <c r="U1352" s="17" t="b">
        <v>0</v>
      </c>
      <c r="V1352" s="17" t="b">
        <v>0</v>
      </c>
      <c r="W1352" s="11"/>
      <c r="X1352" s="12"/>
      <c r="Y1352" s="12"/>
      <c r="Z1352" s="13"/>
    </row>
    <row r="1353" spans="1:26" ht="19.899999999999999" customHeight="1" x14ac:dyDescent="0.25">
      <c r="A1353" s="6"/>
      <c r="B1353" s="7"/>
      <c r="C1353" s="8"/>
      <c r="D1353" s="8"/>
      <c r="E1353" s="8"/>
      <c r="F1353" s="9"/>
      <c r="G1353" s="9"/>
      <c r="H1353" s="9"/>
      <c r="I1353" s="9" t="s">
        <v>14</v>
      </c>
      <c r="J1353" s="10" t="s">
        <v>14</v>
      </c>
      <c r="K1353" s="15" t="e">
        <f>VLOOKUP(J1353,DADOS!$A$3:$B$105,2,FALSE)</f>
        <v>#N/A</v>
      </c>
      <c r="L1353" s="15"/>
      <c r="M1353" s="18" t="b">
        <v>0</v>
      </c>
      <c r="N1353" s="17" t="b">
        <v>0</v>
      </c>
      <c r="O1353" s="17" t="b">
        <v>0</v>
      </c>
      <c r="P1353" s="17" t="b">
        <v>0</v>
      </c>
      <c r="Q1353" s="17" t="b">
        <v>0</v>
      </c>
      <c r="R1353" s="17" t="b">
        <v>0</v>
      </c>
      <c r="S1353" s="17" t="b">
        <v>0</v>
      </c>
      <c r="T1353" s="17" t="b">
        <v>0</v>
      </c>
      <c r="U1353" s="17" t="b">
        <v>0</v>
      </c>
      <c r="V1353" s="17" t="b">
        <v>0</v>
      </c>
      <c r="W1353" s="11"/>
      <c r="X1353" s="12"/>
      <c r="Y1353" s="12"/>
      <c r="Z1353" s="13"/>
    </row>
    <row r="1354" spans="1:26" ht="19.899999999999999" customHeight="1" x14ac:dyDescent="0.25">
      <c r="A1354" s="6"/>
      <c r="B1354" s="7"/>
      <c r="C1354" s="8"/>
      <c r="D1354" s="8"/>
      <c r="E1354" s="8"/>
      <c r="F1354" s="9"/>
      <c r="G1354" s="9"/>
      <c r="H1354" s="9"/>
      <c r="I1354" s="9" t="s">
        <v>14</v>
      </c>
      <c r="J1354" s="10" t="s">
        <v>14</v>
      </c>
      <c r="K1354" s="15" t="e">
        <f>VLOOKUP(J1354,DADOS!$A$3:$B$105,2,FALSE)</f>
        <v>#N/A</v>
      </c>
      <c r="L1354" s="15"/>
      <c r="M1354" s="18" t="b">
        <v>0</v>
      </c>
      <c r="N1354" s="17" t="b">
        <v>0</v>
      </c>
      <c r="O1354" s="17" t="b">
        <v>0</v>
      </c>
      <c r="P1354" s="17" t="b">
        <v>0</v>
      </c>
      <c r="Q1354" s="17" t="b">
        <v>0</v>
      </c>
      <c r="R1354" s="17" t="b">
        <v>0</v>
      </c>
      <c r="S1354" s="17" t="b">
        <v>0</v>
      </c>
      <c r="T1354" s="17" t="b">
        <v>0</v>
      </c>
      <c r="U1354" s="17" t="b">
        <v>0</v>
      </c>
      <c r="V1354" s="17" t="b">
        <v>0</v>
      </c>
      <c r="W1354" s="11"/>
      <c r="X1354" s="12"/>
      <c r="Y1354" s="12"/>
      <c r="Z1354" s="13"/>
    </row>
    <row r="1355" spans="1:26" ht="19.899999999999999" customHeight="1" x14ac:dyDescent="0.25">
      <c r="A1355" s="6"/>
      <c r="B1355" s="7"/>
      <c r="C1355" s="8"/>
      <c r="D1355" s="8"/>
      <c r="E1355" s="8"/>
      <c r="F1355" s="9"/>
      <c r="G1355" s="9"/>
      <c r="H1355" s="9"/>
      <c r="I1355" s="9" t="s">
        <v>14</v>
      </c>
      <c r="J1355" s="10" t="s">
        <v>14</v>
      </c>
      <c r="K1355" s="15" t="e">
        <f>VLOOKUP(J1355,DADOS!$A$3:$B$105,2,FALSE)</f>
        <v>#N/A</v>
      </c>
      <c r="L1355" s="15"/>
      <c r="M1355" s="18" t="b">
        <v>0</v>
      </c>
      <c r="N1355" s="17" t="b">
        <v>0</v>
      </c>
      <c r="O1355" s="17" t="b">
        <v>0</v>
      </c>
      <c r="P1355" s="17" t="b">
        <v>0</v>
      </c>
      <c r="Q1355" s="17" t="b">
        <v>0</v>
      </c>
      <c r="R1355" s="17" t="b">
        <v>0</v>
      </c>
      <c r="S1355" s="17" t="b">
        <v>0</v>
      </c>
      <c r="T1355" s="17" t="b">
        <v>0</v>
      </c>
      <c r="U1355" s="17" t="b">
        <v>0</v>
      </c>
      <c r="V1355" s="17" t="b">
        <v>0</v>
      </c>
      <c r="W1355" s="11"/>
      <c r="X1355" s="12"/>
      <c r="Y1355" s="12"/>
      <c r="Z1355" s="13"/>
    </row>
    <row r="1356" spans="1:26" ht="19.899999999999999" customHeight="1" x14ac:dyDescent="0.25">
      <c r="A1356" s="6"/>
      <c r="B1356" s="7"/>
      <c r="C1356" s="8"/>
      <c r="D1356" s="8"/>
      <c r="E1356" s="8"/>
      <c r="F1356" s="9"/>
      <c r="G1356" s="9"/>
      <c r="H1356" s="9"/>
      <c r="I1356" s="9" t="s">
        <v>14</v>
      </c>
      <c r="J1356" s="10" t="s">
        <v>14</v>
      </c>
      <c r="K1356" s="15" t="e">
        <f>VLOOKUP(J1356,DADOS!$A$3:$B$105,2,FALSE)</f>
        <v>#N/A</v>
      </c>
      <c r="L1356" s="15"/>
      <c r="M1356" s="18" t="b">
        <v>0</v>
      </c>
      <c r="N1356" s="17" t="b">
        <v>0</v>
      </c>
      <c r="O1356" s="17" t="b">
        <v>0</v>
      </c>
      <c r="P1356" s="17" t="b">
        <v>0</v>
      </c>
      <c r="Q1356" s="17" t="b">
        <v>0</v>
      </c>
      <c r="R1356" s="17" t="b">
        <v>0</v>
      </c>
      <c r="S1356" s="17" t="b">
        <v>0</v>
      </c>
      <c r="T1356" s="17" t="b">
        <v>0</v>
      </c>
      <c r="U1356" s="17" t="b">
        <v>0</v>
      </c>
      <c r="V1356" s="17" t="b">
        <v>0</v>
      </c>
      <c r="W1356" s="11"/>
      <c r="X1356" s="12"/>
      <c r="Y1356" s="12"/>
      <c r="Z1356" s="13"/>
    </row>
    <row r="1357" spans="1:26" ht="19.899999999999999" customHeight="1" x14ac:dyDescent="0.25">
      <c r="A1357" s="6"/>
      <c r="B1357" s="7"/>
      <c r="C1357" s="8"/>
      <c r="D1357" s="8"/>
      <c r="E1357" s="8"/>
      <c r="F1357" s="9"/>
      <c r="G1357" s="9"/>
      <c r="H1357" s="9"/>
      <c r="I1357" s="9" t="s">
        <v>14</v>
      </c>
      <c r="J1357" s="10" t="s">
        <v>14</v>
      </c>
      <c r="K1357" s="15" t="e">
        <f>VLOOKUP(J1357,DADOS!$A$3:$B$105,2,FALSE)</f>
        <v>#N/A</v>
      </c>
      <c r="L1357" s="15"/>
      <c r="M1357" s="18" t="b">
        <v>0</v>
      </c>
      <c r="N1357" s="17" t="b">
        <v>0</v>
      </c>
      <c r="O1357" s="17" t="b">
        <v>0</v>
      </c>
      <c r="P1357" s="17" t="b">
        <v>0</v>
      </c>
      <c r="Q1357" s="17" t="b">
        <v>0</v>
      </c>
      <c r="R1357" s="17" t="b">
        <v>0</v>
      </c>
      <c r="S1357" s="17" t="b">
        <v>0</v>
      </c>
      <c r="T1357" s="17" t="b">
        <v>0</v>
      </c>
      <c r="U1357" s="17" t="b">
        <v>0</v>
      </c>
      <c r="V1357" s="17" t="b">
        <v>0</v>
      </c>
      <c r="W1357" s="11"/>
      <c r="X1357" s="12"/>
      <c r="Y1357" s="12"/>
      <c r="Z1357" s="13"/>
    </row>
    <row r="1358" spans="1:26" ht="19.899999999999999" customHeight="1" x14ac:dyDescent="0.25">
      <c r="A1358" s="6"/>
      <c r="B1358" s="7"/>
      <c r="C1358" s="8"/>
      <c r="D1358" s="8"/>
      <c r="E1358" s="8"/>
      <c r="F1358" s="9"/>
      <c r="G1358" s="9"/>
      <c r="H1358" s="9"/>
      <c r="I1358" s="9" t="s">
        <v>14</v>
      </c>
      <c r="J1358" s="10" t="s">
        <v>14</v>
      </c>
      <c r="K1358" s="15" t="e">
        <f>VLOOKUP(J1358,DADOS!$A$3:$B$105,2,FALSE)</f>
        <v>#N/A</v>
      </c>
      <c r="L1358" s="15"/>
      <c r="M1358" s="18" t="b">
        <v>0</v>
      </c>
      <c r="N1358" s="17" t="b">
        <v>0</v>
      </c>
      <c r="O1358" s="17" t="b">
        <v>0</v>
      </c>
      <c r="P1358" s="17" t="b">
        <v>0</v>
      </c>
      <c r="Q1358" s="17" t="b">
        <v>0</v>
      </c>
      <c r="R1358" s="17" t="b">
        <v>0</v>
      </c>
      <c r="S1358" s="17" t="b">
        <v>0</v>
      </c>
      <c r="T1358" s="17" t="b">
        <v>0</v>
      </c>
      <c r="U1358" s="17" t="b">
        <v>0</v>
      </c>
      <c r="V1358" s="17" t="b">
        <v>0</v>
      </c>
      <c r="W1358" s="11"/>
      <c r="X1358" s="12"/>
      <c r="Y1358" s="12"/>
      <c r="Z1358" s="13"/>
    </row>
    <row r="1359" spans="1:26" ht="19.899999999999999" customHeight="1" x14ac:dyDescent="0.25">
      <c r="A1359" s="6"/>
      <c r="B1359" s="7"/>
      <c r="C1359" s="8"/>
      <c r="D1359" s="8"/>
      <c r="E1359" s="8"/>
      <c r="F1359" s="9"/>
      <c r="G1359" s="9"/>
      <c r="H1359" s="9"/>
      <c r="I1359" s="9" t="s">
        <v>14</v>
      </c>
      <c r="J1359" s="10" t="s">
        <v>14</v>
      </c>
      <c r="K1359" s="15" t="e">
        <f>VLOOKUP(J1359,DADOS!$A$3:$B$105,2,FALSE)</f>
        <v>#N/A</v>
      </c>
      <c r="L1359" s="15"/>
      <c r="M1359" s="18" t="b">
        <v>0</v>
      </c>
      <c r="N1359" s="17" t="b">
        <v>0</v>
      </c>
      <c r="O1359" s="17" t="b">
        <v>0</v>
      </c>
      <c r="P1359" s="17" t="b">
        <v>0</v>
      </c>
      <c r="Q1359" s="17" t="b">
        <v>0</v>
      </c>
      <c r="R1359" s="17" t="b">
        <v>0</v>
      </c>
      <c r="S1359" s="17" t="b">
        <v>0</v>
      </c>
      <c r="T1359" s="17" t="b">
        <v>0</v>
      </c>
      <c r="U1359" s="17" t="b">
        <v>0</v>
      </c>
      <c r="V1359" s="17" t="b">
        <v>0</v>
      </c>
      <c r="W1359" s="11"/>
      <c r="X1359" s="12"/>
      <c r="Y1359" s="12"/>
      <c r="Z1359" s="13"/>
    </row>
    <row r="1360" spans="1:26" ht="19.899999999999999" customHeight="1" x14ac:dyDescent="0.25">
      <c r="A1360" s="6"/>
      <c r="B1360" s="7"/>
      <c r="C1360" s="8"/>
      <c r="D1360" s="8"/>
      <c r="E1360" s="8"/>
      <c r="F1360" s="9"/>
      <c r="G1360" s="9"/>
      <c r="H1360" s="9"/>
      <c r="I1360" s="9" t="s">
        <v>14</v>
      </c>
      <c r="J1360" s="10" t="s">
        <v>14</v>
      </c>
      <c r="K1360" s="15" t="e">
        <f>VLOOKUP(J1360,DADOS!$A$3:$B$105,2,FALSE)</f>
        <v>#N/A</v>
      </c>
      <c r="L1360" s="15"/>
      <c r="M1360" s="18" t="b">
        <v>0</v>
      </c>
      <c r="N1360" s="17" t="b">
        <v>0</v>
      </c>
      <c r="O1360" s="17" t="b">
        <v>0</v>
      </c>
      <c r="P1360" s="17" t="b">
        <v>0</v>
      </c>
      <c r="Q1360" s="17" t="b">
        <v>0</v>
      </c>
      <c r="R1360" s="17" t="b">
        <v>0</v>
      </c>
      <c r="S1360" s="17" t="b">
        <v>0</v>
      </c>
      <c r="T1360" s="17" t="b">
        <v>0</v>
      </c>
      <c r="U1360" s="17" t="b">
        <v>0</v>
      </c>
      <c r="V1360" s="17" t="b">
        <v>0</v>
      </c>
      <c r="W1360" s="11"/>
      <c r="X1360" s="12"/>
      <c r="Y1360" s="12"/>
      <c r="Z1360" s="13"/>
    </row>
    <row r="1361" spans="1:26" ht="19.899999999999999" customHeight="1" x14ac:dyDescent="0.25">
      <c r="A1361" s="6"/>
      <c r="B1361" s="7"/>
      <c r="C1361" s="8"/>
      <c r="D1361" s="8"/>
      <c r="E1361" s="8"/>
      <c r="F1361" s="9"/>
      <c r="G1361" s="9"/>
      <c r="H1361" s="9"/>
      <c r="I1361" s="9" t="s">
        <v>14</v>
      </c>
      <c r="J1361" s="10" t="s">
        <v>14</v>
      </c>
      <c r="K1361" s="15" t="e">
        <f>VLOOKUP(J1361,DADOS!$A$3:$B$105,2,FALSE)</f>
        <v>#N/A</v>
      </c>
      <c r="L1361" s="15"/>
      <c r="M1361" s="18" t="b">
        <v>0</v>
      </c>
      <c r="N1361" s="17" t="b">
        <v>0</v>
      </c>
      <c r="O1361" s="17" t="b">
        <v>0</v>
      </c>
      <c r="P1361" s="17" t="b">
        <v>0</v>
      </c>
      <c r="Q1361" s="17" t="b">
        <v>0</v>
      </c>
      <c r="R1361" s="17" t="b">
        <v>0</v>
      </c>
      <c r="S1361" s="17" t="b">
        <v>0</v>
      </c>
      <c r="T1361" s="17" t="b">
        <v>0</v>
      </c>
      <c r="U1361" s="17" t="b">
        <v>0</v>
      </c>
      <c r="V1361" s="17" t="b">
        <v>0</v>
      </c>
      <c r="W1361" s="11"/>
      <c r="X1361" s="12"/>
      <c r="Y1361" s="12"/>
      <c r="Z1361" s="13"/>
    </row>
    <row r="1362" spans="1:26" ht="19.899999999999999" customHeight="1" x14ac:dyDescent="0.25">
      <c r="A1362" s="6"/>
      <c r="B1362" s="7"/>
      <c r="C1362" s="8"/>
      <c r="D1362" s="8"/>
      <c r="E1362" s="8"/>
      <c r="F1362" s="9"/>
      <c r="G1362" s="9"/>
      <c r="H1362" s="9"/>
      <c r="I1362" s="9" t="s">
        <v>14</v>
      </c>
      <c r="J1362" s="10" t="s">
        <v>14</v>
      </c>
      <c r="K1362" s="15" t="e">
        <f>VLOOKUP(J1362,DADOS!$A$3:$B$105,2,FALSE)</f>
        <v>#N/A</v>
      </c>
      <c r="L1362" s="15"/>
      <c r="M1362" s="18" t="b">
        <v>0</v>
      </c>
      <c r="N1362" s="17" t="b">
        <v>0</v>
      </c>
      <c r="O1362" s="17" t="b">
        <v>0</v>
      </c>
      <c r="P1362" s="17" t="b">
        <v>0</v>
      </c>
      <c r="Q1362" s="17" t="b">
        <v>0</v>
      </c>
      <c r="R1362" s="17" t="b">
        <v>0</v>
      </c>
      <c r="S1362" s="17" t="b">
        <v>0</v>
      </c>
      <c r="T1362" s="17" t="b">
        <v>0</v>
      </c>
      <c r="U1362" s="17" t="b">
        <v>0</v>
      </c>
      <c r="V1362" s="17" t="b">
        <v>0</v>
      </c>
      <c r="W1362" s="11"/>
      <c r="X1362" s="12"/>
      <c r="Y1362" s="12"/>
      <c r="Z1362" s="13"/>
    </row>
    <row r="1363" spans="1:26" ht="19.899999999999999" customHeight="1" x14ac:dyDescent="0.25">
      <c r="A1363" s="6"/>
      <c r="B1363" s="7"/>
      <c r="C1363" s="8"/>
      <c r="D1363" s="8"/>
      <c r="E1363" s="8"/>
      <c r="F1363" s="9"/>
      <c r="G1363" s="9"/>
      <c r="H1363" s="9"/>
      <c r="I1363" s="9" t="s">
        <v>14</v>
      </c>
      <c r="J1363" s="10" t="s">
        <v>14</v>
      </c>
      <c r="K1363" s="15" t="e">
        <f>VLOOKUP(J1363,DADOS!$A$3:$B$105,2,FALSE)</f>
        <v>#N/A</v>
      </c>
      <c r="L1363" s="15"/>
      <c r="M1363" s="18" t="b">
        <v>0</v>
      </c>
      <c r="N1363" s="17" t="b">
        <v>0</v>
      </c>
      <c r="O1363" s="17" t="b">
        <v>0</v>
      </c>
      <c r="P1363" s="17" t="b">
        <v>0</v>
      </c>
      <c r="Q1363" s="17" t="b">
        <v>0</v>
      </c>
      <c r="R1363" s="17" t="b">
        <v>0</v>
      </c>
      <c r="S1363" s="17" t="b">
        <v>0</v>
      </c>
      <c r="T1363" s="17" t="b">
        <v>0</v>
      </c>
      <c r="U1363" s="17" t="b">
        <v>0</v>
      </c>
      <c r="V1363" s="17" t="b">
        <v>0</v>
      </c>
      <c r="W1363" s="11"/>
      <c r="X1363" s="12"/>
      <c r="Y1363" s="12"/>
      <c r="Z1363" s="13"/>
    </row>
    <row r="1364" spans="1:26" ht="19.899999999999999" customHeight="1" x14ac:dyDescent="0.25">
      <c r="A1364" s="6"/>
      <c r="B1364" s="7"/>
      <c r="C1364" s="8"/>
      <c r="D1364" s="8"/>
      <c r="E1364" s="8"/>
      <c r="F1364" s="9"/>
      <c r="G1364" s="9"/>
      <c r="H1364" s="9"/>
      <c r="I1364" s="9" t="s">
        <v>14</v>
      </c>
      <c r="J1364" s="10" t="s">
        <v>14</v>
      </c>
      <c r="K1364" s="15" t="e">
        <f>VLOOKUP(J1364,DADOS!$A$3:$B$105,2,FALSE)</f>
        <v>#N/A</v>
      </c>
      <c r="L1364" s="15"/>
      <c r="M1364" s="18" t="b">
        <v>0</v>
      </c>
      <c r="N1364" s="17" t="b">
        <v>0</v>
      </c>
      <c r="O1364" s="17" t="b">
        <v>0</v>
      </c>
      <c r="P1364" s="17" t="b">
        <v>0</v>
      </c>
      <c r="Q1364" s="17" t="b">
        <v>0</v>
      </c>
      <c r="R1364" s="17" t="b">
        <v>0</v>
      </c>
      <c r="S1364" s="17" t="b">
        <v>0</v>
      </c>
      <c r="T1364" s="17" t="b">
        <v>0</v>
      </c>
      <c r="U1364" s="17" t="b">
        <v>0</v>
      </c>
      <c r="V1364" s="17" t="b">
        <v>0</v>
      </c>
      <c r="W1364" s="11"/>
      <c r="X1364" s="12"/>
      <c r="Y1364" s="12"/>
      <c r="Z1364" s="13"/>
    </row>
    <row r="1365" spans="1:26" ht="19.899999999999999" customHeight="1" x14ac:dyDescent="0.25">
      <c r="A1365" s="6"/>
      <c r="B1365" s="7"/>
      <c r="C1365" s="8"/>
      <c r="D1365" s="8"/>
      <c r="E1365" s="8"/>
      <c r="F1365" s="9"/>
      <c r="G1365" s="9"/>
      <c r="H1365" s="9"/>
      <c r="I1365" s="9" t="s">
        <v>14</v>
      </c>
      <c r="J1365" s="10" t="s">
        <v>14</v>
      </c>
      <c r="K1365" s="15" t="e">
        <f>VLOOKUP(J1365,DADOS!$A$3:$B$105,2,FALSE)</f>
        <v>#N/A</v>
      </c>
      <c r="L1365" s="15"/>
      <c r="M1365" s="18" t="b">
        <v>0</v>
      </c>
      <c r="N1365" s="17" t="b">
        <v>0</v>
      </c>
      <c r="O1365" s="17" t="b">
        <v>0</v>
      </c>
      <c r="P1365" s="17" t="b">
        <v>0</v>
      </c>
      <c r="Q1365" s="17" t="b">
        <v>0</v>
      </c>
      <c r="R1365" s="17" t="b">
        <v>0</v>
      </c>
      <c r="S1365" s="17" t="b">
        <v>0</v>
      </c>
      <c r="T1365" s="17" t="b">
        <v>0</v>
      </c>
      <c r="U1365" s="17" t="b">
        <v>0</v>
      </c>
      <c r="V1365" s="17" t="b">
        <v>0</v>
      </c>
      <c r="W1365" s="11"/>
      <c r="X1365" s="12"/>
      <c r="Y1365" s="12"/>
      <c r="Z1365" s="13"/>
    </row>
    <row r="1366" spans="1:26" ht="19.899999999999999" customHeight="1" x14ac:dyDescent="0.25">
      <c r="A1366" s="6"/>
      <c r="B1366" s="7"/>
      <c r="C1366" s="8"/>
      <c r="D1366" s="8"/>
      <c r="E1366" s="8"/>
      <c r="F1366" s="9"/>
      <c r="G1366" s="9"/>
      <c r="H1366" s="9"/>
      <c r="I1366" s="9" t="s">
        <v>14</v>
      </c>
      <c r="J1366" s="10" t="s">
        <v>14</v>
      </c>
      <c r="K1366" s="15" t="e">
        <f>VLOOKUP(J1366,DADOS!$A$3:$B$105,2,FALSE)</f>
        <v>#N/A</v>
      </c>
      <c r="L1366" s="15"/>
      <c r="M1366" s="18" t="b">
        <v>0</v>
      </c>
      <c r="N1366" s="17" t="b">
        <v>0</v>
      </c>
      <c r="O1366" s="17" t="b">
        <v>0</v>
      </c>
      <c r="P1366" s="17" t="b">
        <v>0</v>
      </c>
      <c r="Q1366" s="17" t="b">
        <v>0</v>
      </c>
      <c r="R1366" s="17" t="b">
        <v>0</v>
      </c>
      <c r="S1366" s="17" t="b">
        <v>0</v>
      </c>
      <c r="T1366" s="17" t="b">
        <v>0</v>
      </c>
      <c r="U1366" s="17" t="b">
        <v>0</v>
      </c>
      <c r="V1366" s="17" t="b">
        <v>0</v>
      </c>
      <c r="W1366" s="11"/>
      <c r="X1366" s="12"/>
      <c r="Y1366" s="12"/>
      <c r="Z1366" s="13"/>
    </row>
    <row r="1367" spans="1:26" ht="19.899999999999999" customHeight="1" x14ac:dyDescent="0.25">
      <c r="A1367" s="6"/>
      <c r="B1367" s="7"/>
      <c r="C1367" s="8"/>
      <c r="D1367" s="8"/>
      <c r="E1367" s="8"/>
      <c r="F1367" s="9"/>
      <c r="G1367" s="9"/>
      <c r="H1367" s="9"/>
      <c r="I1367" s="9" t="s">
        <v>14</v>
      </c>
      <c r="J1367" s="10" t="s">
        <v>14</v>
      </c>
      <c r="K1367" s="15" t="e">
        <f>VLOOKUP(J1367,DADOS!$A$3:$B$105,2,FALSE)</f>
        <v>#N/A</v>
      </c>
      <c r="L1367" s="15"/>
      <c r="M1367" s="18" t="b">
        <v>0</v>
      </c>
      <c r="N1367" s="17" t="b">
        <v>0</v>
      </c>
      <c r="O1367" s="17" t="b">
        <v>0</v>
      </c>
      <c r="P1367" s="17" t="b">
        <v>0</v>
      </c>
      <c r="Q1367" s="17" t="b">
        <v>0</v>
      </c>
      <c r="R1367" s="17" t="b">
        <v>0</v>
      </c>
      <c r="S1367" s="17" t="b">
        <v>0</v>
      </c>
      <c r="T1367" s="17" t="b">
        <v>0</v>
      </c>
      <c r="U1367" s="17" t="b">
        <v>0</v>
      </c>
      <c r="V1367" s="17" t="b">
        <v>0</v>
      </c>
      <c r="W1367" s="11"/>
      <c r="X1367" s="12"/>
      <c r="Y1367" s="12"/>
      <c r="Z1367" s="13"/>
    </row>
    <row r="1368" spans="1:26" ht="19.899999999999999" customHeight="1" x14ac:dyDescent="0.25">
      <c r="A1368" s="6"/>
      <c r="B1368" s="7"/>
      <c r="C1368" s="8"/>
      <c r="D1368" s="8"/>
      <c r="E1368" s="8"/>
      <c r="F1368" s="9"/>
      <c r="G1368" s="9"/>
      <c r="H1368" s="9"/>
      <c r="I1368" s="9" t="s">
        <v>14</v>
      </c>
      <c r="J1368" s="10" t="s">
        <v>14</v>
      </c>
      <c r="K1368" s="15" t="e">
        <f>VLOOKUP(J1368,DADOS!$A$3:$B$105,2,FALSE)</f>
        <v>#N/A</v>
      </c>
      <c r="L1368" s="15"/>
      <c r="M1368" s="18" t="b">
        <v>0</v>
      </c>
      <c r="N1368" s="17" t="b">
        <v>0</v>
      </c>
      <c r="O1368" s="17" t="b">
        <v>0</v>
      </c>
      <c r="P1368" s="17" t="b">
        <v>0</v>
      </c>
      <c r="Q1368" s="17" t="b">
        <v>0</v>
      </c>
      <c r="R1368" s="17" t="b">
        <v>0</v>
      </c>
      <c r="S1368" s="17" t="b">
        <v>0</v>
      </c>
      <c r="T1368" s="17" t="b">
        <v>0</v>
      </c>
      <c r="U1368" s="17" t="b">
        <v>0</v>
      </c>
      <c r="V1368" s="17" t="b">
        <v>0</v>
      </c>
      <c r="W1368" s="11"/>
      <c r="X1368" s="12"/>
      <c r="Y1368" s="12"/>
      <c r="Z1368" s="13"/>
    </row>
    <row r="1369" spans="1:26" ht="19.899999999999999" customHeight="1" x14ac:dyDescent="0.25">
      <c r="A1369" s="6"/>
      <c r="B1369" s="7"/>
      <c r="C1369" s="8"/>
      <c r="D1369" s="8"/>
      <c r="E1369" s="8"/>
      <c r="F1369" s="9"/>
      <c r="G1369" s="9"/>
      <c r="H1369" s="9"/>
      <c r="I1369" s="9" t="s">
        <v>14</v>
      </c>
      <c r="J1369" s="10" t="s">
        <v>14</v>
      </c>
      <c r="K1369" s="15" t="e">
        <f>VLOOKUP(J1369,DADOS!$A$3:$B$105,2,FALSE)</f>
        <v>#N/A</v>
      </c>
      <c r="L1369" s="15"/>
      <c r="M1369" s="18" t="b">
        <v>0</v>
      </c>
      <c r="N1369" s="17" t="b">
        <v>0</v>
      </c>
      <c r="O1369" s="17" t="b">
        <v>0</v>
      </c>
      <c r="P1369" s="17" t="b">
        <v>0</v>
      </c>
      <c r="Q1369" s="17" t="b">
        <v>0</v>
      </c>
      <c r="R1369" s="17" t="b">
        <v>0</v>
      </c>
      <c r="S1369" s="17" t="b">
        <v>0</v>
      </c>
      <c r="T1369" s="17" t="b">
        <v>0</v>
      </c>
      <c r="U1369" s="17" t="b">
        <v>0</v>
      </c>
      <c r="V1369" s="17" t="b">
        <v>0</v>
      </c>
      <c r="W1369" s="11"/>
      <c r="X1369" s="12"/>
      <c r="Y1369" s="12"/>
      <c r="Z1369" s="13"/>
    </row>
    <row r="1370" spans="1:26" ht="19.899999999999999" customHeight="1" x14ac:dyDescent="0.25">
      <c r="A1370" s="6"/>
      <c r="B1370" s="7"/>
      <c r="C1370" s="8"/>
      <c r="D1370" s="8"/>
      <c r="E1370" s="8"/>
      <c r="F1370" s="9"/>
      <c r="G1370" s="9"/>
      <c r="H1370" s="9"/>
      <c r="I1370" s="9" t="s">
        <v>14</v>
      </c>
      <c r="J1370" s="10" t="s">
        <v>14</v>
      </c>
      <c r="K1370" s="15" t="e">
        <f>VLOOKUP(J1370,DADOS!$A$3:$B$105,2,FALSE)</f>
        <v>#N/A</v>
      </c>
      <c r="L1370" s="15"/>
      <c r="M1370" s="18" t="b">
        <v>0</v>
      </c>
      <c r="N1370" s="17" t="b">
        <v>0</v>
      </c>
      <c r="O1370" s="17" t="b">
        <v>0</v>
      </c>
      <c r="P1370" s="17" t="b">
        <v>0</v>
      </c>
      <c r="Q1370" s="17" t="b">
        <v>0</v>
      </c>
      <c r="R1370" s="17" t="b">
        <v>0</v>
      </c>
      <c r="S1370" s="17" t="b">
        <v>0</v>
      </c>
      <c r="T1370" s="17" t="b">
        <v>0</v>
      </c>
      <c r="U1370" s="17" t="b">
        <v>0</v>
      </c>
      <c r="V1370" s="17" t="b">
        <v>0</v>
      </c>
      <c r="W1370" s="11"/>
      <c r="X1370" s="12"/>
      <c r="Y1370" s="12"/>
      <c r="Z1370" s="13"/>
    </row>
    <row r="1371" spans="1:26" ht="19.899999999999999" customHeight="1" x14ac:dyDescent="0.25">
      <c r="A1371" s="6"/>
      <c r="B1371" s="7"/>
      <c r="C1371" s="8"/>
      <c r="D1371" s="8"/>
      <c r="E1371" s="8"/>
      <c r="F1371" s="9"/>
      <c r="G1371" s="9"/>
      <c r="H1371" s="9"/>
      <c r="I1371" s="9" t="s">
        <v>14</v>
      </c>
      <c r="J1371" s="10" t="s">
        <v>14</v>
      </c>
      <c r="K1371" s="15" t="e">
        <f>VLOOKUP(J1371,DADOS!$A$3:$B$105,2,FALSE)</f>
        <v>#N/A</v>
      </c>
      <c r="L1371" s="15"/>
      <c r="M1371" s="18" t="b">
        <v>0</v>
      </c>
      <c r="N1371" s="17" t="b">
        <v>0</v>
      </c>
      <c r="O1371" s="17" t="b">
        <v>0</v>
      </c>
      <c r="P1371" s="17" t="b">
        <v>0</v>
      </c>
      <c r="Q1371" s="17" t="b">
        <v>0</v>
      </c>
      <c r="R1371" s="17" t="b">
        <v>0</v>
      </c>
      <c r="S1371" s="17" t="b">
        <v>0</v>
      </c>
      <c r="T1371" s="17" t="b">
        <v>0</v>
      </c>
      <c r="U1371" s="17" t="b">
        <v>0</v>
      </c>
      <c r="V1371" s="17" t="b">
        <v>0</v>
      </c>
      <c r="W1371" s="11"/>
      <c r="X1371" s="12"/>
      <c r="Y1371" s="12"/>
      <c r="Z1371" s="13"/>
    </row>
    <row r="1372" spans="1:26" ht="19.899999999999999" customHeight="1" x14ac:dyDescent="0.25">
      <c r="A1372" s="6"/>
      <c r="B1372" s="7"/>
      <c r="C1372" s="8"/>
      <c r="D1372" s="8"/>
      <c r="E1372" s="8"/>
      <c r="F1372" s="9"/>
      <c r="G1372" s="9"/>
      <c r="H1372" s="9"/>
      <c r="I1372" s="9" t="s">
        <v>14</v>
      </c>
      <c r="J1372" s="10" t="s">
        <v>14</v>
      </c>
      <c r="K1372" s="15" t="e">
        <f>VLOOKUP(J1372,DADOS!$A$3:$B$105,2,FALSE)</f>
        <v>#N/A</v>
      </c>
      <c r="L1372" s="15"/>
      <c r="M1372" s="18" t="b">
        <v>0</v>
      </c>
      <c r="N1372" s="17" t="b">
        <v>0</v>
      </c>
      <c r="O1372" s="17" t="b">
        <v>0</v>
      </c>
      <c r="P1372" s="17" t="b">
        <v>0</v>
      </c>
      <c r="Q1372" s="17" t="b">
        <v>0</v>
      </c>
      <c r="R1372" s="17" t="b">
        <v>0</v>
      </c>
      <c r="S1372" s="17" t="b">
        <v>0</v>
      </c>
      <c r="T1372" s="17" t="b">
        <v>0</v>
      </c>
      <c r="U1372" s="17" t="b">
        <v>0</v>
      </c>
      <c r="V1372" s="17" t="b">
        <v>0</v>
      </c>
      <c r="W1372" s="11"/>
      <c r="X1372" s="12"/>
      <c r="Y1372" s="12"/>
      <c r="Z1372" s="13"/>
    </row>
    <row r="1373" spans="1:26" ht="19.899999999999999" customHeight="1" x14ac:dyDescent="0.25">
      <c r="A1373" s="6"/>
      <c r="B1373" s="7"/>
      <c r="C1373" s="8"/>
      <c r="D1373" s="8"/>
      <c r="E1373" s="8"/>
      <c r="F1373" s="9"/>
      <c r="G1373" s="9"/>
      <c r="H1373" s="9"/>
      <c r="I1373" s="9" t="s">
        <v>14</v>
      </c>
      <c r="J1373" s="10" t="s">
        <v>14</v>
      </c>
      <c r="K1373" s="15" t="e">
        <f>VLOOKUP(J1373,DADOS!$A$3:$B$105,2,FALSE)</f>
        <v>#N/A</v>
      </c>
      <c r="L1373" s="15"/>
      <c r="M1373" s="18" t="b">
        <v>0</v>
      </c>
      <c r="N1373" s="17" t="b">
        <v>0</v>
      </c>
      <c r="O1373" s="17" t="b">
        <v>0</v>
      </c>
      <c r="P1373" s="17" t="b">
        <v>0</v>
      </c>
      <c r="Q1373" s="17" t="b">
        <v>0</v>
      </c>
      <c r="R1373" s="17" t="b">
        <v>0</v>
      </c>
      <c r="S1373" s="17" t="b">
        <v>0</v>
      </c>
      <c r="T1373" s="17" t="b">
        <v>0</v>
      </c>
      <c r="U1373" s="17" t="b">
        <v>0</v>
      </c>
      <c r="V1373" s="17" t="b">
        <v>0</v>
      </c>
      <c r="W1373" s="11"/>
      <c r="X1373" s="12"/>
      <c r="Y1373" s="12"/>
      <c r="Z1373" s="13"/>
    </row>
    <row r="1374" spans="1:26" ht="19.899999999999999" customHeight="1" x14ac:dyDescent="0.25">
      <c r="A1374" s="6"/>
      <c r="B1374" s="7"/>
      <c r="C1374" s="8"/>
      <c r="D1374" s="8"/>
      <c r="E1374" s="8"/>
      <c r="F1374" s="9"/>
      <c r="G1374" s="9"/>
      <c r="H1374" s="9"/>
      <c r="I1374" s="9" t="s">
        <v>14</v>
      </c>
      <c r="J1374" s="10" t="s">
        <v>14</v>
      </c>
      <c r="K1374" s="15" t="e">
        <f>VLOOKUP(J1374,DADOS!$A$3:$B$105,2,FALSE)</f>
        <v>#N/A</v>
      </c>
      <c r="L1374" s="15"/>
      <c r="M1374" s="18" t="b">
        <v>0</v>
      </c>
      <c r="N1374" s="17" t="b">
        <v>0</v>
      </c>
      <c r="O1374" s="17" t="b">
        <v>0</v>
      </c>
      <c r="P1374" s="17" t="b">
        <v>0</v>
      </c>
      <c r="Q1374" s="17" t="b">
        <v>0</v>
      </c>
      <c r="R1374" s="17" t="b">
        <v>0</v>
      </c>
      <c r="S1374" s="17" t="b">
        <v>0</v>
      </c>
      <c r="T1374" s="17" t="b">
        <v>0</v>
      </c>
      <c r="U1374" s="17" t="b">
        <v>0</v>
      </c>
      <c r="V1374" s="17" t="b">
        <v>0</v>
      </c>
      <c r="W1374" s="11"/>
      <c r="X1374" s="12"/>
      <c r="Y1374" s="12"/>
      <c r="Z1374" s="13"/>
    </row>
    <row r="1375" spans="1:26" ht="19.899999999999999" customHeight="1" x14ac:dyDescent="0.25">
      <c r="A1375" s="6"/>
      <c r="B1375" s="7"/>
      <c r="C1375" s="8"/>
      <c r="D1375" s="8"/>
      <c r="E1375" s="8"/>
      <c r="F1375" s="9"/>
      <c r="G1375" s="9"/>
      <c r="H1375" s="9"/>
      <c r="I1375" s="9" t="s">
        <v>14</v>
      </c>
      <c r="J1375" s="10" t="s">
        <v>14</v>
      </c>
      <c r="K1375" s="15" t="e">
        <f>VLOOKUP(J1375,DADOS!$A$3:$B$105,2,FALSE)</f>
        <v>#N/A</v>
      </c>
      <c r="L1375" s="15"/>
      <c r="M1375" s="18" t="b">
        <v>0</v>
      </c>
      <c r="N1375" s="17" t="b">
        <v>0</v>
      </c>
      <c r="O1375" s="17" t="b">
        <v>0</v>
      </c>
      <c r="P1375" s="17" t="b">
        <v>0</v>
      </c>
      <c r="Q1375" s="17" t="b">
        <v>0</v>
      </c>
      <c r="R1375" s="17" t="b">
        <v>0</v>
      </c>
      <c r="S1375" s="17" t="b">
        <v>0</v>
      </c>
      <c r="T1375" s="17" t="b">
        <v>0</v>
      </c>
      <c r="U1375" s="17" t="b">
        <v>0</v>
      </c>
      <c r="V1375" s="17" t="b">
        <v>0</v>
      </c>
      <c r="W1375" s="11"/>
      <c r="X1375" s="12"/>
      <c r="Y1375" s="12"/>
      <c r="Z1375" s="13"/>
    </row>
    <row r="1376" spans="1:26" ht="19.899999999999999" customHeight="1" x14ac:dyDescent="0.25">
      <c r="A1376" s="6"/>
      <c r="B1376" s="7"/>
      <c r="C1376" s="8"/>
      <c r="D1376" s="8"/>
      <c r="E1376" s="8"/>
      <c r="F1376" s="9"/>
      <c r="G1376" s="9"/>
      <c r="H1376" s="9"/>
      <c r="I1376" s="9" t="s">
        <v>14</v>
      </c>
      <c r="J1376" s="10" t="s">
        <v>14</v>
      </c>
      <c r="K1376" s="15" t="e">
        <f>VLOOKUP(J1376,DADOS!$A$3:$B$105,2,FALSE)</f>
        <v>#N/A</v>
      </c>
      <c r="L1376" s="15"/>
      <c r="M1376" s="18" t="b">
        <v>0</v>
      </c>
      <c r="N1376" s="17" t="b">
        <v>0</v>
      </c>
      <c r="O1376" s="17" t="b">
        <v>0</v>
      </c>
      <c r="P1376" s="17" t="b">
        <v>0</v>
      </c>
      <c r="Q1376" s="17" t="b">
        <v>0</v>
      </c>
      <c r="R1376" s="17" t="b">
        <v>0</v>
      </c>
      <c r="S1376" s="17" t="b">
        <v>0</v>
      </c>
      <c r="T1376" s="17" t="b">
        <v>0</v>
      </c>
      <c r="U1376" s="17" t="b">
        <v>0</v>
      </c>
      <c r="V1376" s="17" t="b">
        <v>0</v>
      </c>
      <c r="W1376" s="11"/>
      <c r="X1376" s="12"/>
      <c r="Y1376" s="12"/>
      <c r="Z1376" s="13"/>
    </row>
    <row r="1377" spans="1:26" ht="19.899999999999999" customHeight="1" x14ac:dyDescent="0.25">
      <c r="A1377" s="6"/>
      <c r="B1377" s="7"/>
      <c r="C1377" s="8"/>
      <c r="D1377" s="8"/>
      <c r="E1377" s="8"/>
      <c r="F1377" s="9"/>
      <c r="G1377" s="9"/>
      <c r="H1377" s="9"/>
      <c r="I1377" s="9" t="s">
        <v>14</v>
      </c>
      <c r="J1377" s="10" t="s">
        <v>14</v>
      </c>
      <c r="K1377" s="15" t="e">
        <f>VLOOKUP(J1377,DADOS!$A$3:$B$105,2,FALSE)</f>
        <v>#N/A</v>
      </c>
      <c r="L1377" s="15"/>
      <c r="M1377" s="18" t="b">
        <v>0</v>
      </c>
      <c r="N1377" s="17" t="b">
        <v>0</v>
      </c>
      <c r="O1377" s="17" t="b">
        <v>0</v>
      </c>
      <c r="P1377" s="17" t="b">
        <v>0</v>
      </c>
      <c r="Q1377" s="17" t="b">
        <v>0</v>
      </c>
      <c r="R1377" s="17" t="b">
        <v>0</v>
      </c>
      <c r="S1377" s="17" t="b">
        <v>0</v>
      </c>
      <c r="T1377" s="17" t="b">
        <v>0</v>
      </c>
      <c r="U1377" s="17" t="b">
        <v>0</v>
      </c>
      <c r="V1377" s="17" t="b">
        <v>0</v>
      </c>
      <c r="W1377" s="11"/>
      <c r="X1377" s="12"/>
      <c r="Y1377" s="12"/>
      <c r="Z1377" s="13"/>
    </row>
    <row r="1378" spans="1:26" ht="19.899999999999999" customHeight="1" x14ac:dyDescent="0.25">
      <c r="A1378" s="6"/>
      <c r="B1378" s="7"/>
      <c r="C1378" s="8"/>
      <c r="D1378" s="8"/>
      <c r="E1378" s="8"/>
      <c r="F1378" s="9"/>
      <c r="G1378" s="9"/>
      <c r="H1378" s="9"/>
      <c r="I1378" s="9" t="s">
        <v>14</v>
      </c>
      <c r="J1378" s="10" t="s">
        <v>14</v>
      </c>
      <c r="K1378" s="15" t="e">
        <f>VLOOKUP(J1378,DADOS!$A$3:$B$105,2,FALSE)</f>
        <v>#N/A</v>
      </c>
      <c r="L1378" s="15"/>
      <c r="M1378" s="18" t="b">
        <v>0</v>
      </c>
      <c r="N1378" s="17" t="b">
        <v>0</v>
      </c>
      <c r="O1378" s="17" t="b">
        <v>0</v>
      </c>
      <c r="P1378" s="17" t="b">
        <v>0</v>
      </c>
      <c r="Q1378" s="17" t="b">
        <v>0</v>
      </c>
      <c r="R1378" s="17" t="b">
        <v>0</v>
      </c>
      <c r="S1378" s="17" t="b">
        <v>0</v>
      </c>
      <c r="T1378" s="17" t="b">
        <v>0</v>
      </c>
      <c r="U1378" s="17" t="b">
        <v>0</v>
      </c>
      <c r="V1378" s="17" t="b">
        <v>0</v>
      </c>
      <c r="W1378" s="11"/>
      <c r="X1378" s="12"/>
      <c r="Y1378" s="12"/>
      <c r="Z1378" s="13"/>
    </row>
    <row r="1379" spans="1:26" ht="19.899999999999999" customHeight="1" x14ac:dyDescent="0.25">
      <c r="A1379" s="6"/>
      <c r="B1379" s="7"/>
      <c r="C1379" s="8"/>
      <c r="D1379" s="8"/>
      <c r="E1379" s="8"/>
      <c r="F1379" s="9"/>
      <c r="G1379" s="9"/>
      <c r="H1379" s="9"/>
      <c r="I1379" s="9" t="s">
        <v>14</v>
      </c>
      <c r="J1379" s="10" t="s">
        <v>14</v>
      </c>
      <c r="K1379" s="15" t="e">
        <f>VLOOKUP(J1379,DADOS!$A$3:$B$105,2,FALSE)</f>
        <v>#N/A</v>
      </c>
      <c r="L1379" s="15"/>
      <c r="M1379" s="18" t="b">
        <v>0</v>
      </c>
      <c r="N1379" s="17" t="b">
        <v>0</v>
      </c>
      <c r="O1379" s="17" t="b">
        <v>0</v>
      </c>
      <c r="P1379" s="17" t="b">
        <v>0</v>
      </c>
      <c r="Q1379" s="17" t="b">
        <v>0</v>
      </c>
      <c r="R1379" s="17" t="b">
        <v>0</v>
      </c>
      <c r="S1379" s="17" t="b">
        <v>0</v>
      </c>
      <c r="T1379" s="17" t="b">
        <v>0</v>
      </c>
      <c r="U1379" s="17" t="b">
        <v>0</v>
      </c>
      <c r="V1379" s="17" t="b">
        <v>0</v>
      </c>
      <c r="W1379" s="11"/>
      <c r="X1379" s="12"/>
      <c r="Y1379" s="12"/>
      <c r="Z1379" s="13"/>
    </row>
    <row r="1380" spans="1:26" ht="19.899999999999999" customHeight="1" x14ac:dyDescent="0.25">
      <c r="A1380" s="6"/>
      <c r="B1380" s="7"/>
      <c r="C1380" s="8"/>
      <c r="D1380" s="8"/>
      <c r="E1380" s="8"/>
      <c r="F1380" s="9"/>
      <c r="G1380" s="9"/>
      <c r="H1380" s="9"/>
      <c r="I1380" s="9" t="s">
        <v>14</v>
      </c>
      <c r="J1380" s="10" t="s">
        <v>14</v>
      </c>
      <c r="K1380" s="15" t="e">
        <f>VLOOKUP(J1380,DADOS!$A$3:$B$105,2,FALSE)</f>
        <v>#N/A</v>
      </c>
      <c r="L1380" s="15"/>
      <c r="M1380" s="18" t="b">
        <v>0</v>
      </c>
      <c r="N1380" s="17" t="b">
        <v>0</v>
      </c>
      <c r="O1380" s="17" t="b">
        <v>0</v>
      </c>
      <c r="P1380" s="17" t="b">
        <v>0</v>
      </c>
      <c r="Q1380" s="17" t="b">
        <v>0</v>
      </c>
      <c r="R1380" s="17" t="b">
        <v>0</v>
      </c>
      <c r="S1380" s="17" t="b">
        <v>0</v>
      </c>
      <c r="T1380" s="17" t="b">
        <v>0</v>
      </c>
      <c r="U1380" s="17" t="b">
        <v>0</v>
      </c>
      <c r="V1380" s="17" t="b">
        <v>0</v>
      </c>
      <c r="W1380" s="11"/>
      <c r="X1380" s="12"/>
      <c r="Y1380" s="12"/>
      <c r="Z1380" s="13"/>
    </row>
    <row r="1381" spans="1:26" ht="19.899999999999999" customHeight="1" x14ac:dyDescent="0.25">
      <c r="A1381" s="6"/>
      <c r="B1381" s="7"/>
      <c r="C1381" s="8"/>
      <c r="D1381" s="8"/>
      <c r="E1381" s="8"/>
      <c r="F1381" s="9"/>
      <c r="G1381" s="9"/>
      <c r="H1381" s="9"/>
      <c r="I1381" s="9" t="s">
        <v>14</v>
      </c>
      <c r="J1381" s="10" t="s">
        <v>14</v>
      </c>
      <c r="K1381" s="15" t="e">
        <f>VLOOKUP(J1381,DADOS!$A$3:$B$105,2,FALSE)</f>
        <v>#N/A</v>
      </c>
      <c r="L1381" s="15"/>
      <c r="M1381" s="18" t="b">
        <v>0</v>
      </c>
      <c r="N1381" s="17" t="b">
        <v>0</v>
      </c>
      <c r="O1381" s="17" t="b">
        <v>0</v>
      </c>
      <c r="P1381" s="17" t="b">
        <v>0</v>
      </c>
      <c r="Q1381" s="17" t="b">
        <v>0</v>
      </c>
      <c r="R1381" s="17" t="b">
        <v>0</v>
      </c>
      <c r="S1381" s="17" t="b">
        <v>0</v>
      </c>
      <c r="T1381" s="17" t="b">
        <v>0</v>
      </c>
      <c r="U1381" s="17" t="b">
        <v>0</v>
      </c>
      <c r="V1381" s="17" t="b">
        <v>0</v>
      </c>
      <c r="W1381" s="11"/>
      <c r="X1381" s="12"/>
      <c r="Y1381" s="12"/>
      <c r="Z1381" s="13"/>
    </row>
    <row r="1382" spans="1:26" ht="19.899999999999999" customHeight="1" x14ac:dyDescent="0.25">
      <c r="A1382" s="6"/>
      <c r="B1382" s="7"/>
      <c r="C1382" s="8"/>
      <c r="D1382" s="8"/>
      <c r="E1382" s="8"/>
      <c r="F1382" s="9"/>
      <c r="G1382" s="9"/>
      <c r="H1382" s="9"/>
      <c r="I1382" s="9" t="s">
        <v>14</v>
      </c>
      <c r="J1382" s="10" t="s">
        <v>14</v>
      </c>
      <c r="K1382" s="15" t="e">
        <f>VLOOKUP(J1382,DADOS!$A$3:$B$105,2,FALSE)</f>
        <v>#N/A</v>
      </c>
      <c r="L1382" s="15"/>
      <c r="M1382" s="18" t="b">
        <v>0</v>
      </c>
      <c r="N1382" s="17" t="b">
        <v>0</v>
      </c>
      <c r="O1382" s="17" t="b">
        <v>0</v>
      </c>
      <c r="P1382" s="17" t="b">
        <v>0</v>
      </c>
      <c r="Q1382" s="17" t="b">
        <v>0</v>
      </c>
      <c r="R1382" s="17" t="b">
        <v>0</v>
      </c>
      <c r="S1382" s="17" t="b">
        <v>0</v>
      </c>
      <c r="T1382" s="17" t="b">
        <v>0</v>
      </c>
      <c r="U1382" s="17" t="b">
        <v>0</v>
      </c>
      <c r="V1382" s="17" t="b">
        <v>0</v>
      </c>
      <c r="W1382" s="11"/>
      <c r="X1382" s="12"/>
      <c r="Y1382" s="12"/>
      <c r="Z1382" s="13"/>
    </row>
    <row r="1383" spans="1:26" ht="19.899999999999999" customHeight="1" x14ac:dyDescent="0.25">
      <c r="A1383" s="6"/>
      <c r="B1383" s="7"/>
      <c r="C1383" s="8"/>
      <c r="D1383" s="8"/>
      <c r="E1383" s="8"/>
      <c r="F1383" s="9"/>
      <c r="G1383" s="9"/>
      <c r="H1383" s="9"/>
      <c r="I1383" s="9" t="s">
        <v>14</v>
      </c>
      <c r="J1383" s="10" t="s">
        <v>14</v>
      </c>
      <c r="K1383" s="15" t="e">
        <f>VLOOKUP(J1383,DADOS!$A$3:$B$105,2,FALSE)</f>
        <v>#N/A</v>
      </c>
      <c r="L1383" s="15"/>
      <c r="M1383" s="18" t="b">
        <v>0</v>
      </c>
      <c r="N1383" s="17" t="b">
        <v>0</v>
      </c>
      <c r="O1383" s="17" t="b">
        <v>0</v>
      </c>
      <c r="P1383" s="17" t="b">
        <v>0</v>
      </c>
      <c r="Q1383" s="17" t="b">
        <v>0</v>
      </c>
      <c r="R1383" s="17" t="b">
        <v>0</v>
      </c>
      <c r="S1383" s="17" t="b">
        <v>0</v>
      </c>
      <c r="T1383" s="17" t="b">
        <v>0</v>
      </c>
      <c r="U1383" s="17" t="b">
        <v>0</v>
      </c>
      <c r="V1383" s="17" t="b">
        <v>0</v>
      </c>
      <c r="W1383" s="11"/>
      <c r="X1383" s="12"/>
      <c r="Y1383" s="12"/>
      <c r="Z1383" s="13"/>
    </row>
    <row r="1384" spans="1:26" ht="19.899999999999999" customHeight="1" x14ac:dyDescent="0.25">
      <c r="A1384" s="6"/>
      <c r="B1384" s="7"/>
      <c r="C1384" s="8"/>
      <c r="D1384" s="8"/>
      <c r="E1384" s="8"/>
      <c r="F1384" s="9"/>
      <c r="G1384" s="9"/>
      <c r="H1384" s="9"/>
      <c r="I1384" s="9" t="s">
        <v>14</v>
      </c>
      <c r="J1384" s="10" t="s">
        <v>14</v>
      </c>
      <c r="K1384" s="15" t="e">
        <f>VLOOKUP(J1384,DADOS!$A$3:$B$105,2,FALSE)</f>
        <v>#N/A</v>
      </c>
      <c r="L1384" s="15"/>
      <c r="M1384" s="18" t="b">
        <v>0</v>
      </c>
      <c r="N1384" s="17" t="b">
        <v>0</v>
      </c>
      <c r="O1384" s="17" t="b">
        <v>0</v>
      </c>
      <c r="P1384" s="17" t="b">
        <v>0</v>
      </c>
      <c r="Q1384" s="17" t="b">
        <v>0</v>
      </c>
      <c r="R1384" s="17" t="b">
        <v>0</v>
      </c>
      <c r="S1384" s="17" t="b">
        <v>0</v>
      </c>
      <c r="T1384" s="17" t="b">
        <v>0</v>
      </c>
      <c r="U1384" s="17" t="b">
        <v>0</v>
      </c>
      <c r="V1384" s="17" t="b">
        <v>0</v>
      </c>
      <c r="W1384" s="11"/>
      <c r="X1384" s="12"/>
      <c r="Y1384" s="12"/>
      <c r="Z1384" s="13"/>
    </row>
    <row r="1385" spans="1:26" ht="19.899999999999999" customHeight="1" x14ac:dyDescent="0.25">
      <c r="A1385" s="6"/>
      <c r="B1385" s="7"/>
      <c r="C1385" s="8"/>
      <c r="D1385" s="8"/>
      <c r="E1385" s="8"/>
      <c r="F1385" s="9"/>
      <c r="G1385" s="9"/>
      <c r="H1385" s="9"/>
      <c r="I1385" s="9" t="s">
        <v>14</v>
      </c>
      <c r="J1385" s="10" t="s">
        <v>14</v>
      </c>
      <c r="K1385" s="15" t="e">
        <f>VLOOKUP(J1385,DADOS!$A$3:$B$105,2,FALSE)</f>
        <v>#N/A</v>
      </c>
      <c r="L1385" s="15"/>
      <c r="M1385" s="18" t="b">
        <v>0</v>
      </c>
      <c r="N1385" s="17" t="b">
        <v>0</v>
      </c>
      <c r="O1385" s="17" t="b">
        <v>0</v>
      </c>
      <c r="P1385" s="17" t="b">
        <v>0</v>
      </c>
      <c r="Q1385" s="17" t="b">
        <v>0</v>
      </c>
      <c r="R1385" s="17" t="b">
        <v>0</v>
      </c>
      <c r="S1385" s="17" t="b">
        <v>0</v>
      </c>
      <c r="T1385" s="17" t="b">
        <v>0</v>
      </c>
      <c r="U1385" s="17" t="b">
        <v>0</v>
      </c>
      <c r="V1385" s="17" t="b">
        <v>0</v>
      </c>
      <c r="W1385" s="11"/>
      <c r="X1385" s="12"/>
      <c r="Y1385" s="12"/>
      <c r="Z1385" s="13"/>
    </row>
    <row r="1386" spans="1:26" ht="19.899999999999999" customHeight="1" x14ac:dyDescent="0.25">
      <c r="A1386" s="6"/>
      <c r="B1386" s="7"/>
      <c r="C1386" s="8"/>
      <c r="D1386" s="8"/>
      <c r="E1386" s="8"/>
      <c r="F1386" s="9"/>
      <c r="G1386" s="9"/>
      <c r="H1386" s="9"/>
      <c r="I1386" s="9" t="s">
        <v>14</v>
      </c>
      <c r="J1386" s="10" t="s">
        <v>14</v>
      </c>
      <c r="K1386" s="15" t="e">
        <f>VLOOKUP(J1386,DADOS!$A$3:$B$105,2,FALSE)</f>
        <v>#N/A</v>
      </c>
      <c r="L1386" s="15"/>
      <c r="M1386" s="18" t="b">
        <v>0</v>
      </c>
      <c r="N1386" s="17" t="b">
        <v>0</v>
      </c>
      <c r="O1386" s="17" t="b">
        <v>0</v>
      </c>
      <c r="P1386" s="17" t="b">
        <v>0</v>
      </c>
      <c r="Q1386" s="17" t="b">
        <v>0</v>
      </c>
      <c r="R1386" s="17" t="b">
        <v>0</v>
      </c>
      <c r="S1386" s="17" t="b">
        <v>0</v>
      </c>
      <c r="T1386" s="17" t="b">
        <v>0</v>
      </c>
      <c r="U1386" s="17" t="b">
        <v>0</v>
      </c>
      <c r="V1386" s="17" t="b">
        <v>0</v>
      </c>
      <c r="W1386" s="11"/>
      <c r="X1386" s="12"/>
      <c r="Y1386" s="12"/>
      <c r="Z1386" s="13"/>
    </row>
    <row r="1387" spans="1:26" ht="19.899999999999999" customHeight="1" x14ac:dyDescent="0.25">
      <c r="A1387" s="6"/>
      <c r="B1387" s="7"/>
      <c r="C1387" s="8"/>
      <c r="D1387" s="8"/>
      <c r="E1387" s="8"/>
      <c r="F1387" s="9"/>
      <c r="G1387" s="9"/>
      <c r="H1387" s="9"/>
      <c r="I1387" s="9" t="s">
        <v>14</v>
      </c>
      <c r="J1387" s="10" t="s">
        <v>14</v>
      </c>
      <c r="K1387" s="15" t="e">
        <f>VLOOKUP(J1387,DADOS!$A$3:$B$105,2,FALSE)</f>
        <v>#N/A</v>
      </c>
      <c r="L1387" s="15"/>
      <c r="M1387" s="18" t="b">
        <v>0</v>
      </c>
      <c r="N1387" s="17" t="b">
        <v>0</v>
      </c>
      <c r="O1387" s="17" t="b">
        <v>0</v>
      </c>
      <c r="P1387" s="17" t="b">
        <v>0</v>
      </c>
      <c r="Q1387" s="17" t="b">
        <v>0</v>
      </c>
      <c r="R1387" s="17" t="b">
        <v>0</v>
      </c>
      <c r="S1387" s="17" t="b">
        <v>0</v>
      </c>
      <c r="T1387" s="17" t="b">
        <v>0</v>
      </c>
      <c r="U1387" s="17" t="b">
        <v>0</v>
      </c>
      <c r="V1387" s="17" t="b">
        <v>0</v>
      </c>
      <c r="W1387" s="11"/>
      <c r="X1387" s="12"/>
      <c r="Y1387" s="12"/>
      <c r="Z1387" s="13"/>
    </row>
    <row r="1388" spans="1:26" ht="19.899999999999999" customHeight="1" x14ac:dyDescent="0.25">
      <c r="A1388" s="6"/>
      <c r="B1388" s="7"/>
      <c r="C1388" s="8"/>
      <c r="D1388" s="8"/>
      <c r="E1388" s="8"/>
      <c r="F1388" s="9"/>
      <c r="G1388" s="9"/>
      <c r="H1388" s="9"/>
      <c r="I1388" s="9" t="s">
        <v>14</v>
      </c>
      <c r="J1388" s="10" t="s">
        <v>14</v>
      </c>
      <c r="K1388" s="15" t="e">
        <f>VLOOKUP(J1388,DADOS!$A$3:$B$105,2,FALSE)</f>
        <v>#N/A</v>
      </c>
      <c r="L1388" s="15"/>
      <c r="M1388" s="18" t="b">
        <v>0</v>
      </c>
      <c r="N1388" s="17" t="b">
        <v>0</v>
      </c>
      <c r="O1388" s="17" t="b">
        <v>0</v>
      </c>
      <c r="P1388" s="17" t="b">
        <v>0</v>
      </c>
      <c r="Q1388" s="17" t="b">
        <v>0</v>
      </c>
      <c r="R1388" s="17" t="b">
        <v>0</v>
      </c>
      <c r="S1388" s="17" t="b">
        <v>0</v>
      </c>
      <c r="T1388" s="17" t="b">
        <v>0</v>
      </c>
      <c r="U1388" s="17" t="b">
        <v>0</v>
      </c>
      <c r="V1388" s="17" t="b">
        <v>0</v>
      </c>
      <c r="W1388" s="11"/>
      <c r="X1388" s="12"/>
      <c r="Y1388" s="12"/>
      <c r="Z1388" s="13"/>
    </row>
    <row r="1389" spans="1:26" ht="19.899999999999999" customHeight="1" x14ac:dyDescent="0.25">
      <c r="A1389" s="6"/>
      <c r="B1389" s="7"/>
      <c r="C1389" s="8"/>
      <c r="D1389" s="8"/>
      <c r="E1389" s="8"/>
      <c r="F1389" s="9"/>
      <c r="G1389" s="9"/>
      <c r="H1389" s="9"/>
      <c r="I1389" s="9" t="s">
        <v>14</v>
      </c>
      <c r="J1389" s="10" t="s">
        <v>14</v>
      </c>
      <c r="K1389" s="15" t="e">
        <f>VLOOKUP(J1389,DADOS!$A$3:$B$105,2,FALSE)</f>
        <v>#N/A</v>
      </c>
      <c r="L1389" s="15"/>
      <c r="M1389" s="18" t="b">
        <v>0</v>
      </c>
      <c r="N1389" s="17" t="b">
        <v>0</v>
      </c>
      <c r="O1389" s="17" t="b">
        <v>0</v>
      </c>
      <c r="P1389" s="17" t="b">
        <v>0</v>
      </c>
      <c r="Q1389" s="17" t="b">
        <v>0</v>
      </c>
      <c r="R1389" s="17" t="b">
        <v>0</v>
      </c>
      <c r="S1389" s="17" t="b">
        <v>0</v>
      </c>
      <c r="T1389" s="17" t="b">
        <v>0</v>
      </c>
      <c r="U1389" s="17" t="b">
        <v>0</v>
      </c>
      <c r="V1389" s="17" t="b">
        <v>0</v>
      </c>
      <c r="W1389" s="11"/>
      <c r="X1389" s="12"/>
      <c r="Y1389" s="12"/>
      <c r="Z1389" s="13"/>
    </row>
    <row r="1390" spans="1:26" ht="19.899999999999999" customHeight="1" x14ac:dyDescent="0.25">
      <c r="A1390" s="6"/>
      <c r="B1390" s="7"/>
      <c r="C1390" s="8"/>
      <c r="D1390" s="8"/>
      <c r="E1390" s="8"/>
      <c r="F1390" s="9"/>
      <c r="G1390" s="9"/>
      <c r="H1390" s="9"/>
      <c r="I1390" s="9" t="s">
        <v>14</v>
      </c>
      <c r="J1390" s="10" t="s">
        <v>14</v>
      </c>
      <c r="K1390" s="15" t="e">
        <f>VLOOKUP(J1390,DADOS!$A$3:$B$105,2,FALSE)</f>
        <v>#N/A</v>
      </c>
      <c r="L1390" s="15"/>
      <c r="M1390" s="18" t="b">
        <v>0</v>
      </c>
      <c r="N1390" s="17" t="b">
        <v>0</v>
      </c>
      <c r="O1390" s="17" t="b">
        <v>0</v>
      </c>
      <c r="P1390" s="17" t="b">
        <v>0</v>
      </c>
      <c r="Q1390" s="17" t="b">
        <v>0</v>
      </c>
      <c r="R1390" s="17" t="b">
        <v>0</v>
      </c>
      <c r="S1390" s="17" t="b">
        <v>0</v>
      </c>
      <c r="T1390" s="17" t="b">
        <v>0</v>
      </c>
      <c r="U1390" s="17" t="b">
        <v>0</v>
      </c>
      <c r="V1390" s="17" t="b">
        <v>0</v>
      </c>
      <c r="W1390" s="11"/>
      <c r="X1390" s="12"/>
      <c r="Y1390" s="12"/>
      <c r="Z1390" s="13"/>
    </row>
    <row r="1391" spans="1:26" ht="19.899999999999999" customHeight="1" x14ac:dyDescent="0.25">
      <c r="A1391" s="6"/>
      <c r="B1391" s="7"/>
      <c r="C1391" s="8"/>
      <c r="D1391" s="8"/>
      <c r="E1391" s="8"/>
      <c r="F1391" s="9"/>
      <c r="G1391" s="9"/>
      <c r="H1391" s="9"/>
      <c r="I1391" s="9" t="s">
        <v>14</v>
      </c>
      <c r="J1391" s="10" t="s">
        <v>14</v>
      </c>
      <c r="K1391" s="15" t="e">
        <f>VLOOKUP(J1391,DADOS!$A$3:$B$105,2,FALSE)</f>
        <v>#N/A</v>
      </c>
      <c r="L1391" s="15"/>
      <c r="M1391" s="18" t="b">
        <v>0</v>
      </c>
      <c r="N1391" s="17" t="b">
        <v>0</v>
      </c>
      <c r="O1391" s="17" t="b">
        <v>0</v>
      </c>
      <c r="P1391" s="17" t="b">
        <v>0</v>
      </c>
      <c r="Q1391" s="17" t="b">
        <v>0</v>
      </c>
      <c r="R1391" s="17" t="b">
        <v>0</v>
      </c>
      <c r="S1391" s="17" t="b">
        <v>0</v>
      </c>
      <c r="T1391" s="17" t="b">
        <v>0</v>
      </c>
      <c r="U1391" s="17" t="b">
        <v>0</v>
      </c>
      <c r="V1391" s="17" t="b">
        <v>0</v>
      </c>
      <c r="W1391" s="11"/>
      <c r="X1391" s="12"/>
      <c r="Y1391" s="12"/>
      <c r="Z1391" s="13"/>
    </row>
    <row r="1392" spans="1:26" ht="19.899999999999999" customHeight="1" x14ac:dyDescent="0.25">
      <c r="A1392" s="6"/>
      <c r="B1392" s="7"/>
      <c r="C1392" s="8"/>
      <c r="D1392" s="8"/>
      <c r="E1392" s="8"/>
      <c r="F1392" s="9"/>
      <c r="G1392" s="9"/>
      <c r="H1392" s="9"/>
      <c r="I1392" s="9" t="s">
        <v>14</v>
      </c>
      <c r="J1392" s="10" t="s">
        <v>14</v>
      </c>
      <c r="K1392" s="15" t="e">
        <f>VLOOKUP(J1392,DADOS!$A$3:$B$105,2,FALSE)</f>
        <v>#N/A</v>
      </c>
      <c r="L1392" s="15"/>
      <c r="M1392" s="18" t="b">
        <v>0</v>
      </c>
      <c r="N1392" s="17" t="b">
        <v>0</v>
      </c>
      <c r="O1392" s="17" t="b">
        <v>0</v>
      </c>
      <c r="P1392" s="17" t="b">
        <v>0</v>
      </c>
      <c r="Q1392" s="17" t="b">
        <v>0</v>
      </c>
      <c r="R1392" s="17" t="b">
        <v>0</v>
      </c>
      <c r="S1392" s="17" t="b">
        <v>0</v>
      </c>
      <c r="T1392" s="17" t="b">
        <v>0</v>
      </c>
      <c r="U1392" s="17" t="b">
        <v>0</v>
      </c>
      <c r="V1392" s="17" t="b">
        <v>0</v>
      </c>
      <c r="W1392" s="11"/>
      <c r="X1392" s="12"/>
      <c r="Y1392" s="12"/>
      <c r="Z1392" s="13"/>
    </row>
    <row r="1393" spans="1:26" ht="19.899999999999999" customHeight="1" x14ac:dyDescent="0.25">
      <c r="A1393" s="6"/>
      <c r="B1393" s="7"/>
      <c r="C1393" s="8"/>
      <c r="D1393" s="8"/>
      <c r="E1393" s="8"/>
      <c r="F1393" s="9"/>
      <c r="G1393" s="9"/>
      <c r="H1393" s="9"/>
      <c r="I1393" s="9" t="s">
        <v>14</v>
      </c>
      <c r="J1393" s="10" t="s">
        <v>14</v>
      </c>
      <c r="K1393" s="15" t="e">
        <f>VLOOKUP(J1393,DADOS!$A$3:$B$105,2,FALSE)</f>
        <v>#N/A</v>
      </c>
      <c r="L1393" s="15"/>
      <c r="M1393" s="18" t="b">
        <v>0</v>
      </c>
      <c r="N1393" s="17" t="b">
        <v>0</v>
      </c>
      <c r="O1393" s="17" t="b">
        <v>0</v>
      </c>
      <c r="P1393" s="17" t="b">
        <v>0</v>
      </c>
      <c r="Q1393" s="17" t="b">
        <v>0</v>
      </c>
      <c r="R1393" s="17" t="b">
        <v>0</v>
      </c>
      <c r="S1393" s="17" t="b">
        <v>0</v>
      </c>
      <c r="T1393" s="17" t="b">
        <v>0</v>
      </c>
      <c r="U1393" s="17" t="b">
        <v>0</v>
      </c>
      <c r="V1393" s="17" t="b">
        <v>0</v>
      </c>
      <c r="W1393" s="11"/>
      <c r="X1393" s="12"/>
      <c r="Y1393" s="12"/>
      <c r="Z1393" s="13"/>
    </row>
    <row r="1394" spans="1:26" ht="19.899999999999999" customHeight="1" x14ac:dyDescent="0.25">
      <c r="A1394" s="6"/>
      <c r="B1394" s="7"/>
      <c r="C1394" s="8"/>
      <c r="D1394" s="8"/>
      <c r="E1394" s="8"/>
      <c r="F1394" s="9"/>
      <c r="G1394" s="9"/>
      <c r="H1394" s="9"/>
      <c r="I1394" s="9" t="s">
        <v>14</v>
      </c>
      <c r="J1394" s="10" t="s">
        <v>14</v>
      </c>
      <c r="K1394" s="15" t="e">
        <f>VLOOKUP(J1394,DADOS!$A$3:$B$105,2,FALSE)</f>
        <v>#N/A</v>
      </c>
      <c r="L1394" s="15"/>
      <c r="M1394" s="18" t="b">
        <v>0</v>
      </c>
      <c r="N1394" s="17" t="b">
        <v>0</v>
      </c>
      <c r="O1394" s="17" t="b">
        <v>0</v>
      </c>
      <c r="P1394" s="17" t="b">
        <v>0</v>
      </c>
      <c r="Q1394" s="17" t="b">
        <v>0</v>
      </c>
      <c r="R1394" s="17" t="b">
        <v>0</v>
      </c>
      <c r="S1394" s="17" t="b">
        <v>0</v>
      </c>
      <c r="T1394" s="17" t="b">
        <v>0</v>
      </c>
      <c r="U1394" s="17" t="b">
        <v>0</v>
      </c>
      <c r="V1394" s="17" t="b">
        <v>0</v>
      </c>
      <c r="W1394" s="11"/>
      <c r="X1394" s="12"/>
      <c r="Y1394" s="12"/>
      <c r="Z1394" s="13"/>
    </row>
    <row r="1395" spans="1:26" ht="19.899999999999999" customHeight="1" x14ac:dyDescent="0.25">
      <c r="A1395" s="6"/>
      <c r="B1395" s="7"/>
      <c r="C1395" s="8"/>
      <c r="D1395" s="8"/>
      <c r="E1395" s="8"/>
      <c r="F1395" s="9"/>
      <c r="G1395" s="9"/>
      <c r="H1395" s="9"/>
      <c r="I1395" s="9" t="s">
        <v>14</v>
      </c>
      <c r="J1395" s="10" t="s">
        <v>14</v>
      </c>
      <c r="K1395" s="15" t="e">
        <f>VLOOKUP(J1395,DADOS!$A$3:$B$105,2,FALSE)</f>
        <v>#N/A</v>
      </c>
      <c r="L1395" s="15"/>
      <c r="M1395" s="18" t="b">
        <v>0</v>
      </c>
      <c r="N1395" s="17" t="b">
        <v>0</v>
      </c>
      <c r="O1395" s="17" t="b">
        <v>0</v>
      </c>
      <c r="P1395" s="17" t="b">
        <v>0</v>
      </c>
      <c r="Q1395" s="17" t="b">
        <v>0</v>
      </c>
      <c r="R1395" s="17" t="b">
        <v>0</v>
      </c>
      <c r="S1395" s="17" t="b">
        <v>0</v>
      </c>
      <c r="T1395" s="17" t="b">
        <v>0</v>
      </c>
      <c r="U1395" s="17" t="b">
        <v>0</v>
      </c>
      <c r="V1395" s="17" t="b">
        <v>0</v>
      </c>
      <c r="W1395" s="11"/>
      <c r="X1395" s="12"/>
      <c r="Y1395" s="12"/>
      <c r="Z1395" s="13"/>
    </row>
    <row r="1396" spans="1:26" ht="19.899999999999999" customHeight="1" x14ac:dyDescent="0.25">
      <c r="A1396" s="6"/>
      <c r="B1396" s="7"/>
      <c r="C1396" s="8"/>
      <c r="D1396" s="8"/>
      <c r="E1396" s="8"/>
      <c r="F1396" s="9"/>
      <c r="G1396" s="9"/>
      <c r="H1396" s="9"/>
      <c r="I1396" s="9" t="s">
        <v>14</v>
      </c>
      <c r="J1396" s="10" t="s">
        <v>14</v>
      </c>
      <c r="K1396" s="15" t="e">
        <f>VLOOKUP(J1396,DADOS!$A$3:$B$105,2,FALSE)</f>
        <v>#N/A</v>
      </c>
      <c r="L1396" s="15"/>
      <c r="M1396" s="18" t="b">
        <v>0</v>
      </c>
      <c r="N1396" s="17" t="b">
        <v>0</v>
      </c>
      <c r="O1396" s="17" t="b">
        <v>0</v>
      </c>
      <c r="P1396" s="17" t="b">
        <v>0</v>
      </c>
      <c r="Q1396" s="17" t="b">
        <v>0</v>
      </c>
      <c r="R1396" s="17" t="b">
        <v>0</v>
      </c>
      <c r="S1396" s="17" t="b">
        <v>0</v>
      </c>
      <c r="T1396" s="17" t="b">
        <v>0</v>
      </c>
      <c r="U1396" s="17" t="b">
        <v>0</v>
      </c>
      <c r="V1396" s="17" t="b">
        <v>0</v>
      </c>
      <c r="W1396" s="11"/>
      <c r="X1396" s="12"/>
      <c r="Y1396" s="12"/>
      <c r="Z1396" s="13"/>
    </row>
    <row r="1397" spans="1:26" ht="19.899999999999999" customHeight="1" x14ac:dyDescent="0.25">
      <c r="A1397" s="6"/>
      <c r="B1397" s="7"/>
      <c r="C1397" s="8"/>
      <c r="D1397" s="8"/>
      <c r="E1397" s="8"/>
      <c r="F1397" s="9"/>
      <c r="G1397" s="9"/>
      <c r="H1397" s="9"/>
      <c r="I1397" s="9" t="s">
        <v>14</v>
      </c>
      <c r="J1397" s="10" t="s">
        <v>14</v>
      </c>
      <c r="K1397" s="15" t="e">
        <f>VLOOKUP(J1397,DADOS!$A$3:$B$105,2,FALSE)</f>
        <v>#N/A</v>
      </c>
      <c r="L1397" s="15"/>
      <c r="M1397" s="18" t="b">
        <v>0</v>
      </c>
      <c r="N1397" s="17" t="b">
        <v>0</v>
      </c>
      <c r="O1397" s="17" t="b">
        <v>0</v>
      </c>
      <c r="P1397" s="17" t="b">
        <v>0</v>
      </c>
      <c r="Q1397" s="17" t="b">
        <v>0</v>
      </c>
      <c r="R1397" s="17" t="b">
        <v>0</v>
      </c>
      <c r="S1397" s="17" t="b">
        <v>0</v>
      </c>
      <c r="T1397" s="17" t="b">
        <v>0</v>
      </c>
      <c r="U1397" s="17" t="b">
        <v>0</v>
      </c>
      <c r="V1397" s="17" t="b">
        <v>0</v>
      </c>
      <c r="W1397" s="11"/>
      <c r="X1397" s="12"/>
      <c r="Y1397" s="12"/>
      <c r="Z1397" s="13"/>
    </row>
    <row r="1398" spans="1:26" ht="19.899999999999999" customHeight="1" x14ac:dyDescent="0.25">
      <c r="A1398" s="6"/>
      <c r="B1398" s="7"/>
      <c r="C1398" s="8"/>
      <c r="D1398" s="8"/>
      <c r="E1398" s="8"/>
      <c r="F1398" s="9"/>
      <c r="G1398" s="9"/>
      <c r="H1398" s="9"/>
      <c r="I1398" s="9" t="s">
        <v>14</v>
      </c>
      <c r="J1398" s="10" t="s">
        <v>14</v>
      </c>
      <c r="K1398" s="15" t="e">
        <f>VLOOKUP(J1398,DADOS!$A$3:$B$105,2,FALSE)</f>
        <v>#N/A</v>
      </c>
      <c r="L1398" s="15"/>
      <c r="M1398" s="18" t="b">
        <v>0</v>
      </c>
      <c r="N1398" s="17" t="b">
        <v>0</v>
      </c>
      <c r="O1398" s="17" t="b">
        <v>0</v>
      </c>
      <c r="P1398" s="17" t="b">
        <v>0</v>
      </c>
      <c r="Q1398" s="17" t="b">
        <v>0</v>
      </c>
      <c r="R1398" s="17" t="b">
        <v>0</v>
      </c>
      <c r="S1398" s="17" t="b">
        <v>0</v>
      </c>
      <c r="T1398" s="17" t="b">
        <v>0</v>
      </c>
      <c r="U1398" s="17" t="b">
        <v>0</v>
      </c>
      <c r="V1398" s="17" t="b">
        <v>0</v>
      </c>
      <c r="W1398" s="11"/>
      <c r="X1398" s="12"/>
      <c r="Y1398" s="12"/>
      <c r="Z1398" s="13"/>
    </row>
    <row r="1399" spans="1:26" ht="19.899999999999999" customHeight="1" x14ac:dyDescent="0.25">
      <c r="A1399" s="6"/>
      <c r="B1399" s="7"/>
      <c r="C1399" s="8"/>
      <c r="D1399" s="8"/>
      <c r="E1399" s="8"/>
      <c r="F1399" s="9"/>
      <c r="G1399" s="9"/>
      <c r="H1399" s="9"/>
      <c r="I1399" s="9" t="s">
        <v>14</v>
      </c>
      <c r="J1399" s="10" t="s">
        <v>14</v>
      </c>
      <c r="K1399" s="15" t="e">
        <f>VLOOKUP(J1399,DADOS!$A$3:$B$105,2,FALSE)</f>
        <v>#N/A</v>
      </c>
      <c r="L1399" s="15"/>
      <c r="M1399" s="18" t="b">
        <v>0</v>
      </c>
      <c r="N1399" s="17" t="b">
        <v>0</v>
      </c>
      <c r="O1399" s="17" t="b">
        <v>0</v>
      </c>
      <c r="P1399" s="17" t="b">
        <v>0</v>
      </c>
      <c r="Q1399" s="17" t="b">
        <v>0</v>
      </c>
      <c r="R1399" s="17" t="b">
        <v>0</v>
      </c>
      <c r="S1399" s="17" t="b">
        <v>0</v>
      </c>
      <c r="T1399" s="17" t="b">
        <v>0</v>
      </c>
      <c r="U1399" s="17" t="b">
        <v>0</v>
      </c>
      <c r="V1399" s="17" t="b">
        <v>0</v>
      </c>
      <c r="W1399" s="11"/>
      <c r="X1399" s="12"/>
      <c r="Y1399" s="12"/>
      <c r="Z1399" s="13"/>
    </row>
    <row r="1400" spans="1:26" ht="19.899999999999999" customHeight="1" x14ac:dyDescent="0.25">
      <c r="A1400" s="6"/>
      <c r="B1400" s="7"/>
      <c r="C1400" s="8"/>
      <c r="D1400" s="8"/>
      <c r="E1400" s="8"/>
      <c r="F1400" s="9"/>
      <c r="G1400" s="9"/>
      <c r="H1400" s="9"/>
      <c r="I1400" s="9" t="s">
        <v>14</v>
      </c>
      <c r="J1400" s="10" t="s">
        <v>14</v>
      </c>
      <c r="K1400" s="15" t="e">
        <f>VLOOKUP(J1400,DADOS!$A$3:$B$105,2,FALSE)</f>
        <v>#N/A</v>
      </c>
      <c r="L1400" s="15"/>
      <c r="M1400" s="18" t="b">
        <v>0</v>
      </c>
      <c r="N1400" s="17" t="b">
        <v>0</v>
      </c>
      <c r="O1400" s="17" t="b">
        <v>0</v>
      </c>
      <c r="P1400" s="17" t="b">
        <v>0</v>
      </c>
      <c r="Q1400" s="17" t="b">
        <v>0</v>
      </c>
      <c r="R1400" s="17" t="b">
        <v>0</v>
      </c>
      <c r="S1400" s="17" t="b">
        <v>0</v>
      </c>
      <c r="T1400" s="17" t="b">
        <v>0</v>
      </c>
      <c r="U1400" s="17" t="b">
        <v>0</v>
      </c>
      <c r="V1400" s="17" t="b">
        <v>0</v>
      </c>
      <c r="W1400" s="11"/>
      <c r="X1400" s="12"/>
      <c r="Y1400" s="12"/>
      <c r="Z1400" s="13"/>
    </row>
    <row r="1401" spans="1:26" ht="19.899999999999999" customHeight="1" x14ac:dyDescent="0.25">
      <c r="A1401" s="6"/>
      <c r="B1401" s="7"/>
      <c r="C1401" s="8"/>
      <c r="D1401" s="8"/>
      <c r="E1401" s="8"/>
      <c r="F1401" s="9"/>
      <c r="G1401" s="9"/>
      <c r="H1401" s="9"/>
      <c r="I1401" s="9" t="s">
        <v>14</v>
      </c>
      <c r="J1401" s="10" t="s">
        <v>14</v>
      </c>
      <c r="K1401" s="15" t="e">
        <f>VLOOKUP(J1401,DADOS!$A$3:$B$105,2,FALSE)</f>
        <v>#N/A</v>
      </c>
      <c r="L1401" s="15"/>
      <c r="M1401" s="18" t="b">
        <v>0</v>
      </c>
      <c r="N1401" s="17" t="b">
        <v>0</v>
      </c>
      <c r="O1401" s="17" t="b">
        <v>0</v>
      </c>
      <c r="P1401" s="17" t="b">
        <v>0</v>
      </c>
      <c r="Q1401" s="17" t="b">
        <v>0</v>
      </c>
      <c r="R1401" s="17" t="b">
        <v>0</v>
      </c>
      <c r="S1401" s="17" t="b">
        <v>0</v>
      </c>
      <c r="T1401" s="17" t="b">
        <v>0</v>
      </c>
      <c r="U1401" s="17" t="b">
        <v>0</v>
      </c>
      <c r="V1401" s="17" t="b">
        <v>0</v>
      </c>
      <c r="W1401" s="11"/>
      <c r="X1401" s="12"/>
      <c r="Y1401" s="12"/>
      <c r="Z1401" s="13"/>
    </row>
    <row r="1402" spans="1:26" ht="19.899999999999999" customHeight="1" x14ac:dyDescent="0.25">
      <c r="A1402" s="6"/>
      <c r="B1402" s="7"/>
      <c r="C1402" s="8"/>
      <c r="D1402" s="8"/>
      <c r="E1402" s="8"/>
      <c r="F1402" s="9"/>
      <c r="G1402" s="9"/>
      <c r="H1402" s="9"/>
      <c r="I1402" s="9" t="s">
        <v>14</v>
      </c>
      <c r="J1402" s="10" t="s">
        <v>14</v>
      </c>
      <c r="K1402" s="15" t="e">
        <f>VLOOKUP(J1402,DADOS!$A$3:$B$105,2,FALSE)</f>
        <v>#N/A</v>
      </c>
      <c r="L1402" s="15"/>
      <c r="M1402" s="18" t="b">
        <v>0</v>
      </c>
      <c r="N1402" s="17" t="b">
        <v>0</v>
      </c>
      <c r="O1402" s="17" t="b">
        <v>0</v>
      </c>
      <c r="P1402" s="17" t="b">
        <v>0</v>
      </c>
      <c r="Q1402" s="17" t="b">
        <v>0</v>
      </c>
      <c r="R1402" s="17" t="b">
        <v>0</v>
      </c>
      <c r="S1402" s="17" t="b">
        <v>0</v>
      </c>
      <c r="T1402" s="17" t="b">
        <v>0</v>
      </c>
      <c r="U1402" s="17" t="b">
        <v>0</v>
      </c>
      <c r="V1402" s="17" t="b">
        <v>0</v>
      </c>
      <c r="W1402" s="11"/>
      <c r="X1402" s="12"/>
      <c r="Y1402" s="12"/>
      <c r="Z1402" s="13"/>
    </row>
    <row r="1403" spans="1:26" ht="19.899999999999999" customHeight="1" x14ac:dyDescent="0.25">
      <c r="A1403" s="6"/>
      <c r="B1403" s="7"/>
      <c r="C1403" s="8"/>
      <c r="D1403" s="8"/>
      <c r="E1403" s="8"/>
      <c r="F1403" s="9"/>
      <c r="G1403" s="9"/>
      <c r="H1403" s="9"/>
      <c r="I1403" s="9" t="s">
        <v>14</v>
      </c>
      <c r="J1403" s="10" t="s">
        <v>14</v>
      </c>
      <c r="K1403" s="15" t="e">
        <f>VLOOKUP(J1403,DADOS!$A$3:$B$105,2,FALSE)</f>
        <v>#N/A</v>
      </c>
      <c r="L1403" s="15"/>
      <c r="M1403" s="18" t="b">
        <v>0</v>
      </c>
      <c r="N1403" s="17" t="b">
        <v>0</v>
      </c>
      <c r="O1403" s="17" t="b">
        <v>0</v>
      </c>
      <c r="P1403" s="17" t="b">
        <v>0</v>
      </c>
      <c r="Q1403" s="17" t="b">
        <v>0</v>
      </c>
      <c r="R1403" s="17" t="b">
        <v>0</v>
      </c>
      <c r="S1403" s="17" t="b">
        <v>0</v>
      </c>
      <c r="T1403" s="17" t="b">
        <v>0</v>
      </c>
      <c r="U1403" s="17" t="b">
        <v>0</v>
      </c>
      <c r="V1403" s="17" t="b">
        <v>0</v>
      </c>
      <c r="W1403" s="11"/>
      <c r="X1403" s="12"/>
      <c r="Y1403" s="12"/>
      <c r="Z1403" s="13"/>
    </row>
    <row r="1404" spans="1:26" ht="19.899999999999999" customHeight="1" x14ac:dyDescent="0.25">
      <c r="A1404" s="6"/>
      <c r="B1404" s="7"/>
      <c r="C1404" s="8"/>
      <c r="D1404" s="8"/>
      <c r="E1404" s="8"/>
      <c r="F1404" s="9"/>
      <c r="G1404" s="9"/>
      <c r="H1404" s="9"/>
      <c r="I1404" s="9" t="s">
        <v>14</v>
      </c>
      <c r="J1404" s="10" t="s">
        <v>14</v>
      </c>
      <c r="K1404" s="15" t="e">
        <f>VLOOKUP(J1404,DADOS!$A$3:$B$105,2,FALSE)</f>
        <v>#N/A</v>
      </c>
      <c r="L1404" s="15"/>
      <c r="M1404" s="18" t="b">
        <v>0</v>
      </c>
      <c r="N1404" s="17" t="b">
        <v>0</v>
      </c>
      <c r="O1404" s="17" t="b">
        <v>0</v>
      </c>
      <c r="P1404" s="17" t="b">
        <v>0</v>
      </c>
      <c r="Q1404" s="17" t="b">
        <v>0</v>
      </c>
      <c r="R1404" s="17" t="b">
        <v>0</v>
      </c>
      <c r="S1404" s="17" t="b">
        <v>0</v>
      </c>
      <c r="T1404" s="17" t="b">
        <v>0</v>
      </c>
      <c r="U1404" s="17" t="b">
        <v>0</v>
      </c>
      <c r="V1404" s="17" t="b">
        <v>0</v>
      </c>
      <c r="W1404" s="11"/>
      <c r="X1404" s="12"/>
      <c r="Y1404" s="12"/>
      <c r="Z1404" s="13"/>
    </row>
    <row r="1405" spans="1:26" ht="19.899999999999999" customHeight="1" x14ac:dyDescent="0.25">
      <c r="A1405" s="6"/>
      <c r="B1405" s="7"/>
      <c r="C1405" s="8"/>
      <c r="D1405" s="8"/>
      <c r="E1405" s="8"/>
      <c r="F1405" s="9"/>
      <c r="G1405" s="9"/>
      <c r="H1405" s="9"/>
      <c r="I1405" s="9" t="s">
        <v>14</v>
      </c>
      <c r="J1405" s="10" t="s">
        <v>14</v>
      </c>
      <c r="K1405" s="15" t="e">
        <f>VLOOKUP(J1405,DADOS!$A$3:$B$105,2,FALSE)</f>
        <v>#N/A</v>
      </c>
      <c r="L1405" s="15"/>
      <c r="M1405" s="18" t="b">
        <v>0</v>
      </c>
      <c r="N1405" s="17" t="b">
        <v>0</v>
      </c>
      <c r="O1405" s="17" t="b">
        <v>0</v>
      </c>
      <c r="P1405" s="17" t="b">
        <v>0</v>
      </c>
      <c r="Q1405" s="17" t="b">
        <v>0</v>
      </c>
      <c r="R1405" s="17" t="b">
        <v>0</v>
      </c>
      <c r="S1405" s="17" t="b">
        <v>0</v>
      </c>
      <c r="T1405" s="17" t="b">
        <v>0</v>
      </c>
      <c r="U1405" s="17" t="b">
        <v>0</v>
      </c>
      <c r="V1405" s="17" t="b">
        <v>0</v>
      </c>
      <c r="W1405" s="11"/>
      <c r="X1405" s="12"/>
      <c r="Y1405" s="12"/>
      <c r="Z1405" s="13"/>
    </row>
    <row r="1406" spans="1:26" ht="19.899999999999999" customHeight="1" x14ac:dyDescent="0.25">
      <c r="A1406" s="6"/>
      <c r="B1406" s="7"/>
      <c r="C1406" s="8"/>
      <c r="D1406" s="8"/>
      <c r="E1406" s="8"/>
      <c r="F1406" s="9"/>
      <c r="G1406" s="9"/>
      <c r="H1406" s="9"/>
      <c r="I1406" s="9" t="s">
        <v>14</v>
      </c>
      <c r="J1406" s="10" t="s">
        <v>14</v>
      </c>
      <c r="K1406" s="15" t="e">
        <f>VLOOKUP(J1406,DADOS!$A$3:$B$105,2,FALSE)</f>
        <v>#N/A</v>
      </c>
      <c r="L1406" s="15"/>
      <c r="M1406" s="18" t="b">
        <v>0</v>
      </c>
      <c r="N1406" s="17" t="b">
        <v>0</v>
      </c>
      <c r="O1406" s="17" t="b">
        <v>0</v>
      </c>
      <c r="P1406" s="17" t="b">
        <v>0</v>
      </c>
      <c r="Q1406" s="17" t="b">
        <v>0</v>
      </c>
      <c r="R1406" s="17" t="b">
        <v>0</v>
      </c>
      <c r="S1406" s="17" t="b">
        <v>0</v>
      </c>
      <c r="T1406" s="17" t="b">
        <v>0</v>
      </c>
      <c r="U1406" s="17" t="b">
        <v>0</v>
      </c>
      <c r="V1406" s="17" t="b">
        <v>0</v>
      </c>
      <c r="W1406" s="11"/>
      <c r="X1406" s="12"/>
      <c r="Y1406" s="12"/>
      <c r="Z1406" s="13"/>
    </row>
    <row r="1407" spans="1:26" ht="19.899999999999999" customHeight="1" x14ac:dyDescent="0.25">
      <c r="A1407" s="6"/>
      <c r="B1407" s="7"/>
      <c r="C1407" s="8"/>
      <c r="D1407" s="8"/>
      <c r="E1407" s="8"/>
      <c r="F1407" s="9"/>
      <c r="G1407" s="9"/>
      <c r="H1407" s="9"/>
      <c r="I1407" s="9" t="s">
        <v>14</v>
      </c>
      <c r="J1407" s="10" t="s">
        <v>14</v>
      </c>
      <c r="K1407" s="15" t="e">
        <f>VLOOKUP(J1407,DADOS!$A$3:$B$105,2,FALSE)</f>
        <v>#N/A</v>
      </c>
      <c r="L1407" s="15"/>
      <c r="M1407" s="18" t="b">
        <v>0</v>
      </c>
      <c r="N1407" s="17" t="b">
        <v>0</v>
      </c>
      <c r="O1407" s="17" t="b">
        <v>0</v>
      </c>
      <c r="P1407" s="17" t="b">
        <v>0</v>
      </c>
      <c r="Q1407" s="17" t="b">
        <v>0</v>
      </c>
      <c r="R1407" s="17" t="b">
        <v>0</v>
      </c>
      <c r="S1407" s="17" t="b">
        <v>0</v>
      </c>
      <c r="T1407" s="17" t="b">
        <v>0</v>
      </c>
      <c r="U1407" s="17" t="b">
        <v>0</v>
      </c>
      <c r="V1407" s="17" t="b">
        <v>0</v>
      </c>
      <c r="W1407" s="11"/>
      <c r="X1407" s="12"/>
      <c r="Y1407" s="12"/>
      <c r="Z1407" s="13"/>
    </row>
    <row r="1408" spans="1:26" ht="19.899999999999999" customHeight="1" x14ac:dyDescent="0.25">
      <c r="A1408" s="6"/>
      <c r="B1408" s="7"/>
      <c r="C1408" s="8"/>
      <c r="D1408" s="8"/>
      <c r="E1408" s="8"/>
      <c r="F1408" s="9"/>
      <c r="G1408" s="9"/>
      <c r="H1408" s="9"/>
      <c r="I1408" s="9" t="s">
        <v>14</v>
      </c>
      <c r="J1408" s="10" t="s">
        <v>14</v>
      </c>
      <c r="K1408" s="15" t="e">
        <f>VLOOKUP(J1408,DADOS!$A$3:$B$105,2,FALSE)</f>
        <v>#N/A</v>
      </c>
      <c r="L1408" s="15"/>
      <c r="M1408" s="18" t="b">
        <v>0</v>
      </c>
      <c r="N1408" s="17" t="b">
        <v>0</v>
      </c>
      <c r="O1408" s="17" t="b">
        <v>0</v>
      </c>
      <c r="P1408" s="17" t="b">
        <v>0</v>
      </c>
      <c r="Q1408" s="17" t="b">
        <v>0</v>
      </c>
      <c r="R1408" s="17" t="b">
        <v>0</v>
      </c>
      <c r="S1408" s="17" t="b">
        <v>0</v>
      </c>
      <c r="T1408" s="17" t="b">
        <v>0</v>
      </c>
      <c r="U1408" s="17" t="b">
        <v>0</v>
      </c>
      <c r="V1408" s="17" t="b">
        <v>0</v>
      </c>
      <c r="W1408" s="11"/>
      <c r="X1408" s="12"/>
      <c r="Y1408" s="12"/>
      <c r="Z1408" s="13"/>
    </row>
    <row r="1409" spans="1:26" ht="19.899999999999999" customHeight="1" x14ac:dyDescent="0.25">
      <c r="A1409" s="6"/>
      <c r="B1409" s="7"/>
      <c r="C1409" s="8"/>
      <c r="D1409" s="8"/>
      <c r="E1409" s="8"/>
      <c r="F1409" s="9"/>
      <c r="G1409" s="9"/>
      <c r="H1409" s="9"/>
      <c r="I1409" s="9" t="s">
        <v>14</v>
      </c>
      <c r="J1409" s="10" t="s">
        <v>14</v>
      </c>
      <c r="K1409" s="15" t="e">
        <f>VLOOKUP(J1409,DADOS!$A$3:$B$105,2,FALSE)</f>
        <v>#N/A</v>
      </c>
      <c r="L1409" s="15"/>
      <c r="M1409" s="18" t="b">
        <v>0</v>
      </c>
      <c r="N1409" s="17" t="b">
        <v>0</v>
      </c>
      <c r="O1409" s="17" t="b">
        <v>0</v>
      </c>
      <c r="P1409" s="17" t="b">
        <v>0</v>
      </c>
      <c r="Q1409" s="17" t="b">
        <v>0</v>
      </c>
      <c r="R1409" s="17" t="b">
        <v>0</v>
      </c>
      <c r="S1409" s="17" t="b">
        <v>0</v>
      </c>
      <c r="T1409" s="17" t="b">
        <v>0</v>
      </c>
      <c r="U1409" s="17" t="b">
        <v>0</v>
      </c>
      <c r="V1409" s="17" t="b">
        <v>0</v>
      </c>
      <c r="W1409" s="11"/>
      <c r="X1409" s="12"/>
      <c r="Y1409" s="12"/>
      <c r="Z1409" s="13"/>
    </row>
    <row r="1410" spans="1:26" ht="19.899999999999999" customHeight="1" x14ac:dyDescent="0.25">
      <c r="A1410" s="6"/>
      <c r="B1410" s="7"/>
      <c r="C1410" s="8"/>
      <c r="D1410" s="8"/>
      <c r="E1410" s="8"/>
      <c r="F1410" s="9"/>
      <c r="G1410" s="9"/>
      <c r="H1410" s="9"/>
      <c r="I1410" s="9" t="s">
        <v>14</v>
      </c>
      <c r="J1410" s="10" t="s">
        <v>14</v>
      </c>
      <c r="K1410" s="15" t="e">
        <f>VLOOKUP(J1410,DADOS!$A$3:$B$105,2,FALSE)</f>
        <v>#N/A</v>
      </c>
      <c r="L1410" s="15"/>
      <c r="M1410" s="18" t="b">
        <v>0</v>
      </c>
      <c r="N1410" s="17" t="b">
        <v>0</v>
      </c>
      <c r="O1410" s="17" t="b">
        <v>0</v>
      </c>
      <c r="P1410" s="17" t="b">
        <v>0</v>
      </c>
      <c r="Q1410" s="17" t="b">
        <v>0</v>
      </c>
      <c r="R1410" s="17" t="b">
        <v>0</v>
      </c>
      <c r="S1410" s="17" t="b">
        <v>0</v>
      </c>
      <c r="T1410" s="17" t="b">
        <v>0</v>
      </c>
      <c r="U1410" s="17" t="b">
        <v>0</v>
      </c>
      <c r="V1410" s="17" t="b">
        <v>0</v>
      </c>
      <c r="W1410" s="11"/>
      <c r="X1410" s="12"/>
      <c r="Y1410" s="12"/>
      <c r="Z1410" s="13"/>
    </row>
    <row r="1411" spans="1:26" ht="19.899999999999999" customHeight="1" x14ac:dyDescent="0.25">
      <c r="A1411" s="6"/>
      <c r="B1411" s="7"/>
      <c r="C1411" s="8"/>
      <c r="D1411" s="8"/>
      <c r="E1411" s="8"/>
      <c r="F1411" s="9"/>
      <c r="G1411" s="9"/>
      <c r="H1411" s="9"/>
      <c r="I1411" s="9" t="s">
        <v>14</v>
      </c>
      <c r="J1411" s="10" t="s">
        <v>14</v>
      </c>
      <c r="K1411" s="15" t="e">
        <f>VLOOKUP(J1411,DADOS!$A$3:$B$105,2,FALSE)</f>
        <v>#N/A</v>
      </c>
      <c r="L1411" s="15"/>
      <c r="M1411" s="18" t="b">
        <v>0</v>
      </c>
      <c r="N1411" s="17" t="b">
        <v>0</v>
      </c>
      <c r="O1411" s="17" t="b">
        <v>0</v>
      </c>
      <c r="P1411" s="17" t="b">
        <v>0</v>
      </c>
      <c r="Q1411" s="17" t="b">
        <v>0</v>
      </c>
      <c r="R1411" s="17" t="b">
        <v>0</v>
      </c>
      <c r="S1411" s="17" t="b">
        <v>0</v>
      </c>
      <c r="T1411" s="17" t="b">
        <v>0</v>
      </c>
      <c r="U1411" s="17" t="b">
        <v>0</v>
      </c>
      <c r="V1411" s="17" t="b">
        <v>0</v>
      </c>
      <c r="W1411" s="11"/>
      <c r="X1411" s="12"/>
      <c r="Y1411" s="12"/>
      <c r="Z1411" s="13"/>
    </row>
    <row r="1412" spans="1:26" ht="19.899999999999999" customHeight="1" x14ac:dyDescent="0.25">
      <c r="A1412" s="6"/>
      <c r="B1412" s="7"/>
      <c r="C1412" s="8"/>
      <c r="D1412" s="8"/>
      <c r="E1412" s="8"/>
      <c r="F1412" s="9"/>
      <c r="G1412" s="9"/>
      <c r="H1412" s="9"/>
      <c r="I1412" s="9" t="s">
        <v>14</v>
      </c>
      <c r="J1412" s="10" t="s">
        <v>14</v>
      </c>
      <c r="K1412" s="15" t="e">
        <f>VLOOKUP(J1412,DADOS!$A$3:$B$105,2,FALSE)</f>
        <v>#N/A</v>
      </c>
      <c r="L1412" s="15"/>
      <c r="M1412" s="18" t="b">
        <v>0</v>
      </c>
      <c r="N1412" s="17" t="b">
        <v>0</v>
      </c>
      <c r="O1412" s="17" t="b">
        <v>0</v>
      </c>
      <c r="P1412" s="17" t="b">
        <v>0</v>
      </c>
      <c r="Q1412" s="17" t="b">
        <v>0</v>
      </c>
      <c r="R1412" s="17" t="b">
        <v>0</v>
      </c>
      <c r="S1412" s="17" t="b">
        <v>0</v>
      </c>
      <c r="T1412" s="17" t="b">
        <v>0</v>
      </c>
      <c r="U1412" s="17" t="b">
        <v>0</v>
      </c>
      <c r="V1412" s="17" t="b">
        <v>0</v>
      </c>
      <c r="W1412" s="11"/>
      <c r="X1412" s="12"/>
      <c r="Y1412" s="12"/>
      <c r="Z1412" s="13"/>
    </row>
    <row r="1413" spans="1:26" ht="19.899999999999999" customHeight="1" x14ac:dyDescent="0.25">
      <c r="A1413" s="6"/>
      <c r="B1413" s="7"/>
      <c r="C1413" s="8"/>
      <c r="D1413" s="8"/>
      <c r="E1413" s="8"/>
      <c r="F1413" s="9"/>
      <c r="G1413" s="9"/>
      <c r="H1413" s="9"/>
      <c r="I1413" s="9" t="s">
        <v>14</v>
      </c>
      <c r="J1413" s="10" t="s">
        <v>14</v>
      </c>
      <c r="K1413" s="15" t="e">
        <f>VLOOKUP(J1413,DADOS!$A$3:$B$105,2,FALSE)</f>
        <v>#N/A</v>
      </c>
      <c r="L1413" s="15"/>
      <c r="M1413" s="18" t="b">
        <v>0</v>
      </c>
      <c r="N1413" s="17" t="b">
        <v>0</v>
      </c>
      <c r="O1413" s="17" t="b">
        <v>0</v>
      </c>
      <c r="P1413" s="17" t="b">
        <v>0</v>
      </c>
      <c r="Q1413" s="17" t="b">
        <v>0</v>
      </c>
      <c r="R1413" s="17" t="b">
        <v>0</v>
      </c>
      <c r="S1413" s="17" t="b">
        <v>0</v>
      </c>
      <c r="T1413" s="17" t="b">
        <v>0</v>
      </c>
      <c r="U1413" s="17" t="b">
        <v>0</v>
      </c>
      <c r="V1413" s="17" t="b">
        <v>0</v>
      </c>
      <c r="W1413" s="11"/>
      <c r="X1413" s="12"/>
      <c r="Y1413" s="12"/>
      <c r="Z1413" s="13"/>
    </row>
    <row r="1414" spans="1:26" ht="19.899999999999999" customHeight="1" x14ac:dyDescent="0.25">
      <c r="A1414" s="6"/>
      <c r="B1414" s="7"/>
      <c r="C1414" s="8"/>
      <c r="D1414" s="8"/>
      <c r="E1414" s="8"/>
      <c r="F1414" s="9"/>
      <c r="G1414" s="9"/>
      <c r="H1414" s="9"/>
      <c r="I1414" s="9" t="s">
        <v>14</v>
      </c>
      <c r="J1414" s="10" t="s">
        <v>14</v>
      </c>
      <c r="K1414" s="15" t="e">
        <f>VLOOKUP(J1414,DADOS!$A$3:$B$105,2,FALSE)</f>
        <v>#N/A</v>
      </c>
      <c r="L1414" s="15"/>
      <c r="M1414" s="18" t="b">
        <v>0</v>
      </c>
      <c r="N1414" s="17" t="b">
        <v>0</v>
      </c>
      <c r="O1414" s="17" t="b">
        <v>0</v>
      </c>
      <c r="P1414" s="17" t="b">
        <v>0</v>
      </c>
      <c r="Q1414" s="17" t="b">
        <v>0</v>
      </c>
      <c r="R1414" s="17" t="b">
        <v>0</v>
      </c>
      <c r="S1414" s="17" t="b">
        <v>0</v>
      </c>
      <c r="T1414" s="17" t="b">
        <v>0</v>
      </c>
      <c r="U1414" s="17" t="b">
        <v>0</v>
      </c>
      <c r="V1414" s="17" t="b">
        <v>0</v>
      </c>
      <c r="W1414" s="11"/>
      <c r="X1414" s="12"/>
      <c r="Y1414" s="12"/>
      <c r="Z1414" s="13"/>
    </row>
    <row r="1415" spans="1:26" ht="19.899999999999999" customHeight="1" x14ac:dyDescent="0.25">
      <c r="A1415" s="6"/>
      <c r="B1415" s="7"/>
      <c r="C1415" s="8"/>
      <c r="D1415" s="8"/>
      <c r="E1415" s="8"/>
      <c r="F1415" s="9"/>
      <c r="G1415" s="9"/>
      <c r="H1415" s="9"/>
      <c r="I1415" s="9" t="s">
        <v>14</v>
      </c>
      <c r="J1415" s="10" t="s">
        <v>14</v>
      </c>
      <c r="K1415" s="15" t="e">
        <f>VLOOKUP(J1415,DADOS!$A$3:$B$105,2,FALSE)</f>
        <v>#N/A</v>
      </c>
      <c r="L1415" s="15"/>
      <c r="M1415" s="18" t="b">
        <v>0</v>
      </c>
      <c r="N1415" s="17" t="b">
        <v>0</v>
      </c>
      <c r="O1415" s="17" t="b">
        <v>0</v>
      </c>
      <c r="P1415" s="17" t="b">
        <v>0</v>
      </c>
      <c r="Q1415" s="17" t="b">
        <v>0</v>
      </c>
      <c r="R1415" s="17" t="b">
        <v>0</v>
      </c>
      <c r="S1415" s="17" t="b">
        <v>0</v>
      </c>
      <c r="T1415" s="17" t="b">
        <v>0</v>
      </c>
      <c r="U1415" s="17" t="b">
        <v>0</v>
      </c>
      <c r="V1415" s="17" t="b">
        <v>0</v>
      </c>
      <c r="W1415" s="11"/>
      <c r="X1415" s="12"/>
      <c r="Y1415" s="12"/>
      <c r="Z1415" s="13"/>
    </row>
    <row r="1416" spans="1:26" ht="19.899999999999999" customHeight="1" x14ac:dyDescent="0.25">
      <c r="A1416" s="6"/>
      <c r="B1416" s="7"/>
      <c r="C1416" s="8"/>
      <c r="D1416" s="8"/>
      <c r="E1416" s="8"/>
      <c r="F1416" s="9"/>
      <c r="G1416" s="9"/>
      <c r="H1416" s="9"/>
      <c r="I1416" s="9" t="s">
        <v>14</v>
      </c>
      <c r="J1416" s="10" t="s">
        <v>14</v>
      </c>
      <c r="K1416" s="15" t="e">
        <f>VLOOKUP(J1416,DADOS!$A$3:$B$105,2,FALSE)</f>
        <v>#N/A</v>
      </c>
      <c r="L1416" s="15"/>
      <c r="M1416" s="18" t="b">
        <v>0</v>
      </c>
      <c r="N1416" s="17" t="b">
        <v>0</v>
      </c>
      <c r="O1416" s="17" t="b">
        <v>0</v>
      </c>
      <c r="P1416" s="17" t="b">
        <v>0</v>
      </c>
      <c r="Q1416" s="17" t="b">
        <v>0</v>
      </c>
      <c r="R1416" s="17" t="b">
        <v>0</v>
      </c>
      <c r="S1416" s="17" t="b">
        <v>0</v>
      </c>
      <c r="T1416" s="17" t="b">
        <v>0</v>
      </c>
      <c r="U1416" s="17" t="b">
        <v>0</v>
      </c>
      <c r="V1416" s="17" t="b">
        <v>0</v>
      </c>
      <c r="W1416" s="11"/>
      <c r="X1416" s="12"/>
      <c r="Y1416" s="12"/>
      <c r="Z1416" s="13"/>
    </row>
    <row r="1417" spans="1:26" ht="19.899999999999999" customHeight="1" x14ac:dyDescent="0.25">
      <c r="A1417" s="6"/>
      <c r="B1417" s="7"/>
      <c r="C1417" s="8"/>
      <c r="D1417" s="8"/>
      <c r="E1417" s="8"/>
      <c r="F1417" s="9"/>
      <c r="G1417" s="9"/>
      <c r="H1417" s="9"/>
      <c r="I1417" s="9" t="s">
        <v>14</v>
      </c>
      <c r="J1417" s="10" t="s">
        <v>14</v>
      </c>
      <c r="K1417" s="15" t="e">
        <f>VLOOKUP(J1417,DADOS!$A$3:$B$105,2,FALSE)</f>
        <v>#N/A</v>
      </c>
      <c r="L1417" s="15"/>
      <c r="M1417" s="18" t="b">
        <v>0</v>
      </c>
      <c r="N1417" s="17" t="b">
        <v>0</v>
      </c>
      <c r="O1417" s="17" t="b">
        <v>0</v>
      </c>
      <c r="P1417" s="17" t="b">
        <v>0</v>
      </c>
      <c r="Q1417" s="17" t="b">
        <v>0</v>
      </c>
      <c r="R1417" s="17" t="b">
        <v>0</v>
      </c>
      <c r="S1417" s="17" t="b">
        <v>0</v>
      </c>
      <c r="T1417" s="17" t="b">
        <v>0</v>
      </c>
      <c r="U1417" s="17" t="b">
        <v>0</v>
      </c>
      <c r="V1417" s="17" t="b">
        <v>0</v>
      </c>
      <c r="W1417" s="11"/>
      <c r="X1417" s="12"/>
      <c r="Y1417" s="12"/>
      <c r="Z1417" s="13"/>
    </row>
    <row r="1418" spans="1:26" ht="19.899999999999999" customHeight="1" x14ac:dyDescent="0.25">
      <c r="A1418" s="6"/>
      <c r="B1418" s="7"/>
      <c r="C1418" s="8"/>
      <c r="D1418" s="8"/>
      <c r="E1418" s="8"/>
      <c r="F1418" s="9"/>
      <c r="G1418" s="9"/>
      <c r="H1418" s="9"/>
      <c r="I1418" s="9" t="s">
        <v>14</v>
      </c>
      <c r="J1418" s="10" t="s">
        <v>14</v>
      </c>
      <c r="K1418" s="15" t="e">
        <f>VLOOKUP(J1418,DADOS!$A$3:$B$105,2,FALSE)</f>
        <v>#N/A</v>
      </c>
      <c r="L1418" s="15"/>
      <c r="M1418" s="18" t="b">
        <v>0</v>
      </c>
      <c r="N1418" s="17" t="b">
        <v>0</v>
      </c>
      <c r="O1418" s="17" t="b">
        <v>0</v>
      </c>
      <c r="P1418" s="17" t="b">
        <v>0</v>
      </c>
      <c r="Q1418" s="17" t="b">
        <v>0</v>
      </c>
      <c r="R1418" s="17" t="b">
        <v>0</v>
      </c>
      <c r="S1418" s="17" t="b">
        <v>0</v>
      </c>
      <c r="T1418" s="17" t="b">
        <v>0</v>
      </c>
      <c r="U1418" s="17" t="b">
        <v>0</v>
      </c>
      <c r="V1418" s="17" t="b">
        <v>0</v>
      </c>
      <c r="W1418" s="11"/>
      <c r="X1418" s="12"/>
      <c r="Y1418" s="12"/>
      <c r="Z1418" s="13"/>
    </row>
    <row r="1419" spans="1:26" ht="19.899999999999999" customHeight="1" x14ac:dyDescent="0.25">
      <c r="A1419" s="6"/>
      <c r="B1419" s="7"/>
      <c r="C1419" s="8"/>
      <c r="D1419" s="8"/>
      <c r="E1419" s="8"/>
      <c r="F1419" s="9"/>
      <c r="G1419" s="9"/>
      <c r="H1419" s="9"/>
      <c r="I1419" s="9" t="s">
        <v>14</v>
      </c>
      <c r="J1419" s="10" t="s">
        <v>14</v>
      </c>
      <c r="K1419" s="15" t="e">
        <f>VLOOKUP(J1419,DADOS!$A$3:$B$105,2,FALSE)</f>
        <v>#N/A</v>
      </c>
      <c r="L1419" s="15"/>
      <c r="M1419" s="18" t="b">
        <v>0</v>
      </c>
      <c r="N1419" s="17" t="b">
        <v>0</v>
      </c>
      <c r="O1419" s="17" t="b">
        <v>0</v>
      </c>
      <c r="P1419" s="17" t="b">
        <v>0</v>
      </c>
      <c r="Q1419" s="17" t="b">
        <v>0</v>
      </c>
      <c r="R1419" s="17" t="b">
        <v>0</v>
      </c>
      <c r="S1419" s="17" t="b">
        <v>0</v>
      </c>
      <c r="T1419" s="17" t="b">
        <v>0</v>
      </c>
      <c r="U1419" s="17" t="b">
        <v>0</v>
      </c>
      <c r="V1419" s="17" t="b">
        <v>0</v>
      </c>
      <c r="W1419" s="11"/>
      <c r="X1419" s="12"/>
      <c r="Y1419" s="12"/>
      <c r="Z1419" s="13"/>
    </row>
    <row r="1420" spans="1:26" ht="19.899999999999999" customHeight="1" x14ac:dyDescent="0.25">
      <c r="A1420" s="6"/>
      <c r="B1420" s="7"/>
      <c r="C1420" s="8"/>
      <c r="D1420" s="8"/>
      <c r="E1420" s="8"/>
      <c r="F1420" s="9"/>
      <c r="G1420" s="9"/>
      <c r="H1420" s="9"/>
      <c r="I1420" s="9" t="s">
        <v>14</v>
      </c>
      <c r="J1420" s="10" t="s">
        <v>14</v>
      </c>
      <c r="K1420" s="15" t="e">
        <f>VLOOKUP(J1420,DADOS!$A$3:$B$105,2,FALSE)</f>
        <v>#N/A</v>
      </c>
      <c r="L1420" s="15"/>
      <c r="M1420" s="18" t="b">
        <v>0</v>
      </c>
      <c r="N1420" s="17" t="b">
        <v>0</v>
      </c>
      <c r="O1420" s="17" t="b">
        <v>0</v>
      </c>
      <c r="P1420" s="17" t="b">
        <v>0</v>
      </c>
      <c r="Q1420" s="17" t="b">
        <v>0</v>
      </c>
      <c r="R1420" s="17" t="b">
        <v>0</v>
      </c>
      <c r="S1420" s="17" t="b">
        <v>0</v>
      </c>
      <c r="T1420" s="17" t="b">
        <v>0</v>
      </c>
      <c r="U1420" s="17" t="b">
        <v>0</v>
      </c>
      <c r="V1420" s="17" t="b">
        <v>0</v>
      </c>
      <c r="W1420" s="11"/>
      <c r="X1420" s="12"/>
      <c r="Y1420" s="12"/>
      <c r="Z1420" s="13"/>
    </row>
    <row r="1421" spans="1:26" ht="19.899999999999999" customHeight="1" x14ac:dyDescent="0.25">
      <c r="A1421" s="6"/>
      <c r="B1421" s="7"/>
      <c r="C1421" s="8"/>
      <c r="D1421" s="8"/>
      <c r="E1421" s="8"/>
      <c r="F1421" s="9"/>
      <c r="G1421" s="9"/>
      <c r="H1421" s="9"/>
      <c r="I1421" s="9" t="s">
        <v>14</v>
      </c>
      <c r="J1421" s="10" t="s">
        <v>14</v>
      </c>
      <c r="K1421" s="15" t="e">
        <f>VLOOKUP(J1421,DADOS!$A$3:$B$105,2,FALSE)</f>
        <v>#N/A</v>
      </c>
      <c r="L1421" s="15"/>
      <c r="M1421" s="18" t="b">
        <v>0</v>
      </c>
      <c r="N1421" s="17" t="b">
        <v>0</v>
      </c>
      <c r="O1421" s="17" t="b">
        <v>0</v>
      </c>
      <c r="P1421" s="17" t="b">
        <v>0</v>
      </c>
      <c r="Q1421" s="17" t="b">
        <v>0</v>
      </c>
      <c r="R1421" s="17" t="b">
        <v>0</v>
      </c>
      <c r="S1421" s="17" t="b">
        <v>0</v>
      </c>
      <c r="T1421" s="17" t="b">
        <v>0</v>
      </c>
      <c r="U1421" s="17" t="b">
        <v>0</v>
      </c>
      <c r="V1421" s="17" t="b">
        <v>0</v>
      </c>
      <c r="W1421" s="11"/>
      <c r="X1421" s="12"/>
      <c r="Y1421" s="12"/>
      <c r="Z1421" s="13"/>
    </row>
    <row r="1422" spans="1:26" ht="19.899999999999999" customHeight="1" x14ac:dyDescent="0.25">
      <c r="A1422" s="6"/>
      <c r="B1422" s="7"/>
      <c r="C1422" s="8"/>
      <c r="D1422" s="8"/>
      <c r="E1422" s="8"/>
      <c r="F1422" s="9"/>
      <c r="G1422" s="9"/>
      <c r="H1422" s="9"/>
      <c r="I1422" s="9" t="s">
        <v>14</v>
      </c>
      <c r="J1422" s="10" t="s">
        <v>14</v>
      </c>
      <c r="K1422" s="15" t="e">
        <f>VLOOKUP(J1422,DADOS!$A$3:$B$105,2,FALSE)</f>
        <v>#N/A</v>
      </c>
      <c r="L1422" s="15"/>
      <c r="M1422" s="18" t="b">
        <v>0</v>
      </c>
      <c r="N1422" s="17" t="b">
        <v>0</v>
      </c>
      <c r="O1422" s="17" t="b">
        <v>0</v>
      </c>
      <c r="P1422" s="17" t="b">
        <v>0</v>
      </c>
      <c r="Q1422" s="17" t="b">
        <v>0</v>
      </c>
      <c r="R1422" s="17" t="b">
        <v>0</v>
      </c>
      <c r="S1422" s="17" t="b">
        <v>0</v>
      </c>
      <c r="T1422" s="17" t="b">
        <v>0</v>
      </c>
      <c r="U1422" s="17" t="b">
        <v>0</v>
      </c>
      <c r="V1422" s="17" t="b">
        <v>0</v>
      </c>
      <c r="W1422" s="11"/>
      <c r="X1422" s="12"/>
      <c r="Y1422" s="12"/>
      <c r="Z1422" s="13"/>
    </row>
    <row r="1423" spans="1:26" ht="19.899999999999999" customHeight="1" x14ac:dyDescent="0.25">
      <c r="A1423" s="6"/>
      <c r="B1423" s="7"/>
      <c r="C1423" s="8"/>
      <c r="D1423" s="8"/>
      <c r="E1423" s="8"/>
      <c r="F1423" s="9"/>
      <c r="G1423" s="9"/>
      <c r="H1423" s="9"/>
      <c r="I1423" s="9" t="s">
        <v>14</v>
      </c>
      <c r="J1423" s="10" t="s">
        <v>14</v>
      </c>
      <c r="K1423" s="15" t="e">
        <f>VLOOKUP(J1423,DADOS!$A$3:$B$105,2,FALSE)</f>
        <v>#N/A</v>
      </c>
      <c r="L1423" s="15"/>
      <c r="M1423" s="18" t="b">
        <v>0</v>
      </c>
      <c r="N1423" s="17" t="b">
        <v>0</v>
      </c>
      <c r="O1423" s="17" t="b">
        <v>0</v>
      </c>
      <c r="P1423" s="17" t="b">
        <v>0</v>
      </c>
      <c r="Q1423" s="17" t="b">
        <v>0</v>
      </c>
      <c r="R1423" s="17" t="b">
        <v>0</v>
      </c>
      <c r="S1423" s="17" t="b">
        <v>0</v>
      </c>
      <c r="T1423" s="17" t="b">
        <v>0</v>
      </c>
      <c r="U1423" s="17" t="b">
        <v>0</v>
      </c>
      <c r="V1423" s="17" t="b">
        <v>0</v>
      </c>
      <c r="W1423" s="11"/>
      <c r="X1423" s="12"/>
      <c r="Y1423" s="12"/>
      <c r="Z1423" s="13"/>
    </row>
    <row r="1424" spans="1:26" ht="19.899999999999999" customHeight="1" x14ac:dyDescent="0.25">
      <c r="A1424" s="6"/>
      <c r="B1424" s="7"/>
      <c r="C1424" s="8"/>
      <c r="D1424" s="8"/>
      <c r="E1424" s="8"/>
      <c r="F1424" s="9"/>
      <c r="G1424" s="9"/>
      <c r="H1424" s="9"/>
      <c r="I1424" s="9" t="s">
        <v>14</v>
      </c>
      <c r="J1424" s="10" t="s">
        <v>14</v>
      </c>
      <c r="K1424" s="15" t="e">
        <f>VLOOKUP(J1424,DADOS!$A$3:$B$105,2,FALSE)</f>
        <v>#N/A</v>
      </c>
      <c r="L1424" s="15"/>
      <c r="M1424" s="18" t="b">
        <v>0</v>
      </c>
      <c r="N1424" s="17" t="b">
        <v>0</v>
      </c>
      <c r="O1424" s="17" t="b">
        <v>0</v>
      </c>
      <c r="P1424" s="17" t="b">
        <v>0</v>
      </c>
      <c r="Q1424" s="17" t="b">
        <v>0</v>
      </c>
      <c r="R1424" s="17" t="b">
        <v>0</v>
      </c>
      <c r="S1424" s="17" t="b">
        <v>0</v>
      </c>
      <c r="T1424" s="17" t="b">
        <v>0</v>
      </c>
      <c r="U1424" s="17" t="b">
        <v>0</v>
      </c>
      <c r="V1424" s="17" t="b">
        <v>0</v>
      </c>
      <c r="W1424" s="11"/>
      <c r="X1424" s="12"/>
      <c r="Y1424" s="12"/>
      <c r="Z1424" s="13"/>
    </row>
    <row r="1425" spans="1:26" ht="19.899999999999999" customHeight="1" x14ac:dyDescent="0.25">
      <c r="A1425" s="6"/>
      <c r="B1425" s="7"/>
      <c r="C1425" s="8"/>
      <c r="D1425" s="8"/>
      <c r="E1425" s="8"/>
      <c r="F1425" s="9"/>
      <c r="G1425" s="9"/>
      <c r="H1425" s="9"/>
      <c r="I1425" s="9" t="s">
        <v>14</v>
      </c>
      <c r="J1425" s="10" t="s">
        <v>14</v>
      </c>
      <c r="K1425" s="15" t="e">
        <f>VLOOKUP(J1425,DADOS!$A$3:$B$105,2,FALSE)</f>
        <v>#N/A</v>
      </c>
      <c r="L1425" s="15"/>
      <c r="M1425" s="18" t="b">
        <v>0</v>
      </c>
      <c r="N1425" s="17" t="b">
        <v>0</v>
      </c>
      <c r="O1425" s="17" t="b">
        <v>0</v>
      </c>
      <c r="P1425" s="17" t="b">
        <v>0</v>
      </c>
      <c r="Q1425" s="17" t="b">
        <v>0</v>
      </c>
      <c r="R1425" s="17" t="b">
        <v>0</v>
      </c>
      <c r="S1425" s="17" t="b">
        <v>0</v>
      </c>
      <c r="T1425" s="17" t="b">
        <v>0</v>
      </c>
      <c r="U1425" s="17" t="b">
        <v>0</v>
      </c>
      <c r="V1425" s="17" t="b">
        <v>0</v>
      </c>
      <c r="W1425" s="11"/>
      <c r="X1425" s="12"/>
      <c r="Y1425" s="12"/>
      <c r="Z1425" s="13"/>
    </row>
    <row r="1426" spans="1:26" ht="19.899999999999999" customHeight="1" x14ac:dyDescent="0.25">
      <c r="A1426" s="6"/>
      <c r="B1426" s="7"/>
      <c r="C1426" s="8"/>
      <c r="D1426" s="8"/>
      <c r="E1426" s="8"/>
      <c r="F1426" s="9"/>
      <c r="G1426" s="9"/>
      <c r="H1426" s="9"/>
      <c r="I1426" s="9" t="s">
        <v>14</v>
      </c>
      <c r="J1426" s="10" t="s">
        <v>14</v>
      </c>
      <c r="K1426" s="15" t="e">
        <f>VLOOKUP(J1426,DADOS!$A$3:$B$105,2,FALSE)</f>
        <v>#N/A</v>
      </c>
      <c r="L1426" s="15"/>
      <c r="M1426" s="18" t="b">
        <v>0</v>
      </c>
      <c r="N1426" s="17" t="b">
        <v>0</v>
      </c>
      <c r="O1426" s="17" t="b">
        <v>0</v>
      </c>
      <c r="P1426" s="17" t="b">
        <v>0</v>
      </c>
      <c r="Q1426" s="17" t="b">
        <v>0</v>
      </c>
      <c r="R1426" s="17" t="b">
        <v>0</v>
      </c>
      <c r="S1426" s="17" t="b">
        <v>0</v>
      </c>
      <c r="T1426" s="17" t="b">
        <v>0</v>
      </c>
      <c r="U1426" s="17" t="b">
        <v>0</v>
      </c>
      <c r="V1426" s="17" t="b">
        <v>0</v>
      </c>
      <c r="W1426" s="11"/>
      <c r="X1426" s="12"/>
      <c r="Y1426" s="12"/>
      <c r="Z1426" s="13"/>
    </row>
    <row r="1427" spans="1:26" ht="19.899999999999999" customHeight="1" x14ac:dyDescent="0.25">
      <c r="A1427" s="6"/>
      <c r="B1427" s="7"/>
      <c r="C1427" s="8"/>
      <c r="D1427" s="8"/>
      <c r="E1427" s="8"/>
      <c r="F1427" s="9"/>
      <c r="G1427" s="9"/>
      <c r="H1427" s="9"/>
      <c r="I1427" s="9" t="s">
        <v>14</v>
      </c>
      <c r="J1427" s="10" t="s">
        <v>14</v>
      </c>
      <c r="K1427" s="15" t="e">
        <f>VLOOKUP(J1427,DADOS!$A$3:$B$105,2,FALSE)</f>
        <v>#N/A</v>
      </c>
      <c r="L1427" s="15"/>
      <c r="M1427" s="18" t="b">
        <v>0</v>
      </c>
      <c r="N1427" s="17" t="b">
        <v>0</v>
      </c>
      <c r="O1427" s="17" t="b">
        <v>0</v>
      </c>
      <c r="P1427" s="17" t="b">
        <v>0</v>
      </c>
      <c r="Q1427" s="17" t="b">
        <v>0</v>
      </c>
      <c r="R1427" s="17" t="b">
        <v>0</v>
      </c>
      <c r="S1427" s="17" t="b">
        <v>0</v>
      </c>
      <c r="T1427" s="17" t="b">
        <v>0</v>
      </c>
      <c r="U1427" s="17" t="b">
        <v>0</v>
      </c>
      <c r="V1427" s="17" t="b">
        <v>0</v>
      </c>
      <c r="W1427" s="11"/>
      <c r="X1427" s="12"/>
      <c r="Y1427" s="12"/>
      <c r="Z1427" s="13"/>
    </row>
    <row r="1428" spans="1:26" ht="19.899999999999999" customHeight="1" x14ac:dyDescent="0.25">
      <c r="A1428" s="6"/>
      <c r="B1428" s="7"/>
      <c r="C1428" s="8"/>
      <c r="D1428" s="8"/>
      <c r="E1428" s="8"/>
      <c r="F1428" s="9"/>
      <c r="G1428" s="9"/>
      <c r="H1428" s="9"/>
      <c r="I1428" s="9" t="s">
        <v>14</v>
      </c>
      <c r="J1428" s="10" t="s">
        <v>14</v>
      </c>
      <c r="K1428" s="15" t="e">
        <f>VLOOKUP(J1428,DADOS!$A$3:$B$105,2,FALSE)</f>
        <v>#N/A</v>
      </c>
      <c r="L1428" s="15"/>
      <c r="M1428" s="18" t="b">
        <v>0</v>
      </c>
      <c r="N1428" s="17" t="b">
        <v>0</v>
      </c>
      <c r="O1428" s="17" t="b">
        <v>0</v>
      </c>
      <c r="P1428" s="17" t="b">
        <v>0</v>
      </c>
      <c r="Q1428" s="17" t="b">
        <v>0</v>
      </c>
      <c r="R1428" s="17" t="b">
        <v>0</v>
      </c>
      <c r="S1428" s="17" t="b">
        <v>0</v>
      </c>
      <c r="T1428" s="17" t="b">
        <v>0</v>
      </c>
      <c r="U1428" s="17" t="b">
        <v>0</v>
      </c>
      <c r="V1428" s="17" t="b">
        <v>0</v>
      </c>
      <c r="W1428" s="11"/>
      <c r="X1428" s="12"/>
      <c r="Y1428" s="12"/>
      <c r="Z1428" s="13"/>
    </row>
    <row r="1429" spans="1:26" ht="19.899999999999999" customHeight="1" x14ac:dyDescent="0.25">
      <c r="A1429" s="6"/>
      <c r="B1429" s="7"/>
      <c r="C1429" s="8"/>
      <c r="D1429" s="8"/>
      <c r="E1429" s="8"/>
      <c r="F1429" s="9"/>
      <c r="G1429" s="9"/>
      <c r="H1429" s="9"/>
      <c r="I1429" s="9" t="s">
        <v>14</v>
      </c>
      <c r="J1429" s="10" t="s">
        <v>14</v>
      </c>
      <c r="K1429" s="15" t="e">
        <f>VLOOKUP(J1429,DADOS!$A$3:$B$105,2,FALSE)</f>
        <v>#N/A</v>
      </c>
      <c r="L1429" s="15"/>
      <c r="M1429" s="18" t="b">
        <v>0</v>
      </c>
      <c r="N1429" s="17" t="b">
        <v>0</v>
      </c>
      <c r="O1429" s="17" t="b">
        <v>0</v>
      </c>
      <c r="P1429" s="17" t="b">
        <v>0</v>
      </c>
      <c r="Q1429" s="17" t="b">
        <v>0</v>
      </c>
      <c r="R1429" s="17" t="b">
        <v>0</v>
      </c>
      <c r="S1429" s="17" t="b">
        <v>0</v>
      </c>
      <c r="T1429" s="17" t="b">
        <v>0</v>
      </c>
      <c r="U1429" s="17" t="b">
        <v>0</v>
      </c>
      <c r="V1429" s="17" t="b">
        <v>0</v>
      </c>
      <c r="W1429" s="11"/>
      <c r="X1429" s="12"/>
      <c r="Y1429" s="12"/>
      <c r="Z1429" s="13"/>
    </row>
    <row r="1430" spans="1:26" ht="19.899999999999999" customHeight="1" x14ac:dyDescent="0.25">
      <c r="A1430" s="6"/>
      <c r="B1430" s="7"/>
      <c r="C1430" s="8"/>
      <c r="D1430" s="8"/>
      <c r="E1430" s="8"/>
      <c r="F1430" s="9"/>
      <c r="G1430" s="9"/>
      <c r="H1430" s="9"/>
      <c r="I1430" s="9" t="s">
        <v>14</v>
      </c>
      <c r="J1430" s="10" t="s">
        <v>14</v>
      </c>
      <c r="K1430" s="15" t="e">
        <f>VLOOKUP(J1430,DADOS!$A$3:$B$105,2,FALSE)</f>
        <v>#N/A</v>
      </c>
      <c r="L1430" s="15"/>
      <c r="M1430" s="18" t="b">
        <v>0</v>
      </c>
      <c r="N1430" s="17" t="b">
        <v>0</v>
      </c>
      <c r="O1430" s="17" t="b">
        <v>0</v>
      </c>
      <c r="P1430" s="17" t="b">
        <v>0</v>
      </c>
      <c r="Q1430" s="17" t="b">
        <v>0</v>
      </c>
      <c r="R1430" s="17" t="b">
        <v>0</v>
      </c>
      <c r="S1430" s="17" t="b">
        <v>0</v>
      </c>
      <c r="T1430" s="17" t="b">
        <v>0</v>
      </c>
      <c r="U1430" s="17" t="b">
        <v>0</v>
      </c>
      <c r="V1430" s="17" t="b">
        <v>0</v>
      </c>
      <c r="W1430" s="11"/>
      <c r="X1430" s="12"/>
      <c r="Y1430" s="12"/>
      <c r="Z1430" s="13"/>
    </row>
    <row r="1431" spans="1:26" ht="19.899999999999999" customHeight="1" x14ac:dyDescent="0.25">
      <c r="A1431" s="6"/>
      <c r="B1431" s="7"/>
      <c r="C1431" s="8"/>
      <c r="D1431" s="8"/>
      <c r="E1431" s="8"/>
      <c r="F1431" s="9"/>
      <c r="G1431" s="9"/>
      <c r="H1431" s="9"/>
      <c r="I1431" s="9" t="s">
        <v>14</v>
      </c>
      <c r="J1431" s="10" t="s">
        <v>14</v>
      </c>
      <c r="K1431" s="15" t="e">
        <f>VLOOKUP(J1431,DADOS!$A$3:$B$105,2,FALSE)</f>
        <v>#N/A</v>
      </c>
      <c r="L1431" s="15"/>
      <c r="M1431" s="18" t="b">
        <v>0</v>
      </c>
      <c r="N1431" s="17" t="b">
        <v>0</v>
      </c>
      <c r="O1431" s="17" t="b">
        <v>0</v>
      </c>
      <c r="P1431" s="17" t="b">
        <v>0</v>
      </c>
      <c r="Q1431" s="17" t="b">
        <v>0</v>
      </c>
      <c r="R1431" s="17" t="b">
        <v>0</v>
      </c>
      <c r="S1431" s="17" t="b">
        <v>0</v>
      </c>
      <c r="T1431" s="17" t="b">
        <v>0</v>
      </c>
      <c r="U1431" s="17" t="b">
        <v>0</v>
      </c>
      <c r="V1431" s="17" t="b">
        <v>0</v>
      </c>
      <c r="W1431" s="11"/>
      <c r="X1431" s="12"/>
      <c r="Y1431" s="12"/>
      <c r="Z1431" s="13"/>
    </row>
    <row r="1432" spans="1:26" ht="19.899999999999999" customHeight="1" x14ac:dyDescent="0.25">
      <c r="A1432" s="6"/>
      <c r="B1432" s="7"/>
      <c r="C1432" s="8"/>
      <c r="D1432" s="8"/>
      <c r="E1432" s="8"/>
      <c r="F1432" s="9"/>
      <c r="G1432" s="9"/>
      <c r="H1432" s="9"/>
      <c r="I1432" s="9" t="s">
        <v>14</v>
      </c>
      <c r="J1432" s="10" t="s">
        <v>14</v>
      </c>
      <c r="K1432" s="15" t="e">
        <f>VLOOKUP(J1432,DADOS!$A$3:$B$105,2,FALSE)</f>
        <v>#N/A</v>
      </c>
      <c r="L1432" s="15"/>
      <c r="M1432" s="18" t="b">
        <v>0</v>
      </c>
      <c r="N1432" s="17" t="b">
        <v>0</v>
      </c>
      <c r="O1432" s="17" t="b">
        <v>0</v>
      </c>
      <c r="P1432" s="17" t="b">
        <v>0</v>
      </c>
      <c r="Q1432" s="17" t="b">
        <v>0</v>
      </c>
      <c r="R1432" s="17" t="b">
        <v>0</v>
      </c>
      <c r="S1432" s="17" t="b">
        <v>0</v>
      </c>
      <c r="T1432" s="17" t="b">
        <v>0</v>
      </c>
      <c r="U1432" s="17" t="b">
        <v>0</v>
      </c>
      <c r="V1432" s="17" t="b">
        <v>0</v>
      </c>
      <c r="W1432" s="11"/>
      <c r="X1432" s="12"/>
      <c r="Y1432" s="12"/>
      <c r="Z1432" s="13"/>
    </row>
    <row r="1433" spans="1:26" ht="19.899999999999999" customHeight="1" x14ac:dyDescent="0.25">
      <c r="A1433" s="6"/>
      <c r="B1433" s="7"/>
      <c r="C1433" s="8"/>
      <c r="D1433" s="8"/>
      <c r="E1433" s="8"/>
      <c r="F1433" s="9"/>
      <c r="G1433" s="9"/>
      <c r="H1433" s="9"/>
      <c r="I1433" s="9" t="s">
        <v>14</v>
      </c>
      <c r="J1433" s="10" t="s">
        <v>14</v>
      </c>
      <c r="K1433" s="15" t="e">
        <f>VLOOKUP(J1433,DADOS!$A$3:$B$105,2,FALSE)</f>
        <v>#N/A</v>
      </c>
      <c r="L1433" s="15"/>
      <c r="M1433" s="18" t="b">
        <v>0</v>
      </c>
      <c r="N1433" s="17" t="b">
        <v>0</v>
      </c>
      <c r="O1433" s="17" t="b">
        <v>0</v>
      </c>
      <c r="P1433" s="17" t="b">
        <v>0</v>
      </c>
      <c r="Q1433" s="17" t="b">
        <v>0</v>
      </c>
      <c r="R1433" s="17" t="b">
        <v>0</v>
      </c>
      <c r="S1433" s="17" t="b">
        <v>0</v>
      </c>
      <c r="T1433" s="17" t="b">
        <v>0</v>
      </c>
      <c r="U1433" s="17" t="b">
        <v>0</v>
      </c>
      <c r="V1433" s="17" t="b">
        <v>0</v>
      </c>
      <c r="W1433" s="11"/>
      <c r="X1433" s="12"/>
      <c r="Y1433" s="12"/>
      <c r="Z1433" s="13"/>
    </row>
    <row r="1434" spans="1:26" ht="19.899999999999999" customHeight="1" x14ac:dyDescent="0.25">
      <c r="A1434" s="6"/>
      <c r="B1434" s="7"/>
      <c r="C1434" s="8"/>
      <c r="D1434" s="8"/>
      <c r="E1434" s="8"/>
      <c r="F1434" s="9"/>
      <c r="G1434" s="9"/>
      <c r="H1434" s="9"/>
      <c r="I1434" s="9" t="s">
        <v>14</v>
      </c>
      <c r="J1434" s="10" t="s">
        <v>14</v>
      </c>
      <c r="K1434" s="15" t="e">
        <f>VLOOKUP(J1434,DADOS!$A$3:$B$105,2,FALSE)</f>
        <v>#N/A</v>
      </c>
      <c r="L1434" s="15"/>
      <c r="M1434" s="18" t="b">
        <v>0</v>
      </c>
      <c r="N1434" s="17" t="b">
        <v>0</v>
      </c>
      <c r="O1434" s="17" t="b">
        <v>0</v>
      </c>
      <c r="P1434" s="17" t="b">
        <v>0</v>
      </c>
      <c r="Q1434" s="17" t="b">
        <v>0</v>
      </c>
      <c r="R1434" s="17" t="b">
        <v>0</v>
      </c>
      <c r="S1434" s="17" t="b">
        <v>0</v>
      </c>
      <c r="T1434" s="17" t="b">
        <v>0</v>
      </c>
      <c r="U1434" s="17" t="b">
        <v>0</v>
      </c>
      <c r="V1434" s="17" t="b">
        <v>0</v>
      </c>
      <c r="W1434" s="11"/>
      <c r="X1434" s="12"/>
      <c r="Y1434" s="12"/>
      <c r="Z1434" s="13"/>
    </row>
    <row r="1435" spans="1:26" ht="19.899999999999999" customHeight="1" x14ac:dyDescent="0.25">
      <c r="A1435" s="6"/>
      <c r="B1435" s="7"/>
      <c r="C1435" s="8"/>
      <c r="D1435" s="8"/>
      <c r="E1435" s="8"/>
      <c r="F1435" s="9"/>
      <c r="G1435" s="9"/>
      <c r="H1435" s="9"/>
      <c r="I1435" s="9" t="s">
        <v>14</v>
      </c>
      <c r="J1435" s="10" t="s">
        <v>14</v>
      </c>
      <c r="K1435" s="15" t="e">
        <f>VLOOKUP(J1435,DADOS!$A$3:$B$105,2,FALSE)</f>
        <v>#N/A</v>
      </c>
      <c r="L1435" s="15"/>
      <c r="M1435" s="18" t="b">
        <v>0</v>
      </c>
      <c r="N1435" s="17" t="b">
        <v>0</v>
      </c>
      <c r="O1435" s="17" t="b">
        <v>0</v>
      </c>
      <c r="P1435" s="17" t="b">
        <v>0</v>
      </c>
      <c r="Q1435" s="17" t="b">
        <v>0</v>
      </c>
      <c r="R1435" s="17" t="b">
        <v>0</v>
      </c>
      <c r="S1435" s="17" t="b">
        <v>0</v>
      </c>
      <c r="T1435" s="17" t="b">
        <v>0</v>
      </c>
      <c r="U1435" s="17" t="b">
        <v>0</v>
      </c>
      <c r="V1435" s="17" t="b">
        <v>0</v>
      </c>
      <c r="W1435" s="11"/>
      <c r="X1435" s="12"/>
      <c r="Y1435" s="12"/>
      <c r="Z1435" s="13"/>
    </row>
    <row r="1436" spans="1:26" ht="19.899999999999999" customHeight="1" x14ac:dyDescent="0.25">
      <c r="A1436" s="6"/>
      <c r="B1436" s="7"/>
      <c r="C1436" s="8"/>
      <c r="D1436" s="8"/>
      <c r="E1436" s="8"/>
      <c r="F1436" s="9"/>
      <c r="G1436" s="9"/>
      <c r="H1436" s="9"/>
      <c r="I1436" s="9" t="s">
        <v>14</v>
      </c>
      <c r="J1436" s="10" t="s">
        <v>14</v>
      </c>
      <c r="K1436" s="15" t="e">
        <f>VLOOKUP(J1436,DADOS!$A$3:$B$105,2,FALSE)</f>
        <v>#N/A</v>
      </c>
      <c r="L1436" s="15"/>
      <c r="M1436" s="18" t="b">
        <v>0</v>
      </c>
      <c r="N1436" s="17" t="b">
        <v>0</v>
      </c>
      <c r="O1436" s="17" t="b">
        <v>0</v>
      </c>
      <c r="P1436" s="17" t="b">
        <v>0</v>
      </c>
      <c r="Q1436" s="17" t="b">
        <v>0</v>
      </c>
      <c r="R1436" s="17" t="b">
        <v>0</v>
      </c>
      <c r="S1436" s="17" t="b">
        <v>0</v>
      </c>
      <c r="T1436" s="17" t="b">
        <v>0</v>
      </c>
      <c r="U1436" s="17" t="b">
        <v>0</v>
      </c>
      <c r="V1436" s="17" t="b">
        <v>0</v>
      </c>
      <c r="W1436" s="11"/>
      <c r="X1436" s="12"/>
      <c r="Y1436" s="12"/>
      <c r="Z1436" s="13"/>
    </row>
    <row r="1437" spans="1:26" ht="19.899999999999999" customHeight="1" x14ac:dyDescent="0.25">
      <c r="A1437" s="6"/>
      <c r="B1437" s="7"/>
      <c r="C1437" s="8"/>
      <c r="D1437" s="8"/>
      <c r="E1437" s="8"/>
      <c r="F1437" s="9"/>
      <c r="G1437" s="9"/>
      <c r="H1437" s="9"/>
      <c r="I1437" s="9" t="s">
        <v>14</v>
      </c>
      <c r="J1437" s="10" t="s">
        <v>14</v>
      </c>
      <c r="K1437" s="15" t="e">
        <f>VLOOKUP(J1437,DADOS!$A$3:$B$105,2,FALSE)</f>
        <v>#N/A</v>
      </c>
      <c r="L1437" s="15"/>
      <c r="M1437" s="18" t="b">
        <v>0</v>
      </c>
      <c r="N1437" s="17" t="b">
        <v>0</v>
      </c>
      <c r="O1437" s="17" t="b">
        <v>0</v>
      </c>
      <c r="P1437" s="17" t="b">
        <v>0</v>
      </c>
      <c r="Q1437" s="17" t="b">
        <v>0</v>
      </c>
      <c r="R1437" s="17" t="b">
        <v>0</v>
      </c>
      <c r="S1437" s="17" t="b">
        <v>0</v>
      </c>
      <c r="T1437" s="17" t="b">
        <v>0</v>
      </c>
      <c r="U1437" s="17" t="b">
        <v>0</v>
      </c>
      <c r="V1437" s="17" t="b">
        <v>0</v>
      </c>
      <c r="W1437" s="11"/>
      <c r="X1437" s="12"/>
      <c r="Y1437" s="12"/>
      <c r="Z1437" s="13"/>
    </row>
    <row r="1438" spans="1:26" ht="19.899999999999999" customHeight="1" x14ac:dyDescent="0.25">
      <c r="A1438" s="6"/>
      <c r="B1438" s="7"/>
      <c r="C1438" s="8"/>
      <c r="D1438" s="8"/>
      <c r="E1438" s="8"/>
      <c r="F1438" s="9"/>
      <c r="G1438" s="9"/>
      <c r="H1438" s="9"/>
      <c r="I1438" s="9" t="s">
        <v>14</v>
      </c>
      <c r="J1438" s="10" t="s">
        <v>14</v>
      </c>
      <c r="K1438" s="15" t="e">
        <f>VLOOKUP(J1438,DADOS!$A$3:$B$105,2,FALSE)</f>
        <v>#N/A</v>
      </c>
      <c r="L1438" s="15"/>
      <c r="M1438" s="18" t="b">
        <v>0</v>
      </c>
      <c r="N1438" s="17" t="b">
        <v>0</v>
      </c>
      <c r="O1438" s="17" t="b">
        <v>0</v>
      </c>
      <c r="P1438" s="17" t="b">
        <v>0</v>
      </c>
      <c r="Q1438" s="17" t="b">
        <v>0</v>
      </c>
      <c r="R1438" s="17" t="b">
        <v>0</v>
      </c>
      <c r="S1438" s="17" t="b">
        <v>0</v>
      </c>
      <c r="T1438" s="17" t="b">
        <v>0</v>
      </c>
      <c r="U1438" s="17" t="b">
        <v>0</v>
      </c>
      <c r="V1438" s="17" t="b">
        <v>0</v>
      </c>
      <c r="W1438" s="11"/>
      <c r="X1438" s="12"/>
      <c r="Y1438" s="12"/>
      <c r="Z1438" s="13"/>
    </row>
    <row r="1439" spans="1:26" ht="19.899999999999999" customHeight="1" x14ac:dyDescent="0.25">
      <c r="A1439" s="6"/>
      <c r="B1439" s="7"/>
      <c r="C1439" s="8"/>
      <c r="D1439" s="8"/>
      <c r="E1439" s="8"/>
      <c r="F1439" s="9"/>
      <c r="G1439" s="9"/>
      <c r="H1439" s="9"/>
      <c r="I1439" s="9" t="s">
        <v>14</v>
      </c>
      <c r="J1439" s="10" t="s">
        <v>14</v>
      </c>
      <c r="K1439" s="15" t="e">
        <f>VLOOKUP(J1439,DADOS!$A$3:$B$105,2,FALSE)</f>
        <v>#N/A</v>
      </c>
      <c r="L1439" s="15"/>
      <c r="M1439" s="18" t="b">
        <v>0</v>
      </c>
      <c r="N1439" s="17" t="b">
        <v>0</v>
      </c>
      <c r="O1439" s="17" t="b">
        <v>0</v>
      </c>
      <c r="P1439" s="17" t="b">
        <v>0</v>
      </c>
      <c r="Q1439" s="17" t="b">
        <v>0</v>
      </c>
      <c r="R1439" s="17" t="b">
        <v>0</v>
      </c>
      <c r="S1439" s="17" t="b">
        <v>0</v>
      </c>
      <c r="T1439" s="17" t="b">
        <v>0</v>
      </c>
      <c r="U1439" s="17" t="b">
        <v>0</v>
      </c>
      <c r="V1439" s="17" t="b">
        <v>0</v>
      </c>
      <c r="W1439" s="11"/>
      <c r="X1439" s="12"/>
      <c r="Y1439" s="12"/>
      <c r="Z1439" s="13"/>
    </row>
    <row r="1440" spans="1:26" ht="19.899999999999999" customHeight="1" x14ac:dyDescent="0.25">
      <c r="A1440" s="6"/>
      <c r="B1440" s="7"/>
      <c r="C1440" s="8"/>
      <c r="D1440" s="8"/>
      <c r="E1440" s="8"/>
      <c r="F1440" s="9"/>
      <c r="G1440" s="9"/>
      <c r="H1440" s="9"/>
      <c r="I1440" s="9" t="s">
        <v>14</v>
      </c>
      <c r="J1440" s="10" t="s">
        <v>14</v>
      </c>
      <c r="K1440" s="15" t="e">
        <f>VLOOKUP(J1440,DADOS!$A$3:$B$105,2,FALSE)</f>
        <v>#N/A</v>
      </c>
      <c r="L1440" s="15"/>
      <c r="M1440" s="18" t="b">
        <v>0</v>
      </c>
      <c r="N1440" s="17" t="b">
        <v>0</v>
      </c>
      <c r="O1440" s="17" t="b">
        <v>0</v>
      </c>
      <c r="P1440" s="17" t="b">
        <v>0</v>
      </c>
      <c r="Q1440" s="17" t="b">
        <v>0</v>
      </c>
      <c r="R1440" s="17" t="b">
        <v>0</v>
      </c>
      <c r="S1440" s="17" t="b">
        <v>0</v>
      </c>
      <c r="T1440" s="17" t="b">
        <v>0</v>
      </c>
      <c r="U1440" s="17" t="b">
        <v>0</v>
      </c>
      <c r="V1440" s="17" t="b">
        <v>0</v>
      </c>
      <c r="W1440" s="11"/>
      <c r="X1440" s="12"/>
      <c r="Y1440" s="12"/>
      <c r="Z1440" s="13"/>
    </row>
    <row r="1441" spans="1:26" ht="19.899999999999999" customHeight="1" x14ac:dyDescent="0.25">
      <c r="A1441" s="6"/>
      <c r="B1441" s="7"/>
      <c r="C1441" s="8"/>
      <c r="D1441" s="8"/>
      <c r="E1441" s="8"/>
      <c r="F1441" s="9"/>
      <c r="G1441" s="9"/>
      <c r="H1441" s="9"/>
      <c r="I1441" s="9" t="s">
        <v>14</v>
      </c>
      <c r="J1441" s="10" t="s">
        <v>14</v>
      </c>
      <c r="K1441" s="15" t="e">
        <f>VLOOKUP(J1441,DADOS!$A$3:$B$105,2,FALSE)</f>
        <v>#N/A</v>
      </c>
      <c r="L1441" s="15"/>
      <c r="M1441" s="18" t="b">
        <v>0</v>
      </c>
      <c r="N1441" s="17" t="b">
        <v>0</v>
      </c>
      <c r="O1441" s="17" t="b">
        <v>0</v>
      </c>
      <c r="P1441" s="17" t="b">
        <v>0</v>
      </c>
      <c r="Q1441" s="17" t="b">
        <v>0</v>
      </c>
      <c r="R1441" s="17" t="b">
        <v>0</v>
      </c>
      <c r="S1441" s="17" t="b">
        <v>0</v>
      </c>
      <c r="T1441" s="17" t="b">
        <v>0</v>
      </c>
      <c r="U1441" s="17" t="b">
        <v>0</v>
      </c>
      <c r="V1441" s="17" t="b">
        <v>0</v>
      </c>
      <c r="W1441" s="11"/>
      <c r="X1441" s="12"/>
      <c r="Y1441" s="12"/>
      <c r="Z1441" s="13"/>
    </row>
    <row r="1442" spans="1:26" ht="19.899999999999999" customHeight="1" x14ac:dyDescent="0.25">
      <c r="A1442" s="6"/>
      <c r="B1442" s="7"/>
      <c r="C1442" s="8"/>
      <c r="D1442" s="8"/>
      <c r="E1442" s="8"/>
      <c r="F1442" s="9"/>
      <c r="G1442" s="9"/>
      <c r="H1442" s="9"/>
      <c r="I1442" s="9" t="s">
        <v>14</v>
      </c>
      <c r="J1442" s="10" t="s">
        <v>14</v>
      </c>
      <c r="K1442" s="15" t="e">
        <f>VLOOKUP(J1442,DADOS!$A$3:$B$105,2,FALSE)</f>
        <v>#N/A</v>
      </c>
      <c r="L1442" s="15"/>
      <c r="M1442" s="18" t="b">
        <v>0</v>
      </c>
      <c r="N1442" s="17" t="b">
        <v>0</v>
      </c>
      <c r="O1442" s="17" t="b">
        <v>0</v>
      </c>
      <c r="P1442" s="17" t="b">
        <v>0</v>
      </c>
      <c r="Q1442" s="17" t="b">
        <v>0</v>
      </c>
      <c r="R1442" s="17" t="b">
        <v>0</v>
      </c>
      <c r="S1442" s="17" t="b">
        <v>0</v>
      </c>
      <c r="T1442" s="17" t="b">
        <v>0</v>
      </c>
      <c r="U1442" s="17" t="b">
        <v>0</v>
      </c>
      <c r="V1442" s="17" t="b">
        <v>0</v>
      </c>
      <c r="W1442" s="11"/>
      <c r="X1442" s="12"/>
      <c r="Y1442" s="12"/>
      <c r="Z1442" s="13"/>
    </row>
    <row r="1443" spans="1:26" ht="19.899999999999999" customHeight="1" x14ac:dyDescent="0.25">
      <c r="A1443" s="6"/>
      <c r="B1443" s="7"/>
      <c r="C1443" s="8"/>
      <c r="D1443" s="8"/>
      <c r="E1443" s="8"/>
      <c r="F1443" s="9"/>
      <c r="G1443" s="9"/>
      <c r="H1443" s="9"/>
      <c r="I1443" s="9" t="s">
        <v>14</v>
      </c>
      <c r="J1443" s="10" t="s">
        <v>14</v>
      </c>
      <c r="K1443" s="15" t="e">
        <f>VLOOKUP(J1443,DADOS!$A$3:$B$105,2,FALSE)</f>
        <v>#N/A</v>
      </c>
      <c r="L1443" s="15"/>
      <c r="M1443" s="18" t="b">
        <v>0</v>
      </c>
      <c r="N1443" s="17" t="b">
        <v>0</v>
      </c>
      <c r="O1443" s="17" t="b">
        <v>0</v>
      </c>
      <c r="P1443" s="17" t="b">
        <v>0</v>
      </c>
      <c r="Q1443" s="17" t="b">
        <v>0</v>
      </c>
      <c r="R1443" s="17" t="b">
        <v>0</v>
      </c>
      <c r="S1443" s="17" t="b">
        <v>0</v>
      </c>
      <c r="T1443" s="17" t="b">
        <v>0</v>
      </c>
      <c r="U1443" s="17" t="b">
        <v>0</v>
      </c>
      <c r="V1443" s="17" t="b">
        <v>0</v>
      </c>
      <c r="W1443" s="11"/>
      <c r="X1443" s="12"/>
      <c r="Y1443" s="12"/>
      <c r="Z1443" s="13"/>
    </row>
    <row r="1444" spans="1:26" ht="19.899999999999999" customHeight="1" x14ac:dyDescent="0.25">
      <c r="A1444" s="6"/>
      <c r="B1444" s="7"/>
      <c r="C1444" s="8"/>
      <c r="D1444" s="8"/>
      <c r="E1444" s="8"/>
      <c r="F1444" s="9"/>
      <c r="G1444" s="9"/>
      <c r="H1444" s="9"/>
      <c r="I1444" s="9" t="s">
        <v>14</v>
      </c>
      <c r="J1444" s="10" t="s">
        <v>14</v>
      </c>
      <c r="K1444" s="15" t="e">
        <f>VLOOKUP(J1444,DADOS!$A$3:$B$105,2,FALSE)</f>
        <v>#N/A</v>
      </c>
      <c r="L1444" s="15"/>
      <c r="M1444" s="18" t="b">
        <v>0</v>
      </c>
      <c r="N1444" s="17" t="b">
        <v>0</v>
      </c>
      <c r="O1444" s="17" t="b">
        <v>0</v>
      </c>
      <c r="P1444" s="17" t="b">
        <v>0</v>
      </c>
      <c r="Q1444" s="17" t="b">
        <v>0</v>
      </c>
      <c r="R1444" s="17" t="b">
        <v>0</v>
      </c>
      <c r="S1444" s="17" t="b">
        <v>0</v>
      </c>
      <c r="T1444" s="17" t="b">
        <v>0</v>
      </c>
      <c r="U1444" s="17" t="b">
        <v>0</v>
      </c>
      <c r="V1444" s="17" t="b">
        <v>0</v>
      </c>
      <c r="W1444" s="11"/>
      <c r="X1444" s="12"/>
      <c r="Y1444" s="12"/>
      <c r="Z1444" s="13"/>
    </row>
    <row r="1445" spans="1:26" ht="19.899999999999999" customHeight="1" x14ac:dyDescent="0.25">
      <c r="A1445" s="6"/>
      <c r="B1445" s="7"/>
      <c r="C1445" s="8"/>
      <c r="D1445" s="8"/>
      <c r="E1445" s="8"/>
      <c r="F1445" s="9"/>
      <c r="G1445" s="9"/>
      <c r="H1445" s="9"/>
      <c r="I1445" s="9" t="s">
        <v>14</v>
      </c>
      <c r="J1445" s="10" t="s">
        <v>14</v>
      </c>
      <c r="K1445" s="15" t="e">
        <f>VLOOKUP(J1445,DADOS!$A$3:$B$105,2,FALSE)</f>
        <v>#N/A</v>
      </c>
      <c r="L1445" s="15"/>
      <c r="M1445" s="18" t="b">
        <v>0</v>
      </c>
      <c r="N1445" s="17" t="b">
        <v>0</v>
      </c>
      <c r="O1445" s="17" t="b">
        <v>0</v>
      </c>
      <c r="P1445" s="17" t="b">
        <v>0</v>
      </c>
      <c r="Q1445" s="17" t="b">
        <v>0</v>
      </c>
      <c r="R1445" s="17" t="b">
        <v>0</v>
      </c>
      <c r="S1445" s="17" t="b">
        <v>0</v>
      </c>
      <c r="T1445" s="17" t="b">
        <v>0</v>
      </c>
      <c r="U1445" s="17" t="b">
        <v>0</v>
      </c>
      <c r="V1445" s="17" t="b">
        <v>0</v>
      </c>
      <c r="W1445" s="11"/>
      <c r="X1445" s="12"/>
      <c r="Y1445" s="12"/>
      <c r="Z1445" s="13"/>
    </row>
    <row r="1446" spans="1:26" ht="19.899999999999999" customHeight="1" x14ac:dyDescent="0.25">
      <c r="A1446" s="6"/>
      <c r="B1446" s="7"/>
      <c r="C1446" s="8"/>
      <c r="D1446" s="8"/>
      <c r="E1446" s="8"/>
      <c r="F1446" s="9"/>
      <c r="G1446" s="9"/>
      <c r="H1446" s="9"/>
      <c r="I1446" s="9" t="s">
        <v>14</v>
      </c>
      <c r="J1446" s="10" t="s">
        <v>14</v>
      </c>
      <c r="K1446" s="15" t="e">
        <f>VLOOKUP(J1446,DADOS!$A$3:$B$105,2,FALSE)</f>
        <v>#N/A</v>
      </c>
      <c r="L1446" s="15"/>
      <c r="M1446" s="18" t="b">
        <v>0</v>
      </c>
      <c r="N1446" s="17" t="b">
        <v>0</v>
      </c>
      <c r="O1446" s="17" t="b">
        <v>0</v>
      </c>
      <c r="P1446" s="17" t="b">
        <v>0</v>
      </c>
      <c r="Q1446" s="17" t="b">
        <v>0</v>
      </c>
      <c r="R1446" s="17" t="b">
        <v>0</v>
      </c>
      <c r="S1446" s="17" t="b">
        <v>0</v>
      </c>
      <c r="T1446" s="17" t="b">
        <v>0</v>
      </c>
      <c r="U1446" s="17" t="b">
        <v>0</v>
      </c>
      <c r="V1446" s="17" t="b">
        <v>0</v>
      </c>
      <c r="W1446" s="11"/>
      <c r="X1446" s="12"/>
      <c r="Y1446" s="12"/>
      <c r="Z1446" s="13"/>
    </row>
    <row r="1447" spans="1:26" ht="19.899999999999999" customHeight="1" x14ac:dyDescent="0.25">
      <c r="A1447" s="6"/>
      <c r="B1447" s="7"/>
      <c r="C1447" s="8"/>
      <c r="D1447" s="8"/>
      <c r="E1447" s="8"/>
      <c r="F1447" s="9"/>
      <c r="G1447" s="9"/>
      <c r="H1447" s="9"/>
      <c r="I1447" s="9" t="s">
        <v>14</v>
      </c>
      <c r="J1447" s="10" t="s">
        <v>14</v>
      </c>
      <c r="K1447" s="15" t="e">
        <f>VLOOKUP(J1447,DADOS!$A$3:$B$105,2,FALSE)</f>
        <v>#N/A</v>
      </c>
      <c r="L1447" s="15"/>
      <c r="M1447" s="18" t="b">
        <v>0</v>
      </c>
      <c r="N1447" s="17" t="b">
        <v>0</v>
      </c>
      <c r="O1447" s="17" t="b">
        <v>0</v>
      </c>
      <c r="P1447" s="17" t="b">
        <v>0</v>
      </c>
      <c r="Q1447" s="17" t="b">
        <v>0</v>
      </c>
      <c r="R1447" s="17" t="b">
        <v>0</v>
      </c>
      <c r="S1447" s="17" t="b">
        <v>0</v>
      </c>
      <c r="T1447" s="17" t="b">
        <v>0</v>
      </c>
      <c r="U1447" s="17" t="b">
        <v>0</v>
      </c>
      <c r="V1447" s="17" t="b">
        <v>0</v>
      </c>
      <c r="W1447" s="11"/>
      <c r="X1447" s="12"/>
      <c r="Y1447" s="12"/>
      <c r="Z1447" s="13"/>
    </row>
    <row r="1448" spans="1:26" ht="19.899999999999999" customHeight="1" x14ac:dyDescent="0.25">
      <c r="A1448" s="6"/>
      <c r="B1448" s="7"/>
      <c r="C1448" s="8"/>
      <c r="D1448" s="8"/>
      <c r="E1448" s="8"/>
      <c r="F1448" s="9"/>
      <c r="G1448" s="9"/>
      <c r="H1448" s="9"/>
      <c r="I1448" s="9" t="s">
        <v>14</v>
      </c>
      <c r="J1448" s="10" t="s">
        <v>14</v>
      </c>
      <c r="K1448" s="15" t="e">
        <f>VLOOKUP(J1448,DADOS!$A$3:$B$105,2,FALSE)</f>
        <v>#N/A</v>
      </c>
      <c r="L1448" s="15"/>
      <c r="M1448" s="18" t="b">
        <v>0</v>
      </c>
      <c r="N1448" s="17" t="b">
        <v>0</v>
      </c>
      <c r="O1448" s="17" t="b">
        <v>0</v>
      </c>
      <c r="P1448" s="17" t="b">
        <v>0</v>
      </c>
      <c r="Q1448" s="17" t="b">
        <v>0</v>
      </c>
      <c r="R1448" s="17" t="b">
        <v>0</v>
      </c>
      <c r="S1448" s="17" t="b">
        <v>0</v>
      </c>
      <c r="T1448" s="17" t="b">
        <v>0</v>
      </c>
      <c r="U1448" s="17" t="b">
        <v>0</v>
      </c>
      <c r="V1448" s="17" t="b">
        <v>0</v>
      </c>
      <c r="W1448" s="11"/>
      <c r="X1448" s="12"/>
      <c r="Y1448" s="12"/>
      <c r="Z1448" s="13"/>
    </row>
    <row r="1449" spans="1:26" ht="19.899999999999999" customHeight="1" x14ac:dyDescent="0.25">
      <c r="A1449" s="6"/>
      <c r="B1449" s="7"/>
      <c r="C1449" s="8"/>
      <c r="D1449" s="8"/>
      <c r="E1449" s="8"/>
      <c r="F1449" s="9"/>
      <c r="G1449" s="9"/>
      <c r="H1449" s="9"/>
      <c r="I1449" s="9" t="s">
        <v>14</v>
      </c>
      <c r="J1449" s="10" t="s">
        <v>14</v>
      </c>
      <c r="K1449" s="15" t="e">
        <f>VLOOKUP(J1449,DADOS!$A$3:$B$105,2,FALSE)</f>
        <v>#N/A</v>
      </c>
      <c r="L1449" s="15"/>
      <c r="M1449" s="18" t="b">
        <v>0</v>
      </c>
      <c r="N1449" s="17" t="b">
        <v>0</v>
      </c>
      <c r="O1449" s="17" t="b">
        <v>0</v>
      </c>
      <c r="P1449" s="17" t="b">
        <v>0</v>
      </c>
      <c r="Q1449" s="17" t="b">
        <v>0</v>
      </c>
      <c r="R1449" s="17" t="b">
        <v>0</v>
      </c>
      <c r="S1449" s="17" t="b">
        <v>0</v>
      </c>
      <c r="T1449" s="17" t="b">
        <v>0</v>
      </c>
      <c r="U1449" s="17" t="b">
        <v>0</v>
      </c>
      <c r="V1449" s="17" t="b">
        <v>0</v>
      </c>
      <c r="W1449" s="11"/>
      <c r="X1449" s="12"/>
      <c r="Y1449" s="12"/>
      <c r="Z1449" s="13"/>
    </row>
    <row r="1450" spans="1:26" ht="19.899999999999999" customHeight="1" x14ac:dyDescent="0.25">
      <c r="A1450" s="6"/>
      <c r="B1450" s="7"/>
      <c r="C1450" s="8"/>
      <c r="D1450" s="8"/>
      <c r="E1450" s="8"/>
      <c r="F1450" s="9"/>
      <c r="G1450" s="9"/>
      <c r="H1450" s="9"/>
      <c r="I1450" s="9" t="s">
        <v>14</v>
      </c>
      <c r="J1450" s="10" t="s">
        <v>14</v>
      </c>
      <c r="K1450" s="15" t="e">
        <f>VLOOKUP(J1450,DADOS!$A$3:$B$105,2,FALSE)</f>
        <v>#N/A</v>
      </c>
      <c r="L1450" s="15"/>
      <c r="M1450" s="18" t="b">
        <v>0</v>
      </c>
      <c r="N1450" s="17" t="b">
        <v>0</v>
      </c>
      <c r="O1450" s="17" t="b">
        <v>0</v>
      </c>
      <c r="P1450" s="17" t="b">
        <v>0</v>
      </c>
      <c r="Q1450" s="17" t="b">
        <v>0</v>
      </c>
      <c r="R1450" s="17" t="b">
        <v>0</v>
      </c>
      <c r="S1450" s="17" t="b">
        <v>0</v>
      </c>
      <c r="T1450" s="17" t="b">
        <v>0</v>
      </c>
      <c r="U1450" s="17" t="b">
        <v>0</v>
      </c>
      <c r="V1450" s="17" t="b">
        <v>0</v>
      </c>
      <c r="W1450" s="11"/>
      <c r="X1450" s="12"/>
      <c r="Y1450" s="12"/>
      <c r="Z1450" s="13"/>
    </row>
    <row r="1451" spans="1:26" ht="19.899999999999999" customHeight="1" x14ac:dyDescent="0.25">
      <c r="A1451" s="6"/>
      <c r="B1451" s="7"/>
      <c r="C1451" s="8"/>
      <c r="D1451" s="8"/>
      <c r="E1451" s="8"/>
      <c r="F1451" s="9"/>
      <c r="G1451" s="9"/>
      <c r="H1451" s="9"/>
      <c r="I1451" s="9" t="s">
        <v>14</v>
      </c>
      <c r="J1451" s="10" t="s">
        <v>14</v>
      </c>
      <c r="K1451" s="15" t="e">
        <f>VLOOKUP(J1451,DADOS!$A$3:$B$105,2,FALSE)</f>
        <v>#N/A</v>
      </c>
      <c r="L1451" s="15"/>
      <c r="M1451" s="18" t="b">
        <v>0</v>
      </c>
      <c r="N1451" s="17" t="b">
        <v>0</v>
      </c>
      <c r="O1451" s="17" t="b">
        <v>0</v>
      </c>
      <c r="P1451" s="17" t="b">
        <v>0</v>
      </c>
      <c r="Q1451" s="17" t="b">
        <v>0</v>
      </c>
      <c r="R1451" s="17" t="b">
        <v>0</v>
      </c>
      <c r="S1451" s="17" t="b">
        <v>0</v>
      </c>
      <c r="T1451" s="17" t="b">
        <v>0</v>
      </c>
      <c r="U1451" s="17" t="b">
        <v>0</v>
      </c>
      <c r="V1451" s="17" t="b">
        <v>0</v>
      </c>
      <c r="W1451" s="11"/>
      <c r="X1451" s="12"/>
      <c r="Y1451" s="12"/>
      <c r="Z1451" s="13"/>
    </row>
    <row r="1452" spans="1:26" ht="19.899999999999999" customHeight="1" x14ac:dyDescent="0.25">
      <c r="A1452" s="6"/>
      <c r="B1452" s="7"/>
      <c r="C1452" s="8"/>
      <c r="D1452" s="8"/>
      <c r="E1452" s="8"/>
      <c r="F1452" s="9"/>
      <c r="G1452" s="9"/>
      <c r="H1452" s="9"/>
      <c r="I1452" s="9" t="s">
        <v>14</v>
      </c>
      <c r="J1452" s="10" t="s">
        <v>14</v>
      </c>
      <c r="K1452" s="15" t="e">
        <f>VLOOKUP(J1452,DADOS!$A$3:$B$105,2,FALSE)</f>
        <v>#N/A</v>
      </c>
      <c r="L1452" s="15"/>
      <c r="M1452" s="18" t="b">
        <v>0</v>
      </c>
      <c r="N1452" s="17" t="b">
        <v>0</v>
      </c>
      <c r="O1452" s="17" t="b">
        <v>0</v>
      </c>
      <c r="P1452" s="17" t="b">
        <v>0</v>
      </c>
      <c r="Q1452" s="17" t="b">
        <v>0</v>
      </c>
      <c r="R1452" s="17" t="b">
        <v>0</v>
      </c>
      <c r="S1452" s="17" t="b">
        <v>0</v>
      </c>
      <c r="T1452" s="17" t="b">
        <v>0</v>
      </c>
      <c r="U1452" s="17" t="b">
        <v>0</v>
      </c>
      <c r="V1452" s="17" t="b">
        <v>0</v>
      </c>
      <c r="W1452" s="11"/>
      <c r="X1452" s="12"/>
      <c r="Y1452" s="12"/>
      <c r="Z1452" s="13"/>
    </row>
    <row r="1453" spans="1:26" ht="19.899999999999999" customHeight="1" x14ac:dyDescent="0.25">
      <c r="A1453" s="6"/>
      <c r="B1453" s="7"/>
      <c r="C1453" s="8"/>
      <c r="D1453" s="8"/>
      <c r="E1453" s="8"/>
      <c r="F1453" s="9"/>
      <c r="G1453" s="9"/>
      <c r="H1453" s="9"/>
      <c r="I1453" s="9" t="s">
        <v>14</v>
      </c>
      <c r="J1453" s="10" t="s">
        <v>14</v>
      </c>
      <c r="K1453" s="15" t="e">
        <f>VLOOKUP(J1453,DADOS!$A$3:$B$105,2,FALSE)</f>
        <v>#N/A</v>
      </c>
      <c r="L1453" s="15"/>
      <c r="M1453" s="18" t="b">
        <v>0</v>
      </c>
      <c r="N1453" s="17" t="b">
        <v>0</v>
      </c>
      <c r="O1453" s="17" t="b">
        <v>0</v>
      </c>
      <c r="P1453" s="17" t="b">
        <v>0</v>
      </c>
      <c r="Q1453" s="17" t="b">
        <v>0</v>
      </c>
      <c r="R1453" s="17" t="b">
        <v>0</v>
      </c>
      <c r="S1453" s="17" t="b">
        <v>0</v>
      </c>
      <c r="T1453" s="17" t="b">
        <v>0</v>
      </c>
      <c r="U1453" s="17" t="b">
        <v>0</v>
      </c>
      <c r="V1453" s="17" t="b">
        <v>0</v>
      </c>
      <c r="W1453" s="11"/>
      <c r="X1453" s="12"/>
      <c r="Y1453" s="12"/>
      <c r="Z1453" s="13"/>
    </row>
    <row r="1454" spans="1:26" ht="19.899999999999999" customHeight="1" x14ac:dyDescent="0.25">
      <c r="A1454" s="6"/>
      <c r="B1454" s="7"/>
      <c r="C1454" s="8"/>
      <c r="D1454" s="8"/>
      <c r="E1454" s="8"/>
      <c r="F1454" s="9"/>
      <c r="G1454" s="9"/>
      <c r="H1454" s="9"/>
      <c r="I1454" s="9" t="s">
        <v>14</v>
      </c>
      <c r="J1454" s="10" t="s">
        <v>14</v>
      </c>
      <c r="K1454" s="15" t="e">
        <f>VLOOKUP(J1454,DADOS!$A$3:$B$105,2,FALSE)</f>
        <v>#N/A</v>
      </c>
      <c r="L1454" s="15"/>
      <c r="M1454" s="18" t="b">
        <v>0</v>
      </c>
      <c r="N1454" s="17" t="b">
        <v>0</v>
      </c>
      <c r="O1454" s="17" t="b">
        <v>0</v>
      </c>
      <c r="P1454" s="17" t="b">
        <v>0</v>
      </c>
      <c r="Q1454" s="17" t="b">
        <v>0</v>
      </c>
      <c r="R1454" s="17" t="b">
        <v>0</v>
      </c>
      <c r="S1454" s="17" t="b">
        <v>0</v>
      </c>
      <c r="T1454" s="17" t="b">
        <v>0</v>
      </c>
      <c r="U1454" s="17" t="b">
        <v>0</v>
      </c>
      <c r="V1454" s="17" t="b">
        <v>0</v>
      </c>
      <c r="W1454" s="11"/>
      <c r="X1454" s="12"/>
      <c r="Y1454" s="12"/>
      <c r="Z1454" s="13"/>
    </row>
    <row r="1455" spans="1:26" ht="19.899999999999999" customHeight="1" x14ac:dyDescent="0.25">
      <c r="A1455" s="6"/>
      <c r="B1455" s="7"/>
      <c r="C1455" s="8"/>
      <c r="D1455" s="8"/>
      <c r="E1455" s="8"/>
      <c r="F1455" s="9"/>
      <c r="G1455" s="9"/>
      <c r="H1455" s="9"/>
      <c r="I1455" s="9" t="s">
        <v>14</v>
      </c>
      <c r="J1455" s="10" t="s">
        <v>14</v>
      </c>
      <c r="K1455" s="15" t="e">
        <f>VLOOKUP(J1455,DADOS!$A$3:$B$105,2,FALSE)</f>
        <v>#N/A</v>
      </c>
      <c r="L1455" s="15"/>
      <c r="M1455" s="18" t="b">
        <v>0</v>
      </c>
      <c r="N1455" s="17" t="b">
        <v>0</v>
      </c>
      <c r="O1455" s="17" t="b">
        <v>0</v>
      </c>
      <c r="P1455" s="17" t="b">
        <v>0</v>
      </c>
      <c r="Q1455" s="17" t="b">
        <v>0</v>
      </c>
      <c r="R1455" s="17" t="b">
        <v>0</v>
      </c>
      <c r="S1455" s="17" t="b">
        <v>0</v>
      </c>
      <c r="T1455" s="17" t="b">
        <v>0</v>
      </c>
      <c r="U1455" s="17" t="b">
        <v>0</v>
      </c>
      <c r="V1455" s="17" t="b">
        <v>0</v>
      </c>
      <c r="W1455" s="11"/>
      <c r="X1455" s="12"/>
      <c r="Y1455" s="12"/>
      <c r="Z1455" s="13"/>
    </row>
    <row r="1456" spans="1:26" ht="19.899999999999999" customHeight="1" x14ac:dyDescent="0.25">
      <c r="A1456" s="6"/>
      <c r="B1456" s="7"/>
      <c r="C1456" s="8"/>
      <c r="D1456" s="8"/>
      <c r="E1456" s="8"/>
      <c r="F1456" s="9"/>
      <c r="G1456" s="9"/>
      <c r="H1456" s="9"/>
      <c r="I1456" s="9" t="s">
        <v>14</v>
      </c>
      <c r="J1456" s="10" t="s">
        <v>14</v>
      </c>
      <c r="K1456" s="15" t="e">
        <f>VLOOKUP(J1456,DADOS!$A$3:$B$105,2,FALSE)</f>
        <v>#N/A</v>
      </c>
      <c r="L1456" s="15"/>
      <c r="M1456" s="18" t="b">
        <v>0</v>
      </c>
      <c r="N1456" s="17" t="b">
        <v>0</v>
      </c>
      <c r="O1456" s="17" t="b">
        <v>0</v>
      </c>
      <c r="P1456" s="17" t="b">
        <v>0</v>
      </c>
      <c r="Q1456" s="17" t="b">
        <v>0</v>
      </c>
      <c r="R1456" s="17" t="b">
        <v>0</v>
      </c>
      <c r="S1456" s="17" t="b">
        <v>0</v>
      </c>
      <c r="T1456" s="17" t="b">
        <v>0</v>
      </c>
      <c r="U1456" s="17" t="b">
        <v>0</v>
      </c>
      <c r="V1456" s="17" t="b">
        <v>0</v>
      </c>
      <c r="W1456" s="11"/>
      <c r="X1456" s="12"/>
      <c r="Y1456" s="12"/>
      <c r="Z1456" s="13"/>
    </row>
    <row r="1457" spans="1:26" ht="19.899999999999999" customHeight="1" x14ac:dyDescent="0.25">
      <c r="A1457" s="6"/>
      <c r="B1457" s="7"/>
      <c r="C1457" s="8"/>
      <c r="D1457" s="8"/>
      <c r="E1457" s="8"/>
      <c r="F1457" s="9"/>
      <c r="G1457" s="9"/>
      <c r="H1457" s="9"/>
      <c r="I1457" s="9" t="s">
        <v>14</v>
      </c>
      <c r="J1457" s="10" t="s">
        <v>14</v>
      </c>
      <c r="K1457" s="15" t="e">
        <f>VLOOKUP(J1457,DADOS!$A$3:$B$105,2,FALSE)</f>
        <v>#N/A</v>
      </c>
      <c r="L1457" s="15"/>
      <c r="M1457" s="18" t="b">
        <v>0</v>
      </c>
      <c r="N1457" s="17" t="b">
        <v>0</v>
      </c>
      <c r="O1457" s="17" t="b">
        <v>0</v>
      </c>
      <c r="P1457" s="17" t="b">
        <v>0</v>
      </c>
      <c r="Q1457" s="17" t="b">
        <v>0</v>
      </c>
      <c r="R1457" s="17" t="b">
        <v>0</v>
      </c>
      <c r="S1457" s="17" t="b">
        <v>0</v>
      </c>
      <c r="T1457" s="17" t="b">
        <v>0</v>
      </c>
      <c r="U1457" s="17" t="b">
        <v>0</v>
      </c>
      <c r="V1457" s="17" t="b">
        <v>0</v>
      </c>
      <c r="W1457" s="11"/>
      <c r="X1457" s="12"/>
      <c r="Y1457" s="12"/>
      <c r="Z1457" s="13"/>
    </row>
    <row r="1458" spans="1:26" ht="19.899999999999999" customHeight="1" x14ac:dyDescent="0.25">
      <c r="A1458" s="6"/>
      <c r="B1458" s="7"/>
      <c r="C1458" s="8"/>
      <c r="D1458" s="8"/>
      <c r="E1458" s="8"/>
      <c r="F1458" s="9"/>
      <c r="G1458" s="9"/>
      <c r="H1458" s="9"/>
      <c r="I1458" s="9" t="s">
        <v>14</v>
      </c>
      <c r="J1458" s="10" t="s">
        <v>14</v>
      </c>
      <c r="K1458" s="15" t="e">
        <f>VLOOKUP(J1458,DADOS!$A$3:$B$105,2,FALSE)</f>
        <v>#N/A</v>
      </c>
      <c r="L1458" s="15"/>
      <c r="M1458" s="18" t="b">
        <v>0</v>
      </c>
      <c r="N1458" s="17" t="b">
        <v>0</v>
      </c>
      <c r="O1458" s="17" t="b">
        <v>0</v>
      </c>
      <c r="P1458" s="17" t="b">
        <v>0</v>
      </c>
      <c r="Q1458" s="17" t="b">
        <v>0</v>
      </c>
      <c r="R1458" s="17" t="b">
        <v>0</v>
      </c>
      <c r="S1458" s="17" t="b">
        <v>0</v>
      </c>
      <c r="T1458" s="17" t="b">
        <v>0</v>
      </c>
      <c r="U1458" s="17" t="b">
        <v>0</v>
      </c>
      <c r="V1458" s="17" t="b">
        <v>0</v>
      </c>
      <c r="W1458" s="11"/>
      <c r="X1458" s="12"/>
      <c r="Y1458" s="12"/>
      <c r="Z1458" s="13"/>
    </row>
    <row r="1459" spans="1:26" ht="19.899999999999999" customHeight="1" x14ac:dyDescent="0.25">
      <c r="A1459" s="6"/>
      <c r="B1459" s="7"/>
      <c r="C1459" s="8"/>
      <c r="D1459" s="8"/>
      <c r="E1459" s="8"/>
      <c r="F1459" s="9"/>
      <c r="G1459" s="9"/>
      <c r="H1459" s="9"/>
      <c r="I1459" s="9" t="s">
        <v>14</v>
      </c>
      <c r="J1459" s="10" t="s">
        <v>14</v>
      </c>
      <c r="K1459" s="15" t="e">
        <f>VLOOKUP(J1459,DADOS!$A$3:$B$105,2,FALSE)</f>
        <v>#N/A</v>
      </c>
      <c r="L1459" s="15"/>
      <c r="M1459" s="18" t="b">
        <v>0</v>
      </c>
      <c r="N1459" s="17" t="b">
        <v>0</v>
      </c>
      <c r="O1459" s="17" t="b">
        <v>0</v>
      </c>
      <c r="P1459" s="17" t="b">
        <v>0</v>
      </c>
      <c r="Q1459" s="17" t="b">
        <v>0</v>
      </c>
      <c r="R1459" s="17" t="b">
        <v>0</v>
      </c>
      <c r="S1459" s="17" t="b">
        <v>0</v>
      </c>
      <c r="T1459" s="17" t="b">
        <v>0</v>
      </c>
      <c r="U1459" s="17" t="b">
        <v>0</v>
      </c>
      <c r="V1459" s="17" t="b">
        <v>0</v>
      </c>
      <c r="W1459" s="11"/>
      <c r="X1459" s="12"/>
      <c r="Y1459" s="12"/>
      <c r="Z1459" s="13"/>
    </row>
    <row r="1460" spans="1:26" ht="19.899999999999999" customHeight="1" x14ac:dyDescent="0.25">
      <c r="A1460" s="6"/>
      <c r="B1460" s="7"/>
      <c r="C1460" s="8"/>
      <c r="D1460" s="8"/>
      <c r="E1460" s="8"/>
      <c r="F1460" s="9"/>
      <c r="G1460" s="9"/>
      <c r="H1460" s="9"/>
      <c r="I1460" s="9" t="s">
        <v>14</v>
      </c>
      <c r="J1460" s="10" t="s">
        <v>14</v>
      </c>
      <c r="K1460" s="15" t="e">
        <f>VLOOKUP(J1460,DADOS!$A$3:$B$105,2,FALSE)</f>
        <v>#N/A</v>
      </c>
      <c r="L1460" s="15"/>
      <c r="M1460" s="18" t="b">
        <v>0</v>
      </c>
      <c r="N1460" s="17" t="b">
        <v>0</v>
      </c>
      <c r="O1460" s="17" t="b">
        <v>0</v>
      </c>
      <c r="P1460" s="17" t="b">
        <v>0</v>
      </c>
      <c r="Q1460" s="17" t="b">
        <v>0</v>
      </c>
      <c r="R1460" s="17" t="b">
        <v>0</v>
      </c>
      <c r="S1460" s="17" t="b">
        <v>0</v>
      </c>
      <c r="T1460" s="17" t="b">
        <v>0</v>
      </c>
      <c r="U1460" s="17" t="b">
        <v>0</v>
      </c>
      <c r="V1460" s="17" t="b">
        <v>0</v>
      </c>
      <c r="W1460" s="11"/>
      <c r="X1460" s="12"/>
      <c r="Y1460" s="12"/>
      <c r="Z1460" s="13"/>
    </row>
    <row r="1461" spans="1:26" ht="19.899999999999999" customHeight="1" x14ac:dyDescent="0.25">
      <c r="A1461" s="6"/>
      <c r="B1461" s="7"/>
      <c r="C1461" s="8"/>
      <c r="D1461" s="8"/>
      <c r="E1461" s="8"/>
      <c r="F1461" s="9"/>
      <c r="G1461" s="9"/>
      <c r="H1461" s="9"/>
      <c r="I1461" s="9" t="s">
        <v>14</v>
      </c>
      <c r="J1461" s="10" t="s">
        <v>14</v>
      </c>
      <c r="K1461" s="15" t="e">
        <f>VLOOKUP(J1461,DADOS!$A$3:$B$105,2,FALSE)</f>
        <v>#N/A</v>
      </c>
      <c r="L1461" s="15"/>
      <c r="M1461" s="18" t="b">
        <v>0</v>
      </c>
      <c r="N1461" s="17" t="b">
        <v>0</v>
      </c>
      <c r="O1461" s="17" t="b">
        <v>0</v>
      </c>
      <c r="P1461" s="17" t="b">
        <v>0</v>
      </c>
      <c r="Q1461" s="17" t="b">
        <v>0</v>
      </c>
      <c r="R1461" s="17" t="b">
        <v>0</v>
      </c>
      <c r="S1461" s="17" t="b">
        <v>0</v>
      </c>
      <c r="T1461" s="17" t="b">
        <v>0</v>
      </c>
      <c r="U1461" s="17" t="b">
        <v>0</v>
      </c>
      <c r="V1461" s="17" t="b">
        <v>0</v>
      </c>
      <c r="W1461" s="11"/>
      <c r="X1461" s="12"/>
      <c r="Y1461" s="12"/>
      <c r="Z1461" s="13"/>
    </row>
    <row r="1462" spans="1:26" ht="19.899999999999999" customHeight="1" x14ac:dyDescent="0.25">
      <c r="A1462" s="6"/>
      <c r="B1462" s="7"/>
      <c r="C1462" s="8"/>
      <c r="D1462" s="8"/>
      <c r="E1462" s="8"/>
      <c r="F1462" s="9"/>
      <c r="G1462" s="9"/>
      <c r="H1462" s="9"/>
      <c r="I1462" s="9" t="s">
        <v>14</v>
      </c>
      <c r="J1462" s="10" t="s">
        <v>14</v>
      </c>
      <c r="K1462" s="15" t="e">
        <f>VLOOKUP(J1462,DADOS!$A$3:$B$105,2,FALSE)</f>
        <v>#N/A</v>
      </c>
      <c r="L1462" s="15"/>
      <c r="M1462" s="18" t="b">
        <v>0</v>
      </c>
      <c r="N1462" s="17" t="b">
        <v>0</v>
      </c>
      <c r="O1462" s="17" t="b">
        <v>0</v>
      </c>
      <c r="P1462" s="17" t="b">
        <v>0</v>
      </c>
      <c r="Q1462" s="17" t="b">
        <v>0</v>
      </c>
      <c r="R1462" s="17" t="b">
        <v>0</v>
      </c>
      <c r="S1462" s="17" t="b">
        <v>0</v>
      </c>
      <c r="T1462" s="17" t="b">
        <v>0</v>
      </c>
      <c r="U1462" s="17" t="b">
        <v>0</v>
      </c>
      <c r="V1462" s="17" t="b">
        <v>0</v>
      </c>
      <c r="W1462" s="11"/>
      <c r="X1462" s="12"/>
      <c r="Y1462" s="12"/>
      <c r="Z1462" s="13"/>
    </row>
    <row r="1463" spans="1:26" ht="19.899999999999999" customHeight="1" x14ac:dyDescent="0.25">
      <c r="A1463" s="6"/>
      <c r="B1463" s="7"/>
      <c r="C1463" s="8"/>
      <c r="D1463" s="8"/>
      <c r="E1463" s="8"/>
      <c r="F1463" s="9"/>
      <c r="G1463" s="9"/>
      <c r="H1463" s="9"/>
      <c r="I1463" s="9" t="s">
        <v>14</v>
      </c>
      <c r="J1463" s="10" t="s">
        <v>14</v>
      </c>
      <c r="K1463" s="15" t="e">
        <f>VLOOKUP(J1463,DADOS!$A$3:$B$105,2,FALSE)</f>
        <v>#N/A</v>
      </c>
      <c r="L1463" s="15"/>
      <c r="M1463" s="18" t="b">
        <v>0</v>
      </c>
      <c r="N1463" s="17" t="b">
        <v>0</v>
      </c>
      <c r="O1463" s="17" t="b">
        <v>0</v>
      </c>
      <c r="P1463" s="17" t="b">
        <v>0</v>
      </c>
      <c r="Q1463" s="17" t="b">
        <v>0</v>
      </c>
      <c r="R1463" s="17" t="b">
        <v>0</v>
      </c>
      <c r="S1463" s="17" t="b">
        <v>0</v>
      </c>
      <c r="T1463" s="17" t="b">
        <v>0</v>
      </c>
      <c r="U1463" s="17" t="b">
        <v>0</v>
      </c>
      <c r="V1463" s="17" t="b">
        <v>0</v>
      </c>
      <c r="W1463" s="11"/>
      <c r="X1463" s="12"/>
      <c r="Y1463" s="12"/>
      <c r="Z1463" s="13"/>
    </row>
    <row r="1464" spans="1:26" ht="19.899999999999999" customHeight="1" x14ac:dyDescent="0.25">
      <c r="A1464" s="6"/>
      <c r="B1464" s="7"/>
      <c r="C1464" s="8"/>
      <c r="D1464" s="8"/>
      <c r="E1464" s="8"/>
      <c r="F1464" s="9"/>
      <c r="G1464" s="9"/>
      <c r="H1464" s="9"/>
      <c r="I1464" s="9" t="s">
        <v>14</v>
      </c>
      <c r="J1464" s="10" t="s">
        <v>14</v>
      </c>
      <c r="K1464" s="15" t="e">
        <f>VLOOKUP(J1464,DADOS!$A$3:$B$105,2,FALSE)</f>
        <v>#N/A</v>
      </c>
      <c r="L1464" s="15"/>
      <c r="M1464" s="18" t="b">
        <v>0</v>
      </c>
      <c r="N1464" s="17" t="b">
        <v>0</v>
      </c>
      <c r="O1464" s="17" t="b">
        <v>0</v>
      </c>
      <c r="P1464" s="17" t="b">
        <v>0</v>
      </c>
      <c r="Q1464" s="17" t="b">
        <v>0</v>
      </c>
      <c r="R1464" s="17" t="b">
        <v>0</v>
      </c>
      <c r="S1464" s="17" t="b">
        <v>0</v>
      </c>
      <c r="T1464" s="17" t="b">
        <v>0</v>
      </c>
      <c r="U1464" s="17" t="b">
        <v>0</v>
      </c>
      <c r="V1464" s="17" t="b">
        <v>0</v>
      </c>
      <c r="W1464" s="11"/>
      <c r="X1464" s="12"/>
      <c r="Y1464" s="12"/>
      <c r="Z1464" s="13"/>
    </row>
    <row r="1465" spans="1:26" ht="19.899999999999999" customHeight="1" x14ac:dyDescent="0.25">
      <c r="A1465" s="6"/>
      <c r="B1465" s="7"/>
      <c r="C1465" s="8"/>
      <c r="D1465" s="8"/>
      <c r="E1465" s="8"/>
      <c r="F1465" s="9"/>
      <c r="G1465" s="9"/>
      <c r="H1465" s="9"/>
      <c r="I1465" s="9" t="s">
        <v>14</v>
      </c>
      <c r="J1465" s="10" t="s">
        <v>14</v>
      </c>
      <c r="K1465" s="15" t="e">
        <f>VLOOKUP(J1465,DADOS!$A$3:$B$105,2,FALSE)</f>
        <v>#N/A</v>
      </c>
      <c r="L1465" s="15"/>
      <c r="M1465" s="18" t="b">
        <v>0</v>
      </c>
      <c r="N1465" s="17" t="b">
        <v>0</v>
      </c>
      <c r="O1465" s="17" t="b">
        <v>0</v>
      </c>
      <c r="P1465" s="17" t="b">
        <v>0</v>
      </c>
      <c r="Q1465" s="17" t="b">
        <v>0</v>
      </c>
      <c r="R1465" s="17" t="b">
        <v>0</v>
      </c>
      <c r="S1465" s="17" t="b">
        <v>0</v>
      </c>
      <c r="T1465" s="17" t="b">
        <v>0</v>
      </c>
      <c r="U1465" s="17" t="b">
        <v>0</v>
      </c>
      <c r="V1465" s="17" t="b">
        <v>0</v>
      </c>
      <c r="W1465" s="11"/>
      <c r="X1465" s="12"/>
      <c r="Y1465" s="12"/>
      <c r="Z1465" s="13"/>
    </row>
    <row r="1466" spans="1:26" ht="19.899999999999999" customHeight="1" x14ac:dyDescent="0.25">
      <c r="A1466" s="6"/>
      <c r="B1466" s="7"/>
      <c r="C1466" s="8"/>
      <c r="D1466" s="8"/>
      <c r="E1466" s="8"/>
      <c r="F1466" s="9"/>
      <c r="G1466" s="9"/>
      <c r="H1466" s="9"/>
      <c r="I1466" s="9" t="s">
        <v>14</v>
      </c>
      <c r="J1466" s="10" t="s">
        <v>14</v>
      </c>
      <c r="K1466" s="15" t="e">
        <f>VLOOKUP(J1466,DADOS!$A$3:$B$105,2,FALSE)</f>
        <v>#N/A</v>
      </c>
      <c r="L1466" s="15"/>
      <c r="M1466" s="18" t="b">
        <v>0</v>
      </c>
      <c r="N1466" s="17" t="b">
        <v>0</v>
      </c>
      <c r="O1466" s="17" t="b">
        <v>0</v>
      </c>
      <c r="P1466" s="17" t="b">
        <v>0</v>
      </c>
      <c r="Q1466" s="17" t="b">
        <v>0</v>
      </c>
      <c r="R1466" s="17" t="b">
        <v>0</v>
      </c>
      <c r="S1466" s="17" t="b">
        <v>0</v>
      </c>
      <c r="T1466" s="17" t="b">
        <v>0</v>
      </c>
      <c r="U1466" s="17" t="b">
        <v>0</v>
      </c>
      <c r="V1466" s="17" t="b">
        <v>0</v>
      </c>
      <c r="W1466" s="11"/>
      <c r="X1466" s="12"/>
      <c r="Y1466" s="12"/>
      <c r="Z1466" s="13"/>
    </row>
    <row r="1467" spans="1:26" ht="19.899999999999999" customHeight="1" x14ac:dyDescent="0.25">
      <c r="A1467" s="6"/>
      <c r="B1467" s="7"/>
      <c r="C1467" s="8"/>
      <c r="D1467" s="8"/>
      <c r="E1467" s="8"/>
      <c r="F1467" s="9"/>
      <c r="G1467" s="9"/>
      <c r="H1467" s="9"/>
      <c r="I1467" s="9" t="s">
        <v>14</v>
      </c>
      <c r="J1467" s="10" t="s">
        <v>14</v>
      </c>
      <c r="K1467" s="15" t="e">
        <f>VLOOKUP(J1467,DADOS!$A$3:$B$105,2,FALSE)</f>
        <v>#N/A</v>
      </c>
      <c r="L1467" s="15"/>
      <c r="M1467" s="18" t="b">
        <v>0</v>
      </c>
      <c r="N1467" s="17" t="b">
        <v>0</v>
      </c>
      <c r="O1467" s="17" t="b">
        <v>0</v>
      </c>
      <c r="P1467" s="17" t="b">
        <v>0</v>
      </c>
      <c r="Q1467" s="17" t="b">
        <v>0</v>
      </c>
      <c r="R1467" s="17" t="b">
        <v>0</v>
      </c>
      <c r="S1467" s="17" t="b">
        <v>0</v>
      </c>
      <c r="T1467" s="17" t="b">
        <v>0</v>
      </c>
      <c r="U1467" s="17" t="b">
        <v>0</v>
      </c>
      <c r="V1467" s="17" t="b">
        <v>0</v>
      </c>
      <c r="W1467" s="11"/>
      <c r="X1467" s="12"/>
      <c r="Y1467" s="12"/>
      <c r="Z1467" s="13"/>
    </row>
  </sheetData>
  <autoFilter ref="A6:AB1467" xr:uid="{00000000-0001-0000-0000-000000000000}">
    <sortState xmlns:xlrd2="http://schemas.microsoft.com/office/spreadsheetml/2017/richdata2" ref="A7:AB1467">
      <sortCondition ref="A6:A1467"/>
    </sortState>
  </autoFilter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39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A405AA-9F08-4314-8777-B2F4DECD2D78}">
          <x14:formula1>
            <xm:f>DADOS!$D$2:$D$21</xm:f>
          </x14:formula1>
          <xm:sqref>I231:I241 I80:I229 I66:I78 I343:I529 I254:I340 I532:I537 I7:I62 I544:I1467</xm:sqref>
        </x14:dataValidation>
        <x14:dataValidation type="list" allowBlank="1" showInputMessage="1" showErrorMessage="1" xr:uid="{E08DB3B1-4230-4537-8746-E7E99FEBA501}">
          <x14:formula1>
            <xm:f>DADOS!$A$2:$A$105</xm:f>
          </x14:formula1>
          <xm:sqref>J231:J241 J80:J229 J284:J340 J66:J78 J343:J529 J254:J270 J532:J537 J7:J62 J544:J1467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5"/>
  <sheetViews>
    <sheetView topLeftCell="A16" workbookViewId="0">
      <selection activeCell="D34" sqref="D34"/>
    </sheetView>
  </sheetViews>
  <sheetFormatPr defaultRowHeight="15" x14ac:dyDescent="0.25"/>
  <cols>
    <col min="1" max="1" width="40.28515625" bestFit="1" customWidth="1"/>
    <col min="2" max="2" width="14.7109375" bestFit="1" customWidth="1"/>
    <col min="4" max="4" width="20.42578125" bestFit="1" customWidth="1"/>
  </cols>
  <sheetData>
    <row r="1" spans="1:4" x14ac:dyDescent="0.25">
      <c r="A1" s="61" t="s">
        <v>88</v>
      </c>
      <c r="B1" s="62"/>
      <c r="D1" s="20" t="s">
        <v>89</v>
      </c>
    </row>
    <row r="2" spans="1:4" x14ac:dyDescent="0.25">
      <c r="A2" s="16" t="s">
        <v>14</v>
      </c>
      <c r="B2" s="16" t="s">
        <v>14</v>
      </c>
      <c r="D2" s="16" t="s">
        <v>14</v>
      </c>
    </row>
    <row r="3" spans="1:4" x14ac:dyDescent="0.25">
      <c r="A3" s="19" t="s">
        <v>176</v>
      </c>
      <c r="B3" s="19" t="s">
        <v>110</v>
      </c>
      <c r="D3" s="19" t="s">
        <v>90</v>
      </c>
    </row>
    <row r="4" spans="1:4" x14ac:dyDescent="0.25">
      <c r="A4" s="19" t="s">
        <v>246</v>
      </c>
      <c r="B4" s="19" t="s">
        <v>133</v>
      </c>
      <c r="D4" s="19" t="s">
        <v>91</v>
      </c>
    </row>
    <row r="5" spans="1:4" x14ac:dyDescent="0.25">
      <c r="A5" s="19" t="s">
        <v>179</v>
      </c>
      <c r="B5" s="19" t="s">
        <v>41</v>
      </c>
      <c r="D5" s="19" t="s">
        <v>92</v>
      </c>
    </row>
    <row r="6" spans="1:4" x14ac:dyDescent="0.25">
      <c r="A6" s="19" t="s">
        <v>181</v>
      </c>
      <c r="B6" s="19" t="s">
        <v>114</v>
      </c>
      <c r="D6" s="19" t="s">
        <v>93</v>
      </c>
    </row>
    <row r="7" spans="1:4" x14ac:dyDescent="0.25">
      <c r="A7" s="19" t="s">
        <v>173</v>
      </c>
      <c r="B7" s="19" t="s">
        <v>107</v>
      </c>
      <c r="D7" s="19" t="s">
        <v>66</v>
      </c>
    </row>
    <row r="8" spans="1:4" x14ac:dyDescent="0.25">
      <c r="A8" s="19" t="s">
        <v>175</v>
      </c>
      <c r="B8" s="19" t="s">
        <v>109</v>
      </c>
      <c r="D8" s="19" t="s">
        <v>68</v>
      </c>
    </row>
    <row r="9" spans="1:4" x14ac:dyDescent="0.25">
      <c r="A9" s="19" t="s">
        <v>180</v>
      </c>
      <c r="B9" s="19" t="s">
        <v>112</v>
      </c>
      <c r="D9" s="19" t="s">
        <v>67</v>
      </c>
    </row>
    <row r="10" spans="1:4" x14ac:dyDescent="0.25">
      <c r="A10" s="19" t="s">
        <v>205</v>
      </c>
      <c r="B10" s="19" t="s">
        <v>134</v>
      </c>
      <c r="D10" s="19" t="s">
        <v>73</v>
      </c>
    </row>
    <row r="11" spans="1:4" x14ac:dyDescent="0.25">
      <c r="A11" s="19" t="s">
        <v>199</v>
      </c>
      <c r="B11" s="19" t="s">
        <v>127</v>
      </c>
      <c r="D11" s="19" t="s">
        <v>94</v>
      </c>
    </row>
    <row r="12" spans="1:4" x14ac:dyDescent="0.25">
      <c r="A12" s="19" t="s">
        <v>174</v>
      </c>
      <c r="B12" s="19" t="s">
        <v>108</v>
      </c>
      <c r="D12" s="19" t="s">
        <v>72</v>
      </c>
    </row>
    <row r="13" spans="1:4" x14ac:dyDescent="0.25">
      <c r="A13" s="19" t="s">
        <v>182</v>
      </c>
      <c r="B13" s="19" t="s">
        <v>115</v>
      </c>
      <c r="D13" s="19" t="s">
        <v>69</v>
      </c>
    </row>
    <row r="14" spans="1:4" x14ac:dyDescent="0.25">
      <c r="A14" s="19" t="s">
        <v>189</v>
      </c>
      <c r="B14" s="19" t="s">
        <v>120</v>
      </c>
      <c r="D14" s="19" t="s">
        <v>95</v>
      </c>
    </row>
    <row r="15" spans="1:4" x14ac:dyDescent="0.25">
      <c r="A15" s="19" t="s">
        <v>191</v>
      </c>
      <c r="B15" s="19" t="s">
        <v>121</v>
      </c>
      <c r="D15" s="19" t="s">
        <v>65</v>
      </c>
    </row>
    <row r="16" spans="1:4" x14ac:dyDescent="0.25">
      <c r="A16" s="19" t="s">
        <v>200</v>
      </c>
      <c r="B16" s="19" t="s">
        <v>128</v>
      </c>
      <c r="D16" s="19" t="s">
        <v>96</v>
      </c>
    </row>
    <row r="17" spans="1:4" x14ac:dyDescent="0.25">
      <c r="A17" s="19" t="s">
        <v>211</v>
      </c>
      <c r="B17" s="19" t="s">
        <v>141</v>
      </c>
      <c r="D17" s="19" t="s">
        <v>71</v>
      </c>
    </row>
    <row r="18" spans="1:4" x14ac:dyDescent="0.25">
      <c r="A18" s="19" t="s">
        <v>194</v>
      </c>
      <c r="B18" s="19" t="s">
        <v>40</v>
      </c>
      <c r="D18" s="19" t="s">
        <v>74</v>
      </c>
    </row>
    <row r="19" spans="1:4" x14ac:dyDescent="0.25">
      <c r="A19" s="19" t="s">
        <v>212</v>
      </c>
      <c r="B19" s="19" t="s">
        <v>142</v>
      </c>
      <c r="D19" s="19" t="s">
        <v>97</v>
      </c>
    </row>
    <row r="20" spans="1:4" x14ac:dyDescent="0.25">
      <c r="A20" s="19" t="s">
        <v>188</v>
      </c>
      <c r="B20" s="19" t="s">
        <v>37</v>
      </c>
      <c r="D20" s="19" t="s">
        <v>64</v>
      </c>
    </row>
    <row r="21" spans="1:4" x14ac:dyDescent="0.25">
      <c r="A21" s="19" t="s">
        <v>190</v>
      </c>
      <c r="B21" s="19" t="s">
        <v>38</v>
      </c>
      <c r="D21" s="19" t="s">
        <v>70</v>
      </c>
    </row>
    <row r="22" spans="1:4" x14ac:dyDescent="0.25">
      <c r="A22" s="19" t="s">
        <v>240</v>
      </c>
      <c r="B22" s="19" t="s">
        <v>49</v>
      </c>
    </row>
    <row r="23" spans="1:4" x14ac:dyDescent="0.25">
      <c r="A23" s="19" t="s">
        <v>238</v>
      </c>
      <c r="B23" s="19" t="s">
        <v>44</v>
      </c>
    </row>
    <row r="24" spans="1:4" x14ac:dyDescent="0.25">
      <c r="A24" s="19" t="s">
        <v>227</v>
      </c>
      <c r="B24" s="19" t="s">
        <v>157</v>
      </c>
    </row>
    <row r="25" spans="1:4" x14ac:dyDescent="0.25">
      <c r="A25" s="19" t="s">
        <v>22</v>
      </c>
      <c r="B25" s="19" t="s">
        <v>35</v>
      </c>
    </row>
    <row r="26" spans="1:4" x14ac:dyDescent="0.25">
      <c r="A26" s="19" t="s">
        <v>185</v>
      </c>
      <c r="B26" s="19" t="s">
        <v>36</v>
      </c>
    </row>
    <row r="27" spans="1:4" x14ac:dyDescent="0.25">
      <c r="A27" s="19" t="s">
        <v>210</v>
      </c>
      <c r="B27" s="19" t="s">
        <v>139</v>
      </c>
    </row>
    <row r="28" spans="1:4" x14ac:dyDescent="0.25">
      <c r="A28" s="19" t="s">
        <v>172</v>
      </c>
      <c r="B28" s="19" t="s">
        <v>106</v>
      </c>
    </row>
    <row r="29" spans="1:4" x14ac:dyDescent="0.25">
      <c r="A29" s="19" t="s">
        <v>178</v>
      </c>
      <c r="B29" s="19" t="s">
        <v>111</v>
      </c>
    </row>
    <row r="30" spans="1:4" x14ac:dyDescent="0.25">
      <c r="A30" s="19" t="s">
        <v>177</v>
      </c>
      <c r="B30" s="19" t="s">
        <v>63</v>
      </c>
    </row>
    <row r="31" spans="1:4" x14ac:dyDescent="0.25">
      <c r="A31" s="19" t="s">
        <v>219</v>
      </c>
      <c r="B31" s="19" t="s">
        <v>149</v>
      </c>
    </row>
    <row r="32" spans="1:4" x14ac:dyDescent="0.25">
      <c r="A32" s="19" t="s">
        <v>16</v>
      </c>
      <c r="B32" s="19" t="s">
        <v>33</v>
      </c>
    </row>
    <row r="33" spans="1:2" x14ac:dyDescent="0.25">
      <c r="A33" s="19" t="s">
        <v>15</v>
      </c>
      <c r="B33" s="19" t="s">
        <v>32</v>
      </c>
    </row>
    <row r="34" spans="1:2" x14ac:dyDescent="0.25">
      <c r="A34" s="19" t="s">
        <v>214</v>
      </c>
      <c r="B34" s="19" t="s">
        <v>144</v>
      </c>
    </row>
    <row r="35" spans="1:2" x14ac:dyDescent="0.25">
      <c r="A35" s="19" t="s">
        <v>216</v>
      </c>
      <c r="B35" s="19" t="s">
        <v>146</v>
      </c>
    </row>
    <row r="36" spans="1:2" x14ac:dyDescent="0.25">
      <c r="A36" s="19" t="s">
        <v>213</v>
      </c>
      <c r="B36" s="19" t="s">
        <v>143</v>
      </c>
    </row>
    <row r="37" spans="1:2" x14ac:dyDescent="0.25">
      <c r="A37" s="19" t="s">
        <v>258</v>
      </c>
      <c r="B37" s="19" t="s">
        <v>261</v>
      </c>
    </row>
    <row r="38" spans="1:2" x14ac:dyDescent="0.25">
      <c r="A38" s="19" t="s">
        <v>259</v>
      </c>
      <c r="B38" s="19" t="s">
        <v>260</v>
      </c>
    </row>
    <row r="39" spans="1:2" x14ac:dyDescent="0.25">
      <c r="A39" s="19" t="s">
        <v>255</v>
      </c>
      <c r="B39" s="19" t="s">
        <v>257</v>
      </c>
    </row>
    <row r="40" spans="1:2" x14ac:dyDescent="0.25">
      <c r="A40" s="19" t="s">
        <v>254</v>
      </c>
      <c r="B40" s="19" t="s">
        <v>256</v>
      </c>
    </row>
    <row r="41" spans="1:2" x14ac:dyDescent="0.25">
      <c r="A41" s="19" t="s">
        <v>220</v>
      </c>
      <c r="B41" s="19" t="s">
        <v>150</v>
      </c>
    </row>
    <row r="42" spans="1:2" x14ac:dyDescent="0.25">
      <c r="A42" s="19" t="s">
        <v>221</v>
      </c>
      <c r="B42" s="19" t="s">
        <v>151</v>
      </c>
    </row>
    <row r="43" spans="1:2" x14ac:dyDescent="0.25">
      <c r="A43" s="19" t="s">
        <v>26</v>
      </c>
      <c r="B43" s="19" t="s">
        <v>47</v>
      </c>
    </row>
    <row r="44" spans="1:2" x14ac:dyDescent="0.25">
      <c r="A44" s="19" t="s">
        <v>23</v>
      </c>
      <c r="B44" s="19" t="s">
        <v>39</v>
      </c>
    </row>
    <row r="45" spans="1:2" x14ac:dyDescent="0.25">
      <c r="A45" s="19" t="s">
        <v>226</v>
      </c>
      <c r="B45" s="19" t="s">
        <v>156</v>
      </c>
    </row>
    <row r="46" spans="1:2" x14ac:dyDescent="0.25">
      <c r="A46" s="19" t="s">
        <v>253</v>
      </c>
      <c r="B46" s="19" t="s">
        <v>252</v>
      </c>
    </row>
    <row r="47" spans="1:2" x14ac:dyDescent="0.25">
      <c r="A47" s="19" t="s">
        <v>21</v>
      </c>
      <c r="B47" s="19" t="s">
        <v>59</v>
      </c>
    </row>
    <row r="48" spans="1:2" x14ac:dyDescent="0.25">
      <c r="A48" s="19" t="s">
        <v>19</v>
      </c>
      <c r="B48" s="19" t="s">
        <v>54</v>
      </c>
    </row>
    <row r="49" spans="1:2" x14ac:dyDescent="0.25">
      <c r="A49" s="19" t="s">
        <v>234</v>
      </c>
      <c r="B49" s="19" t="s">
        <v>57</v>
      </c>
    </row>
    <row r="50" spans="1:2" x14ac:dyDescent="0.25">
      <c r="A50" s="19" t="s">
        <v>27</v>
      </c>
      <c r="B50" s="19" t="s">
        <v>56</v>
      </c>
    </row>
    <row r="51" spans="1:2" x14ac:dyDescent="0.25">
      <c r="A51" s="19" t="s">
        <v>241</v>
      </c>
      <c r="B51" s="19" t="s">
        <v>55</v>
      </c>
    </row>
    <row r="52" spans="1:2" x14ac:dyDescent="0.25">
      <c r="A52" s="19" t="s">
        <v>203</v>
      </c>
      <c r="B52" s="19" t="s">
        <v>131</v>
      </c>
    </row>
    <row r="53" spans="1:2" x14ac:dyDescent="0.25">
      <c r="A53" s="19" t="s">
        <v>183</v>
      </c>
      <c r="B53" s="19" t="s">
        <v>116</v>
      </c>
    </row>
    <row r="54" spans="1:2" x14ac:dyDescent="0.25">
      <c r="A54" s="19" t="s">
        <v>187</v>
      </c>
      <c r="B54" s="19" t="s">
        <v>119</v>
      </c>
    </row>
    <row r="55" spans="1:2" x14ac:dyDescent="0.25">
      <c r="A55" s="19" t="s">
        <v>186</v>
      </c>
      <c r="B55" s="19" t="s">
        <v>31</v>
      </c>
    </row>
    <row r="56" spans="1:2" x14ac:dyDescent="0.25">
      <c r="A56" s="19" t="s">
        <v>225</v>
      </c>
      <c r="B56" s="19" t="s">
        <v>155</v>
      </c>
    </row>
    <row r="57" spans="1:2" x14ac:dyDescent="0.25">
      <c r="A57" s="19" t="s">
        <v>20</v>
      </c>
      <c r="B57" s="19" t="s">
        <v>58</v>
      </c>
    </row>
    <row r="58" spans="1:2" x14ac:dyDescent="0.25">
      <c r="A58" s="19" t="s">
        <v>243</v>
      </c>
      <c r="B58" s="19" t="s">
        <v>170</v>
      </c>
    </row>
    <row r="59" spans="1:2" x14ac:dyDescent="0.25">
      <c r="A59" s="19" t="s">
        <v>250</v>
      </c>
      <c r="B59" s="19" t="s">
        <v>117</v>
      </c>
    </row>
    <row r="60" spans="1:2" x14ac:dyDescent="0.25">
      <c r="A60" s="19" t="s">
        <v>207</v>
      </c>
      <c r="B60" s="19" t="s">
        <v>136</v>
      </c>
    </row>
    <row r="61" spans="1:2" x14ac:dyDescent="0.25">
      <c r="A61" s="19" t="s">
        <v>251</v>
      </c>
      <c r="B61" s="19" t="s">
        <v>118</v>
      </c>
    </row>
    <row r="62" spans="1:2" x14ac:dyDescent="0.25">
      <c r="A62" s="19" t="s">
        <v>201</v>
      </c>
      <c r="B62" s="19" t="s">
        <v>129</v>
      </c>
    </row>
    <row r="63" spans="1:2" x14ac:dyDescent="0.25">
      <c r="A63" s="19" t="s">
        <v>202</v>
      </c>
      <c r="B63" s="19" t="s">
        <v>130</v>
      </c>
    </row>
    <row r="64" spans="1:2" x14ac:dyDescent="0.25">
      <c r="A64" s="19" t="s">
        <v>233</v>
      </c>
      <c r="B64" s="19" t="s">
        <v>43</v>
      </c>
    </row>
    <row r="65" spans="1:2" x14ac:dyDescent="0.25">
      <c r="A65" s="19" t="s">
        <v>28</v>
      </c>
      <c r="B65" s="19" t="s">
        <v>45</v>
      </c>
    </row>
    <row r="66" spans="1:2" x14ac:dyDescent="0.25">
      <c r="A66" s="19" t="s">
        <v>236</v>
      </c>
      <c r="B66" s="19" t="s">
        <v>46</v>
      </c>
    </row>
    <row r="67" spans="1:2" x14ac:dyDescent="0.25">
      <c r="A67" s="19" t="s">
        <v>239</v>
      </c>
      <c r="B67" s="19" t="s">
        <v>168</v>
      </c>
    </row>
    <row r="68" spans="1:2" x14ac:dyDescent="0.25">
      <c r="A68" s="19" t="s">
        <v>25</v>
      </c>
      <c r="B68" s="19" t="s">
        <v>50</v>
      </c>
    </row>
    <row r="69" spans="1:2" x14ac:dyDescent="0.25">
      <c r="A69" s="19" t="s">
        <v>30</v>
      </c>
      <c r="B69" s="19" t="s">
        <v>51</v>
      </c>
    </row>
    <row r="70" spans="1:2" x14ac:dyDescent="0.25">
      <c r="A70" s="19" t="s">
        <v>223</v>
      </c>
      <c r="B70" s="19" t="s">
        <v>153</v>
      </c>
    </row>
    <row r="71" spans="1:2" x14ac:dyDescent="0.25">
      <c r="A71" s="19" t="s">
        <v>247</v>
      </c>
      <c r="B71" s="19" t="s">
        <v>162</v>
      </c>
    </row>
    <row r="72" spans="1:2" x14ac:dyDescent="0.25">
      <c r="A72" s="19" t="s">
        <v>222</v>
      </c>
      <c r="B72" s="19" t="s">
        <v>154</v>
      </c>
    </row>
    <row r="73" spans="1:2" x14ac:dyDescent="0.25">
      <c r="A73" s="19" t="s">
        <v>229</v>
      </c>
      <c r="B73" s="19" t="s">
        <v>164</v>
      </c>
    </row>
    <row r="74" spans="1:2" x14ac:dyDescent="0.25">
      <c r="A74" s="19" t="s">
        <v>248</v>
      </c>
      <c r="B74" s="19" t="s">
        <v>159</v>
      </c>
    </row>
    <row r="75" spans="1:2" x14ac:dyDescent="0.25">
      <c r="A75" s="19" t="s">
        <v>249</v>
      </c>
      <c r="B75" s="19" t="s">
        <v>158</v>
      </c>
    </row>
    <row r="76" spans="1:2" x14ac:dyDescent="0.25">
      <c r="A76" s="19" t="s">
        <v>228</v>
      </c>
      <c r="B76" s="19" t="s">
        <v>160</v>
      </c>
    </row>
    <row r="77" spans="1:2" x14ac:dyDescent="0.25">
      <c r="A77" s="19" t="s">
        <v>224</v>
      </c>
      <c r="B77" s="19" t="s">
        <v>152</v>
      </c>
    </row>
    <row r="78" spans="1:2" x14ac:dyDescent="0.25">
      <c r="A78" s="19" t="s">
        <v>245</v>
      </c>
      <c r="B78" s="19" t="s">
        <v>163</v>
      </c>
    </row>
    <row r="79" spans="1:2" x14ac:dyDescent="0.25">
      <c r="A79" s="19" t="s">
        <v>29</v>
      </c>
      <c r="B79" s="19" t="s">
        <v>48</v>
      </c>
    </row>
    <row r="80" spans="1:2" x14ac:dyDescent="0.25">
      <c r="A80" s="19" t="s">
        <v>24</v>
      </c>
      <c r="B80" s="19" t="s">
        <v>138</v>
      </c>
    </row>
    <row r="81" spans="1:2" x14ac:dyDescent="0.25">
      <c r="A81" s="19" t="s">
        <v>24</v>
      </c>
      <c r="B81" s="19" t="s">
        <v>169</v>
      </c>
    </row>
    <row r="82" spans="1:2" x14ac:dyDescent="0.25">
      <c r="A82" s="19" t="s">
        <v>184</v>
      </c>
      <c r="B82" s="19" t="s">
        <v>62</v>
      </c>
    </row>
    <row r="83" spans="1:2" x14ac:dyDescent="0.25">
      <c r="A83" s="19" t="s">
        <v>218</v>
      </c>
      <c r="B83" s="19" t="s">
        <v>148</v>
      </c>
    </row>
    <row r="84" spans="1:2" x14ac:dyDescent="0.25">
      <c r="A84" s="19" t="s">
        <v>204</v>
      </c>
      <c r="B84" s="19" t="s">
        <v>132</v>
      </c>
    </row>
    <row r="85" spans="1:2" x14ac:dyDescent="0.25">
      <c r="A85" s="19" t="s">
        <v>206</v>
      </c>
      <c r="B85" s="19" t="s">
        <v>135</v>
      </c>
    </row>
    <row r="86" spans="1:2" x14ac:dyDescent="0.25">
      <c r="A86" s="19" t="s">
        <v>197</v>
      </c>
      <c r="B86" s="19" t="s">
        <v>113</v>
      </c>
    </row>
    <row r="87" spans="1:2" x14ac:dyDescent="0.25">
      <c r="A87" s="19" t="s">
        <v>196</v>
      </c>
      <c r="B87" s="19" t="s">
        <v>125</v>
      </c>
    </row>
    <row r="88" spans="1:2" x14ac:dyDescent="0.25">
      <c r="A88" s="19" t="s">
        <v>198</v>
      </c>
      <c r="B88" s="19" t="s">
        <v>126</v>
      </c>
    </row>
    <row r="89" spans="1:2" x14ac:dyDescent="0.25">
      <c r="A89" s="19" t="s">
        <v>192</v>
      </c>
      <c r="B89" s="19" t="s">
        <v>122</v>
      </c>
    </row>
    <row r="90" spans="1:2" x14ac:dyDescent="0.25">
      <c r="A90" s="19" t="s">
        <v>195</v>
      </c>
      <c r="B90" s="19" t="s">
        <v>124</v>
      </c>
    </row>
    <row r="91" spans="1:2" x14ac:dyDescent="0.25">
      <c r="A91" s="19" t="s">
        <v>208</v>
      </c>
      <c r="B91" s="19" t="s">
        <v>137</v>
      </c>
    </row>
    <row r="92" spans="1:2" x14ac:dyDescent="0.25">
      <c r="A92" s="19" t="s">
        <v>193</v>
      </c>
      <c r="B92" s="19" t="s">
        <v>123</v>
      </c>
    </row>
    <row r="93" spans="1:2" x14ac:dyDescent="0.25">
      <c r="A93" s="19" t="s">
        <v>60</v>
      </c>
      <c r="B93" s="19" t="s">
        <v>61</v>
      </c>
    </row>
    <row r="94" spans="1:2" x14ac:dyDescent="0.25">
      <c r="A94" s="19" t="s">
        <v>244</v>
      </c>
      <c r="B94" s="19" t="s">
        <v>171</v>
      </c>
    </row>
    <row r="95" spans="1:2" x14ac:dyDescent="0.25">
      <c r="A95" s="19" t="s">
        <v>242</v>
      </c>
      <c r="B95" s="19" t="s">
        <v>53</v>
      </c>
    </row>
    <row r="96" spans="1:2" x14ac:dyDescent="0.25">
      <c r="A96" s="19" t="s">
        <v>237</v>
      </c>
      <c r="B96" s="19" t="s">
        <v>52</v>
      </c>
    </row>
    <row r="97" spans="1:2" x14ac:dyDescent="0.25">
      <c r="A97" s="19" t="s">
        <v>230</v>
      </c>
      <c r="B97" s="19" t="s">
        <v>165</v>
      </c>
    </row>
    <row r="98" spans="1:2" x14ac:dyDescent="0.25">
      <c r="A98" s="19" t="s">
        <v>231</v>
      </c>
      <c r="B98" s="19" t="s">
        <v>166</v>
      </c>
    </row>
    <row r="99" spans="1:2" x14ac:dyDescent="0.25">
      <c r="A99" s="19" t="s">
        <v>232</v>
      </c>
      <c r="B99" s="19" t="s">
        <v>167</v>
      </c>
    </row>
    <row r="100" spans="1:2" x14ac:dyDescent="0.25">
      <c r="A100" s="19" t="s">
        <v>18</v>
      </c>
      <c r="B100" s="19" t="s">
        <v>161</v>
      </c>
    </row>
    <row r="101" spans="1:2" x14ac:dyDescent="0.25">
      <c r="A101" s="19" t="s">
        <v>235</v>
      </c>
      <c r="B101" s="19" t="s">
        <v>42</v>
      </c>
    </row>
    <row r="102" spans="1:2" x14ac:dyDescent="0.25">
      <c r="A102" s="19" t="s">
        <v>17</v>
      </c>
      <c r="B102" s="19" t="s">
        <v>34</v>
      </c>
    </row>
    <row r="103" spans="1:2" x14ac:dyDescent="0.25">
      <c r="A103" s="19" t="s">
        <v>215</v>
      </c>
      <c r="B103" s="19" t="s">
        <v>145</v>
      </c>
    </row>
    <row r="104" spans="1:2" x14ac:dyDescent="0.25">
      <c r="A104" s="19" t="s">
        <v>217</v>
      </c>
      <c r="B104" s="19" t="s">
        <v>147</v>
      </c>
    </row>
    <row r="105" spans="1:2" x14ac:dyDescent="0.25">
      <c r="A105" s="19" t="s">
        <v>209</v>
      </c>
      <c r="B105" s="19" t="s">
        <v>140</v>
      </c>
    </row>
  </sheetData>
  <sortState xmlns:xlrd2="http://schemas.microsoft.com/office/spreadsheetml/2017/richdata2" ref="A2:B105">
    <sortCondition ref="A3:A105"/>
  </sortState>
  <mergeCells count="1">
    <mergeCell ref="A1:B1"/>
  </mergeCells>
  <phoneticPr fontId="1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Jéssica Alves da Silva</cp:lastModifiedBy>
  <cp:lastPrinted>2025-11-21T19:03:30Z</cp:lastPrinted>
  <dcterms:created xsi:type="dcterms:W3CDTF">2014-01-07T16:56:27Z</dcterms:created>
  <dcterms:modified xsi:type="dcterms:W3CDTF">2026-05-14T17:21:52Z</dcterms:modified>
</cp:coreProperties>
</file>